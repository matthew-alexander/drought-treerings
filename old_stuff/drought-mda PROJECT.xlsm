
<file path=[Content_Types].xml><?xml version="1.0" encoding="utf-8"?>
<Types xmlns="http://schemas.openxmlformats.org/package/2006/content-types">
  <Override PartName="/xl/worksheets/sheet15.xml" ContentType="application/vnd.openxmlformats-officedocument.spreadsheetml.worksheet+xml"/>
  <Override PartName="/xl/charts/chart6.xml" ContentType="application/vnd.openxmlformats-officedocument.drawingml.chart+xml"/>
  <Override PartName="/xl/worksheets/sheet9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charts/chart4.xml" ContentType="application/vnd.openxmlformats-officedocument.drawingml.chart+xml"/>
  <Override PartName="/xl/drawings/drawing6.xml" ContentType="application/vnd.openxmlformats-officedocument.drawing+xml"/>
  <Override PartName="/xl/drawings/drawing8.xml" ContentType="application/vnd.openxmlformats-officedocument.drawing+xml"/>
  <Override PartName="/xl/worksheets/sheet7.xml" ContentType="application/vnd.openxmlformats-officedocument.spreadsheetml.worksheet+xml"/>
  <Override PartName="/xl/worksheets/sheet11.xml" ContentType="application/vnd.openxmlformats-officedocument.spreadsheetml.worksheet+xml"/>
  <Override PartName="/xl/charts/chart2.xml" ContentType="application/vnd.openxmlformats-officedocument.drawingml.chart+xml"/>
  <Override PartName="/xl/drawings/drawing4.xml" ContentType="application/vnd.openxmlformats-officedocument.drawing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sheets/sheet5.xml" ContentType="application/vnd.openxmlformats-officedocument.spreadsheetml.worksheet+xml"/>
  <Override PartName="/xl/drawings/drawing2.xml" ContentType="application/vnd.openxmlformats-officedocument.drawing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chartsheets/sheet6.xml" ContentType="application/vnd.openxmlformats-officedocument.spreadsheetml.chartsheet+xml"/>
  <Override PartName="/xl/chartsheets/sheet7.xml" ContentType="application/vnd.openxmlformats-officedocument.spreadsheetml.chartsheet+xml"/>
  <Override PartName="/xl/chartsheets/sheet8.xml" ContentType="application/vnd.openxmlformats-officedocument.spreadsheetml.chartsheet+xml"/>
  <Override PartName="/xl/drawings/drawing1.xml" ContentType="application/vnd.openxmlformats-officedocument.drawing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worksheets/sheet1.xml" ContentType="application/vnd.openxmlformats-officedocument.spreadsheetml.worksheet+xml"/>
  <Override PartName="/xl/chartsheets/sheet4.xml" ContentType="application/vnd.openxmlformats-officedocument.spreadsheetml.chartsheet+xml"/>
  <Override PartName="/xl/chartsheets/sheet5.xml" ContentType="application/vnd.openxmlformats-officedocument.spreadsheetml.chartsheet+xml"/>
  <Override PartName="/xl/externalLinks/externalLink1.xml" ContentType="application/vnd.openxmlformats-officedocument.spreadsheetml.externalLink+xml"/>
  <Default Extension="vml" ContentType="application/vnd.openxmlformats-officedocument.vmlDrawing"/>
  <Override PartName="/xl/comments1.xml" ContentType="application/vnd.openxmlformats-officedocument.spreadsheetml.comments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calcChain.xml" ContentType="application/vnd.openxmlformats-officedocument.spreadsheetml.calcChain+xml"/>
  <Override PartName="/xl/chartsheets/sheet2.xml" ContentType="application/vnd.openxmlformats-officedocument.spreadsheetml.chartsheet+xml"/>
  <Override PartName="/xl/chartsheets/sheet3.xml" ContentType="application/vnd.openxmlformats-officedocument.spreadsheetml.chartsheet+xml"/>
  <Override PartName="/xl/sharedStrings.xml" ContentType="application/vnd.openxmlformats-officedocument.spreadsheetml.sharedStrings+xml"/>
  <Override PartName="/xl/drawings/drawing10.xml" ContentType="application/vnd.openxmlformats-officedocument.drawing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heets/sheet1.xml" ContentType="application/vnd.openxmlformats-officedocument.spreadsheetml.chartshee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docProps/core.xml" ContentType="application/vnd.openxmlformats-package.core-properties+xml"/>
  <Override PartName="/xl/worksheets/sheet16.xml" ContentType="application/vnd.openxmlformats-officedocument.spreadsheetml.worksheet+xml"/>
  <Override PartName="/xl/charts/chart7.xml" ContentType="application/vnd.openxmlformats-officedocument.drawingml.chart+xml"/>
  <Override PartName="/xl/drawings/drawing9.xml" ContentType="application/vnd.openxmlformats-officedocument.drawing+xml"/>
  <Override PartName="/xl/charts/chart10.xml" ContentType="application/vnd.openxmlformats-officedocument.drawingml.chart+xml"/>
  <Default Extension="bin" ContentType="application/vnd.openxmlformats-officedocument.spreadsheetml.printerSettings"/>
  <Override PartName="/xl/worksheets/sheet14.xml" ContentType="application/vnd.openxmlformats-officedocument.spreadsheetml.worksheet+xml"/>
  <Override PartName="/xl/charts/chart5.xml" ContentType="application/vnd.openxmlformats-officedocument.drawingml.chart+xml"/>
  <Override PartName="/xl/drawings/drawing7.xml" ContentType="application/vnd.openxmlformats-officedocument.drawing+xml"/>
  <Override PartName="/xl/worksheets/sheet6.xml" ContentType="application/vnd.openxmlformats-officedocument.spreadsheetml.worksheet+xml"/>
  <Override PartName="/xl/worksheets/sheet8.xml" ContentType="application/vnd.openxmlformats-officedocument.spreadsheetml.worksheet+xml"/>
  <Override PartName="/xl/worksheets/sheet12.xml" ContentType="application/vnd.openxmlformats-officedocument.spreadsheetml.worksheet+xml"/>
  <Override PartName="/xl/charts/chart3.xml" ContentType="application/vnd.openxmlformats-officedocument.drawingml.chart+xml"/>
  <Override PartName="/xl/drawings/drawing5.xml" ContentType="application/vnd.openxmlformats-officedocument.drawing+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10.xml" ContentType="application/vnd.openxmlformats-officedocument.spreadsheetml.worksheet+xml"/>
  <Override PartName="/xl/charts/chart1.xml" ContentType="application/vnd.openxmlformats-officedocument.drawingml.chart+xml"/>
  <Override PartName="/xl/drawings/drawing3.xml" ContentType="application/vnd.openxmlformats-officedocument.drawing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codeName="ThisWorkbook"/>
  <bookViews>
    <workbookView xWindow="0" yWindow="0" windowWidth="22710" windowHeight="11535" tabRatio="959" firstSheet="8" activeTab="8"/>
  </bookViews>
  <sheets>
    <sheet name="Chart1" sheetId="1" r:id="rId1"/>
    <sheet name="Chart3" sheetId="14" r:id="rId2"/>
    <sheet name="RECON CHART" sheetId="19" r:id="rId3"/>
    <sheet name="RECON CHART (2)" sheetId="20" r:id="rId4"/>
    <sheet name="RECON CHART (3)" sheetId="21" r:id="rId5"/>
    <sheet name="net evap" sheetId="3" r:id="rId6"/>
    <sheet name="Histogram" sheetId="4" r:id="rId7"/>
    <sheet name="Calculations" sheetId="5" r:id="rId8"/>
    <sheet name="recon" sheetId="6" r:id="rId9"/>
    <sheet name="basic_stats" sheetId="7" r:id="rId10"/>
    <sheet name="basic_stats _2_" sheetId="8" r:id="rId11"/>
    <sheet name="pdf" sheetId="9" r:id="rId12"/>
    <sheet name="severity CDR PIC" sheetId="16" r:id="rId13"/>
    <sheet name="severity" sheetId="10" r:id="rId14"/>
    <sheet name="duration CDR PIC" sheetId="17" r:id="rId15"/>
    <sheet name="duration" sheetId="11" r:id="rId16"/>
    <sheet name="Copula" sheetId="12" r:id="rId17"/>
    <sheet name="copula checking" sheetId="22" r:id="rId18"/>
    <sheet name="Sheet15" sheetId="13" r:id="rId19"/>
    <sheet name="Sheet1" sheetId="23" r:id="rId20"/>
    <sheet name="re" sheetId="24" r:id="rId21"/>
    <sheet name="Sheet2" sheetId="25" r:id="rId22"/>
    <sheet name="simulation_graph" sheetId="26" r:id="rId23"/>
    <sheet name="Sheet3" sheetId="27" r:id="rId24"/>
  </sheets>
  <externalReferences>
    <externalReference r:id="rId25"/>
  </externalReferences>
  <definedNames>
    <definedName name="Excel_BuiltIn__FilterDatabase_2">'net evap'!$A$2:$A$1010</definedName>
    <definedName name="solver_adj" localSheetId="15" hidden="1">duration!$I$2:$J$2</definedName>
    <definedName name="solver_cvg" localSheetId="15" hidden="1">0.0001</definedName>
    <definedName name="solver_drv" localSheetId="15" hidden="1">1</definedName>
    <definedName name="solver_est" localSheetId="15" hidden="1">1</definedName>
    <definedName name="solver_itr" localSheetId="15" hidden="1">100</definedName>
    <definedName name="solver_lin" localSheetId="15" hidden="1">2</definedName>
    <definedName name="solver_neg" localSheetId="15" hidden="1">2</definedName>
    <definedName name="solver_num" localSheetId="15" hidden="1">0</definedName>
    <definedName name="solver_nwt" localSheetId="15" hidden="1">1</definedName>
    <definedName name="solver_opt" localSheetId="15" hidden="1">duration!$L$198</definedName>
    <definedName name="solver_pre" localSheetId="15" hidden="1">0.000001</definedName>
    <definedName name="solver_scl" localSheetId="15" hidden="1">2</definedName>
    <definedName name="solver_sho" localSheetId="15" hidden="1">2</definedName>
    <definedName name="solver_tim" localSheetId="15" hidden="1">100</definedName>
    <definedName name="solver_tol" localSheetId="15" hidden="1">0.05</definedName>
    <definedName name="solver_typ" localSheetId="15" hidden="1">2</definedName>
    <definedName name="solver_val" localSheetId="15" hidden="1">0</definedName>
  </definedNames>
  <calcPr calcId="125725"/>
</workbook>
</file>

<file path=xl/calcChain.xml><?xml version="1.0" encoding="utf-8"?>
<calcChain xmlns="http://schemas.openxmlformats.org/spreadsheetml/2006/main">
  <c r="Q977" i="3"/>
  <c r="W198" i="6"/>
  <c r="R196" i="25"/>
  <c r="U196" s="1"/>
  <c r="R195"/>
  <c r="U195" s="1"/>
  <c r="R194"/>
  <c r="U194" s="1"/>
  <c r="R193"/>
  <c r="U193" s="1"/>
  <c r="R192"/>
  <c r="U192" s="1"/>
  <c r="R191"/>
  <c r="U191" s="1"/>
  <c r="R190"/>
  <c r="U190" s="1"/>
  <c r="R189"/>
  <c r="U189" s="1"/>
  <c r="R188"/>
  <c r="U188" s="1"/>
  <c r="R187"/>
  <c r="U187" s="1"/>
  <c r="R186"/>
  <c r="U186" s="1"/>
  <c r="R185"/>
  <c r="U185" s="1"/>
  <c r="R184"/>
  <c r="U184" s="1"/>
  <c r="R183"/>
  <c r="U183" s="1"/>
  <c r="R182"/>
  <c r="U182" s="1"/>
  <c r="R181"/>
  <c r="U181" s="1"/>
  <c r="R180"/>
  <c r="U180" s="1"/>
  <c r="R179"/>
  <c r="U179" s="1"/>
  <c r="R178"/>
  <c r="U178" s="1"/>
  <c r="R177"/>
  <c r="U177" s="1"/>
  <c r="R176"/>
  <c r="U176" s="1"/>
  <c r="R175"/>
  <c r="U175" s="1"/>
  <c r="R174"/>
  <c r="U174" s="1"/>
  <c r="R173"/>
  <c r="U173" s="1"/>
  <c r="R172"/>
  <c r="U172" s="1"/>
  <c r="R171"/>
  <c r="U171" s="1"/>
  <c r="R170"/>
  <c r="U170" s="1"/>
  <c r="R169"/>
  <c r="U169" s="1"/>
  <c r="R168"/>
  <c r="U168" s="1"/>
  <c r="R167"/>
  <c r="U167" s="1"/>
  <c r="R166"/>
  <c r="U166" s="1"/>
  <c r="R165"/>
  <c r="U165" s="1"/>
  <c r="R164"/>
  <c r="U164" s="1"/>
  <c r="R163"/>
  <c r="U163" s="1"/>
  <c r="R162"/>
  <c r="U162" s="1"/>
  <c r="R161"/>
  <c r="U161" s="1"/>
  <c r="R160"/>
  <c r="U160" s="1"/>
  <c r="R159"/>
  <c r="U159" s="1"/>
  <c r="R158"/>
  <c r="U158" s="1"/>
  <c r="R157"/>
  <c r="U157" s="1"/>
  <c r="R156"/>
  <c r="U156" s="1"/>
  <c r="R155"/>
  <c r="U155" s="1"/>
  <c r="R154"/>
  <c r="U154" s="1"/>
  <c r="R153"/>
  <c r="U153" s="1"/>
  <c r="R152"/>
  <c r="U152" s="1"/>
  <c r="R151"/>
  <c r="U151" s="1"/>
  <c r="R150"/>
  <c r="U150" s="1"/>
  <c r="R149"/>
  <c r="U149" s="1"/>
  <c r="R148"/>
  <c r="U148" s="1"/>
  <c r="R147"/>
  <c r="U147" s="1"/>
  <c r="R146"/>
  <c r="U146" s="1"/>
  <c r="R145"/>
  <c r="U145" s="1"/>
  <c r="R144"/>
  <c r="U144" s="1"/>
  <c r="R143"/>
  <c r="U143" s="1"/>
  <c r="R142"/>
  <c r="U142" s="1"/>
  <c r="R141"/>
  <c r="U141" s="1"/>
  <c r="R140"/>
  <c r="U140" s="1"/>
  <c r="R139"/>
  <c r="U139" s="1"/>
  <c r="R138"/>
  <c r="U138" s="1"/>
  <c r="R137"/>
  <c r="U137" s="1"/>
  <c r="R136"/>
  <c r="U136" s="1"/>
  <c r="R135"/>
  <c r="U135" s="1"/>
  <c r="R134"/>
  <c r="U134" s="1"/>
  <c r="R133"/>
  <c r="U133" s="1"/>
  <c r="R132"/>
  <c r="U132" s="1"/>
  <c r="R131"/>
  <c r="U131" s="1"/>
  <c r="R130"/>
  <c r="U130" s="1"/>
  <c r="R129"/>
  <c r="U129" s="1"/>
  <c r="R128"/>
  <c r="U128" s="1"/>
  <c r="R127"/>
  <c r="U127" s="1"/>
  <c r="R126"/>
  <c r="U126" s="1"/>
  <c r="R125"/>
  <c r="U125" s="1"/>
  <c r="R124"/>
  <c r="U124" s="1"/>
  <c r="R123"/>
  <c r="U123" s="1"/>
  <c r="R122"/>
  <c r="U122" s="1"/>
  <c r="R121"/>
  <c r="U121" s="1"/>
  <c r="R120"/>
  <c r="U120" s="1"/>
  <c r="R119"/>
  <c r="U119" s="1"/>
  <c r="R118"/>
  <c r="U118" s="1"/>
  <c r="R117"/>
  <c r="U117" s="1"/>
  <c r="R116"/>
  <c r="U116" s="1"/>
  <c r="R115"/>
  <c r="U115" s="1"/>
  <c r="R114"/>
  <c r="U114" s="1"/>
  <c r="R113"/>
  <c r="U113" s="1"/>
  <c r="R112"/>
  <c r="U112" s="1"/>
  <c r="R111"/>
  <c r="U111" s="1"/>
  <c r="R110"/>
  <c r="U110" s="1"/>
  <c r="R109"/>
  <c r="U109" s="1"/>
  <c r="R108"/>
  <c r="U108" s="1"/>
  <c r="R107"/>
  <c r="U107" s="1"/>
  <c r="R106"/>
  <c r="U106" s="1"/>
  <c r="R105"/>
  <c r="U105" s="1"/>
  <c r="R104"/>
  <c r="U104" s="1"/>
  <c r="R103"/>
  <c r="U103" s="1"/>
  <c r="R102"/>
  <c r="U102" s="1"/>
  <c r="R101"/>
  <c r="U101" s="1"/>
  <c r="R100"/>
  <c r="U100" s="1"/>
  <c r="R99"/>
  <c r="U99" s="1"/>
  <c r="R98"/>
  <c r="U98" s="1"/>
  <c r="R97"/>
  <c r="U97" s="1"/>
  <c r="R96"/>
  <c r="U96" s="1"/>
  <c r="R95"/>
  <c r="U95" s="1"/>
  <c r="R94"/>
  <c r="U94" s="1"/>
  <c r="R93"/>
  <c r="U93" s="1"/>
  <c r="R92"/>
  <c r="U92" s="1"/>
  <c r="R91"/>
  <c r="U91" s="1"/>
  <c r="R90"/>
  <c r="U90" s="1"/>
  <c r="R89"/>
  <c r="U89" s="1"/>
  <c r="R88"/>
  <c r="U88" s="1"/>
  <c r="R87"/>
  <c r="U87" s="1"/>
  <c r="R86"/>
  <c r="U86" s="1"/>
  <c r="R85"/>
  <c r="U85" s="1"/>
  <c r="R84"/>
  <c r="U84" s="1"/>
  <c r="R83"/>
  <c r="U83" s="1"/>
  <c r="R82"/>
  <c r="U82" s="1"/>
  <c r="R81"/>
  <c r="U81" s="1"/>
  <c r="R80"/>
  <c r="U80" s="1"/>
  <c r="R79"/>
  <c r="U79" s="1"/>
  <c r="R78"/>
  <c r="U78" s="1"/>
  <c r="R77"/>
  <c r="U77" s="1"/>
  <c r="R76"/>
  <c r="U76" s="1"/>
  <c r="R75"/>
  <c r="U75" s="1"/>
  <c r="R74"/>
  <c r="U74" s="1"/>
  <c r="R73"/>
  <c r="U73" s="1"/>
  <c r="R72"/>
  <c r="U72" s="1"/>
  <c r="R71"/>
  <c r="U71" s="1"/>
  <c r="R70"/>
  <c r="U70" s="1"/>
  <c r="R69"/>
  <c r="U69" s="1"/>
  <c r="R68"/>
  <c r="U68" s="1"/>
  <c r="R67"/>
  <c r="U67" s="1"/>
  <c r="R66"/>
  <c r="U66" s="1"/>
  <c r="R65"/>
  <c r="U65" s="1"/>
  <c r="R64"/>
  <c r="U64" s="1"/>
  <c r="R63"/>
  <c r="U63" s="1"/>
  <c r="R62"/>
  <c r="U62" s="1"/>
  <c r="R61"/>
  <c r="U61" s="1"/>
  <c r="R60"/>
  <c r="U60" s="1"/>
  <c r="R59"/>
  <c r="U59" s="1"/>
  <c r="R58"/>
  <c r="U58" s="1"/>
  <c r="R57"/>
  <c r="U57" s="1"/>
  <c r="R56"/>
  <c r="U56" s="1"/>
  <c r="R55"/>
  <c r="U55" s="1"/>
  <c r="R54"/>
  <c r="U54" s="1"/>
  <c r="R53"/>
  <c r="U53" s="1"/>
  <c r="R52"/>
  <c r="U52" s="1"/>
  <c r="R51"/>
  <c r="U51" s="1"/>
  <c r="R50"/>
  <c r="U50" s="1"/>
  <c r="R49"/>
  <c r="U49" s="1"/>
  <c r="R48"/>
  <c r="U48" s="1"/>
  <c r="R47"/>
  <c r="U47" s="1"/>
  <c r="R46"/>
  <c r="U46" s="1"/>
  <c r="R45"/>
  <c r="U45" s="1"/>
  <c r="R44"/>
  <c r="U44" s="1"/>
  <c r="R43"/>
  <c r="U43" s="1"/>
  <c r="R42"/>
  <c r="U42" s="1"/>
  <c r="R41"/>
  <c r="U41" s="1"/>
  <c r="R40"/>
  <c r="U40" s="1"/>
  <c r="R39"/>
  <c r="U39" s="1"/>
  <c r="R38"/>
  <c r="U38" s="1"/>
  <c r="R37"/>
  <c r="U37" s="1"/>
  <c r="R36"/>
  <c r="U36" s="1"/>
  <c r="R35"/>
  <c r="U35" s="1"/>
  <c r="R34"/>
  <c r="U34" s="1"/>
  <c r="R33"/>
  <c r="U33" s="1"/>
  <c r="R32"/>
  <c r="U32" s="1"/>
  <c r="R31"/>
  <c r="U31" s="1"/>
  <c r="R30"/>
  <c r="U30" s="1"/>
  <c r="R29"/>
  <c r="U29" s="1"/>
  <c r="R28"/>
  <c r="U28" s="1"/>
  <c r="R27"/>
  <c r="U27" s="1"/>
  <c r="R26"/>
  <c r="U26" s="1"/>
  <c r="R25"/>
  <c r="U25" s="1"/>
  <c r="R24"/>
  <c r="U24" s="1"/>
  <c r="R23"/>
  <c r="U23" s="1"/>
  <c r="R22"/>
  <c r="U22" s="1"/>
  <c r="R21"/>
  <c r="U21" s="1"/>
  <c r="R20"/>
  <c r="U20" s="1"/>
  <c r="R19"/>
  <c r="U19" s="1"/>
  <c r="R18"/>
  <c r="U18" s="1"/>
  <c r="R17"/>
  <c r="U17" s="1"/>
  <c r="R16"/>
  <c r="U16" s="1"/>
  <c r="R15"/>
  <c r="U15" s="1"/>
  <c r="R14"/>
  <c r="U14" s="1"/>
  <c r="R13"/>
  <c r="U13" s="1"/>
  <c r="R12"/>
  <c r="U12" s="1"/>
  <c r="R11"/>
  <c r="U11" s="1"/>
  <c r="R10"/>
  <c r="U10" s="1"/>
  <c r="R9"/>
  <c r="U9" s="1"/>
  <c r="R8"/>
  <c r="U8" s="1"/>
  <c r="R7"/>
  <c r="U7" s="1"/>
  <c r="R6"/>
  <c r="U6" s="1"/>
  <c r="R5"/>
  <c r="U5" s="1"/>
  <c r="R4"/>
  <c r="U4" s="1"/>
  <c r="R3"/>
  <c r="U3" s="1"/>
  <c r="K2"/>
  <c r="K3"/>
  <c r="K4"/>
  <c r="K5"/>
  <c r="K6"/>
  <c r="K7"/>
  <c r="K8"/>
  <c r="K9"/>
  <c r="K10"/>
  <c r="K11"/>
  <c r="K12"/>
  <c r="K13"/>
  <c r="K14"/>
  <c r="K15"/>
  <c r="K16"/>
  <c r="K17"/>
  <c r="K18"/>
  <c r="K19"/>
  <c r="K20"/>
  <c r="K21"/>
  <c r="K22"/>
  <c r="K23"/>
  <c r="K24"/>
  <c r="K25"/>
  <c r="K26"/>
  <c r="K27"/>
  <c r="K28"/>
  <c r="K29"/>
  <c r="K30"/>
  <c r="K31"/>
  <c r="K32"/>
  <c r="K33"/>
  <c r="K34"/>
  <c r="K35"/>
  <c r="K36"/>
  <c r="K37"/>
  <c r="K38"/>
  <c r="K39"/>
  <c r="K40"/>
  <c r="K41"/>
  <c r="K42"/>
  <c r="K43"/>
  <c r="K44"/>
  <c r="K45"/>
  <c r="K46"/>
  <c r="K47"/>
  <c r="K48"/>
  <c r="K49"/>
  <c r="K50"/>
  <c r="K51"/>
  <c r="K52"/>
  <c r="K53"/>
  <c r="K54"/>
  <c r="K55"/>
  <c r="K56"/>
  <c r="K57"/>
  <c r="K58"/>
  <c r="K59"/>
  <c r="K60"/>
  <c r="K61"/>
  <c r="K62"/>
  <c r="K63"/>
  <c r="K64"/>
  <c r="K65"/>
  <c r="K66"/>
  <c r="K67"/>
  <c r="K68"/>
  <c r="K69"/>
  <c r="K70"/>
  <c r="K71"/>
  <c r="K72"/>
  <c r="K73"/>
  <c r="K74"/>
  <c r="K75"/>
  <c r="K76"/>
  <c r="K77"/>
  <c r="K78"/>
  <c r="K79"/>
  <c r="K80"/>
  <c r="K81"/>
  <c r="K82"/>
  <c r="K83"/>
  <c r="K84"/>
  <c r="K85"/>
  <c r="K86"/>
  <c r="K87"/>
  <c r="K88"/>
  <c r="K89"/>
  <c r="K90"/>
  <c r="K91"/>
  <c r="K92"/>
  <c r="K93"/>
  <c r="K94"/>
  <c r="K95"/>
  <c r="K96"/>
  <c r="K97"/>
  <c r="K98"/>
  <c r="K99"/>
  <c r="K100"/>
  <c r="K101"/>
  <c r="K102"/>
  <c r="K103"/>
  <c r="K104"/>
  <c r="K105"/>
  <c r="K106"/>
  <c r="K107"/>
  <c r="K108"/>
  <c r="K109"/>
  <c r="K110"/>
  <c r="K111"/>
  <c r="K112"/>
  <c r="K113"/>
  <c r="K114"/>
  <c r="K115"/>
  <c r="K116"/>
  <c r="K117"/>
  <c r="K118"/>
  <c r="K119"/>
  <c r="K120"/>
  <c r="K121"/>
  <c r="K122"/>
  <c r="K123"/>
  <c r="K124"/>
  <c r="K125"/>
  <c r="K126"/>
  <c r="K127"/>
  <c r="K128"/>
  <c r="K129"/>
  <c r="K130"/>
  <c r="K131"/>
  <c r="K132"/>
  <c r="K133"/>
  <c r="K134"/>
  <c r="K135"/>
  <c r="K136"/>
  <c r="K137"/>
  <c r="K138"/>
  <c r="K139"/>
  <c r="K140"/>
  <c r="K141"/>
  <c r="K142"/>
  <c r="K143"/>
  <c r="K144"/>
  <c r="K145"/>
  <c r="K146"/>
  <c r="K147"/>
  <c r="K148"/>
  <c r="K149"/>
  <c r="K150"/>
  <c r="K151"/>
  <c r="K152"/>
  <c r="K153"/>
  <c r="K154"/>
  <c r="K155"/>
  <c r="K156"/>
  <c r="K157"/>
  <c r="K158"/>
  <c r="K159"/>
  <c r="K160"/>
  <c r="K161"/>
  <c r="K162"/>
  <c r="K163"/>
  <c r="K164"/>
  <c r="K165"/>
  <c r="K166"/>
  <c r="K167"/>
  <c r="K168"/>
  <c r="K169"/>
  <c r="K170"/>
  <c r="K171"/>
  <c r="K172"/>
  <c r="K173"/>
  <c r="K174"/>
  <c r="K175"/>
  <c r="K176"/>
  <c r="K177"/>
  <c r="K178"/>
  <c r="K179"/>
  <c r="K180"/>
  <c r="K181"/>
  <c r="K182"/>
  <c r="K183"/>
  <c r="K184"/>
  <c r="K185"/>
  <c r="K186"/>
  <c r="K187"/>
  <c r="K188"/>
  <c r="K189"/>
  <c r="K190"/>
  <c r="K191"/>
  <c r="K192"/>
  <c r="K193"/>
  <c r="K194"/>
  <c r="K195"/>
  <c r="K196"/>
  <c r="K197"/>
  <c r="K198"/>
  <c r="K199"/>
  <c r="K200"/>
  <c r="K201"/>
  <c r="K202"/>
  <c r="K203"/>
  <c r="K204"/>
  <c r="K205"/>
  <c r="K206"/>
  <c r="K207"/>
  <c r="K208"/>
  <c r="K209"/>
  <c r="K210"/>
  <c r="K211"/>
  <c r="K212"/>
  <c r="K213"/>
  <c r="K214"/>
  <c r="K215"/>
  <c r="K216"/>
  <c r="K217"/>
  <c r="K218"/>
  <c r="K219"/>
  <c r="K220"/>
  <c r="K221"/>
  <c r="K222"/>
  <c r="K223"/>
  <c r="K224"/>
  <c r="K225"/>
  <c r="K226"/>
  <c r="K227"/>
  <c r="K228"/>
  <c r="K229"/>
  <c r="K230"/>
  <c r="K231"/>
  <c r="K232"/>
  <c r="K233"/>
  <c r="K234"/>
  <c r="K235"/>
  <c r="K236"/>
  <c r="K237"/>
  <c r="K238"/>
  <c r="K239"/>
  <c r="K240"/>
  <c r="K241"/>
  <c r="K242"/>
  <c r="K243"/>
  <c r="K244"/>
  <c r="K245"/>
  <c r="K246"/>
  <c r="K247"/>
  <c r="K248"/>
  <c r="K249"/>
  <c r="K250"/>
  <c r="K251"/>
  <c r="K252"/>
  <c r="K253"/>
  <c r="K254"/>
  <c r="K255"/>
  <c r="K256"/>
  <c r="K257"/>
  <c r="K258"/>
  <c r="K259"/>
  <c r="K260"/>
  <c r="K261"/>
  <c r="K262"/>
  <c r="K263"/>
  <c r="K264"/>
  <c r="K265"/>
  <c r="K266"/>
  <c r="K267"/>
  <c r="K268"/>
  <c r="K269"/>
  <c r="K270"/>
  <c r="K271"/>
  <c r="K272"/>
  <c r="K273"/>
  <c r="K274"/>
  <c r="K275"/>
  <c r="K276"/>
  <c r="K277"/>
  <c r="K278"/>
  <c r="K279"/>
  <c r="K280"/>
  <c r="K281"/>
  <c r="K282"/>
  <c r="K283"/>
  <c r="K284"/>
  <c r="K285"/>
  <c r="K286"/>
  <c r="K287"/>
  <c r="K288"/>
  <c r="K289"/>
  <c r="K290"/>
  <c r="K291"/>
  <c r="K292"/>
  <c r="K293"/>
  <c r="K294"/>
  <c r="K295"/>
  <c r="K296"/>
  <c r="K297"/>
  <c r="K298"/>
  <c r="K299"/>
  <c r="K300"/>
  <c r="K301"/>
  <c r="K302"/>
  <c r="K303"/>
  <c r="K304"/>
  <c r="K305"/>
  <c r="K306"/>
  <c r="K307"/>
  <c r="K308"/>
  <c r="K309"/>
  <c r="K310"/>
  <c r="K311"/>
  <c r="K312"/>
  <c r="K313"/>
  <c r="K314"/>
  <c r="K315"/>
  <c r="K316"/>
  <c r="K317"/>
  <c r="K318"/>
  <c r="K319"/>
  <c r="K320"/>
  <c r="K321"/>
  <c r="K322"/>
  <c r="K323"/>
  <c r="K324"/>
  <c r="K325"/>
  <c r="K326"/>
  <c r="K327"/>
  <c r="K328"/>
  <c r="K329"/>
  <c r="K330"/>
  <c r="K331"/>
  <c r="K332"/>
  <c r="K333"/>
  <c r="K334"/>
  <c r="K335"/>
  <c r="K336"/>
  <c r="K337"/>
  <c r="K338"/>
  <c r="K339"/>
  <c r="K340"/>
  <c r="K341"/>
  <c r="K342"/>
  <c r="K343"/>
  <c r="K344"/>
  <c r="K345"/>
  <c r="K346"/>
  <c r="K347"/>
  <c r="K348"/>
  <c r="K349"/>
  <c r="K350"/>
  <c r="K351"/>
  <c r="K352"/>
  <c r="K353"/>
  <c r="K354"/>
  <c r="K355"/>
  <c r="K356"/>
  <c r="K357"/>
  <c r="K358"/>
  <c r="K359"/>
  <c r="K360"/>
  <c r="K361"/>
  <c r="K362"/>
  <c r="K363"/>
  <c r="K364"/>
  <c r="K365"/>
  <c r="K366"/>
  <c r="K367"/>
  <c r="K368"/>
  <c r="K369"/>
  <c r="K370"/>
  <c r="K371"/>
  <c r="K372"/>
  <c r="K373"/>
  <c r="K374"/>
  <c r="K375"/>
  <c r="K376"/>
  <c r="K377"/>
  <c r="K378"/>
  <c r="K379"/>
  <c r="K380"/>
  <c r="K381"/>
  <c r="K382"/>
  <c r="K383"/>
  <c r="K384"/>
  <c r="K385"/>
  <c r="K386"/>
  <c r="K387"/>
  <c r="K388"/>
  <c r="K389"/>
  <c r="K390"/>
  <c r="K391"/>
  <c r="K392"/>
  <c r="K393"/>
  <c r="K394"/>
  <c r="K395"/>
  <c r="K396"/>
  <c r="K397"/>
  <c r="K398"/>
  <c r="K399"/>
  <c r="K400"/>
  <c r="K401"/>
  <c r="K402"/>
  <c r="K403"/>
  <c r="K404"/>
  <c r="K405"/>
  <c r="K406"/>
  <c r="K407"/>
  <c r="K408"/>
  <c r="K409"/>
  <c r="K410"/>
  <c r="K411"/>
  <c r="K412"/>
  <c r="K413"/>
  <c r="K414"/>
  <c r="K415"/>
  <c r="K416"/>
  <c r="K417"/>
  <c r="K418"/>
  <c r="K419"/>
  <c r="K420"/>
  <c r="K421"/>
  <c r="K422"/>
  <c r="K423"/>
  <c r="K424"/>
  <c r="K425"/>
  <c r="K426"/>
  <c r="K427"/>
  <c r="K428"/>
  <c r="K429"/>
  <c r="K430"/>
  <c r="K431"/>
  <c r="K432"/>
  <c r="K433"/>
  <c r="K434"/>
  <c r="K435"/>
  <c r="K436"/>
  <c r="K437"/>
  <c r="K438"/>
  <c r="K439"/>
  <c r="K440"/>
  <c r="K441"/>
  <c r="K442"/>
  <c r="K443"/>
  <c r="K444"/>
  <c r="K445"/>
  <c r="K446"/>
  <c r="K447"/>
  <c r="K448"/>
  <c r="K449"/>
  <c r="K450"/>
  <c r="K451"/>
  <c r="K452"/>
  <c r="K453"/>
  <c r="K454"/>
  <c r="K455"/>
  <c r="K456"/>
  <c r="K457"/>
  <c r="K458"/>
  <c r="K459"/>
  <c r="K460"/>
  <c r="K461"/>
  <c r="K462"/>
  <c r="K463"/>
  <c r="K464"/>
  <c r="K465"/>
  <c r="K466"/>
  <c r="K467"/>
  <c r="K468"/>
  <c r="K469"/>
  <c r="K470"/>
  <c r="K471"/>
  <c r="K472"/>
  <c r="K473"/>
  <c r="K474"/>
  <c r="K475"/>
  <c r="K476"/>
  <c r="K477"/>
  <c r="K478"/>
  <c r="K479"/>
  <c r="K480"/>
  <c r="K481"/>
  <c r="K482"/>
  <c r="K483"/>
  <c r="K484"/>
  <c r="K485"/>
  <c r="K486"/>
  <c r="K487"/>
  <c r="K488"/>
  <c r="K489"/>
  <c r="K490"/>
  <c r="K491"/>
  <c r="K492"/>
  <c r="K493"/>
  <c r="K494"/>
  <c r="K495"/>
  <c r="K496"/>
  <c r="K497"/>
  <c r="K498"/>
  <c r="K499"/>
  <c r="K500"/>
  <c r="K501"/>
  <c r="K502"/>
  <c r="K503"/>
  <c r="K504"/>
  <c r="K505"/>
  <c r="K506"/>
  <c r="K507"/>
  <c r="K508"/>
  <c r="K509"/>
  <c r="K510"/>
  <c r="K511"/>
  <c r="K512"/>
  <c r="K513"/>
  <c r="K514"/>
  <c r="K515"/>
  <c r="K516"/>
  <c r="K517"/>
  <c r="K518"/>
  <c r="K519"/>
  <c r="K520"/>
  <c r="K521"/>
  <c r="K522"/>
  <c r="K523"/>
  <c r="K524"/>
  <c r="K525"/>
  <c r="K526"/>
  <c r="K527"/>
  <c r="K528"/>
  <c r="K529"/>
  <c r="K530"/>
  <c r="K531"/>
  <c r="K532"/>
  <c r="K533"/>
  <c r="K534"/>
  <c r="K535"/>
  <c r="K536"/>
  <c r="K537"/>
  <c r="K538"/>
  <c r="K539"/>
  <c r="K540"/>
  <c r="K541"/>
  <c r="K542"/>
  <c r="K543"/>
  <c r="K544"/>
  <c r="K545"/>
  <c r="K546"/>
  <c r="K547"/>
  <c r="K548"/>
  <c r="K549"/>
  <c r="K550"/>
  <c r="K551"/>
  <c r="K552"/>
  <c r="K553"/>
  <c r="K554"/>
  <c r="K555"/>
  <c r="K556"/>
  <c r="K557"/>
  <c r="K558"/>
  <c r="K559"/>
  <c r="K560"/>
  <c r="K561"/>
  <c r="K562"/>
  <c r="K563"/>
  <c r="K564"/>
  <c r="K565"/>
  <c r="K566"/>
  <c r="K567"/>
  <c r="K568"/>
  <c r="K569"/>
  <c r="K570"/>
  <c r="K571"/>
  <c r="K572"/>
  <c r="K573"/>
  <c r="K574"/>
  <c r="K575"/>
  <c r="K576"/>
  <c r="K577"/>
  <c r="K578"/>
  <c r="K579"/>
  <c r="K580"/>
  <c r="K581"/>
  <c r="K582"/>
  <c r="K583"/>
  <c r="K584"/>
  <c r="K585"/>
  <c r="K586"/>
  <c r="K587"/>
  <c r="K588"/>
  <c r="K589"/>
  <c r="K590"/>
  <c r="K591"/>
  <c r="K592"/>
  <c r="K593"/>
  <c r="K594"/>
  <c r="K595"/>
  <c r="K596"/>
  <c r="K597"/>
  <c r="K598"/>
  <c r="K599"/>
  <c r="K600"/>
  <c r="K601"/>
  <c r="K602"/>
  <c r="K603"/>
  <c r="K604"/>
  <c r="K605"/>
  <c r="K606"/>
  <c r="K607"/>
  <c r="K608"/>
  <c r="K609"/>
  <c r="K610"/>
  <c r="K611"/>
  <c r="K612"/>
  <c r="K613"/>
  <c r="K614"/>
  <c r="K615"/>
  <c r="K616"/>
  <c r="K617"/>
  <c r="K618"/>
  <c r="K619"/>
  <c r="K620"/>
  <c r="K621"/>
  <c r="K622"/>
  <c r="K623"/>
  <c r="K624"/>
  <c r="K625"/>
  <c r="K626"/>
  <c r="K627"/>
  <c r="K628"/>
  <c r="K629"/>
  <c r="K630"/>
  <c r="K631"/>
  <c r="K632"/>
  <c r="K633"/>
  <c r="K634"/>
  <c r="K635"/>
  <c r="K636"/>
  <c r="K637"/>
  <c r="K638"/>
  <c r="K639"/>
  <c r="K640"/>
  <c r="K641"/>
  <c r="K642"/>
  <c r="K643"/>
  <c r="K644"/>
  <c r="K645"/>
  <c r="K646"/>
  <c r="K647"/>
  <c r="K648"/>
  <c r="K649"/>
  <c r="K650"/>
  <c r="K651"/>
  <c r="K652"/>
  <c r="K653"/>
  <c r="K654"/>
  <c r="K655"/>
  <c r="K656"/>
  <c r="K657"/>
  <c r="K658"/>
  <c r="K659"/>
  <c r="K660"/>
  <c r="K661"/>
  <c r="K662"/>
  <c r="K663"/>
  <c r="K664"/>
  <c r="K665"/>
  <c r="K666"/>
  <c r="K667"/>
  <c r="K668"/>
  <c r="K669"/>
  <c r="K670"/>
  <c r="K671"/>
  <c r="K672"/>
  <c r="K673"/>
  <c r="K674"/>
  <c r="K675"/>
  <c r="K676"/>
  <c r="K677"/>
  <c r="K678"/>
  <c r="K679"/>
  <c r="K680"/>
  <c r="K681"/>
  <c r="K682"/>
  <c r="K683"/>
  <c r="K684"/>
  <c r="K685"/>
  <c r="K686"/>
  <c r="K687"/>
  <c r="K688"/>
  <c r="K689"/>
  <c r="K690"/>
  <c r="K691"/>
  <c r="K692"/>
  <c r="K693"/>
  <c r="K694"/>
  <c r="K695"/>
  <c r="K696"/>
  <c r="K697"/>
  <c r="K698"/>
  <c r="K699"/>
  <c r="K700"/>
  <c r="K701"/>
  <c r="K702"/>
  <c r="K703"/>
  <c r="K704"/>
  <c r="K705"/>
  <c r="K706"/>
  <c r="K707"/>
  <c r="K708"/>
  <c r="K709"/>
  <c r="K710"/>
  <c r="K711"/>
  <c r="K712"/>
  <c r="K713"/>
  <c r="K714"/>
  <c r="K715"/>
  <c r="K716"/>
  <c r="K717"/>
  <c r="K718"/>
  <c r="K719"/>
  <c r="K720"/>
  <c r="K721"/>
  <c r="K722"/>
  <c r="K723"/>
  <c r="K724"/>
  <c r="K725"/>
  <c r="K726"/>
  <c r="K727"/>
  <c r="K728"/>
  <c r="K729"/>
  <c r="K730"/>
  <c r="K731"/>
  <c r="K732"/>
  <c r="K733"/>
  <c r="K734"/>
  <c r="K735"/>
  <c r="K736"/>
  <c r="K737"/>
  <c r="K738"/>
  <c r="K739"/>
  <c r="K740"/>
  <c r="K741"/>
  <c r="K742"/>
  <c r="K743"/>
  <c r="K744"/>
  <c r="K745"/>
  <c r="K746"/>
  <c r="K747"/>
  <c r="K748"/>
  <c r="K749"/>
  <c r="K750"/>
  <c r="K751"/>
  <c r="K752"/>
  <c r="K753"/>
  <c r="K754"/>
  <c r="K755"/>
  <c r="K756"/>
  <c r="K757"/>
  <c r="K758"/>
  <c r="K759"/>
  <c r="K760"/>
  <c r="K761"/>
  <c r="K762"/>
  <c r="K763"/>
  <c r="K764"/>
  <c r="K765"/>
  <c r="K766"/>
  <c r="K767"/>
  <c r="K768"/>
  <c r="K769"/>
  <c r="K770"/>
  <c r="K771"/>
  <c r="K772"/>
  <c r="K773"/>
  <c r="K774"/>
  <c r="K775"/>
  <c r="K776"/>
  <c r="K777"/>
  <c r="K778"/>
  <c r="K779"/>
  <c r="K780"/>
  <c r="K781"/>
  <c r="K782"/>
  <c r="K783"/>
  <c r="K784"/>
  <c r="K785"/>
  <c r="K786"/>
  <c r="K787"/>
  <c r="K788"/>
  <c r="K789"/>
  <c r="K790"/>
  <c r="K791"/>
  <c r="K792"/>
  <c r="K793"/>
  <c r="K794"/>
  <c r="K795"/>
  <c r="K796"/>
  <c r="K797"/>
  <c r="K798"/>
  <c r="K799"/>
  <c r="K800"/>
  <c r="K801"/>
  <c r="K802"/>
  <c r="K803"/>
  <c r="K804"/>
  <c r="K805"/>
  <c r="K806"/>
  <c r="K807"/>
  <c r="K808"/>
  <c r="K809"/>
  <c r="K810"/>
  <c r="K811"/>
  <c r="K812"/>
  <c r="K813"/>
  <c r="K814"/>
  <c r="K815"/>
  <c r="K816"/>
  <c r="K817"/>
  <c r="K818"/>
  <c r="K819"/>
  <c r="K820"/>
  <c r="K821"/>
  <c r="K822"/>
  <c r="K823"/>
  <c r="K824"/>
  <c r="K825"/>
  <c r="K826"/>
  <c r="K827"/>
  <c r="K828"/>
  <c r="K829"/>
  <c r="K830"/>
  <c r="K831"/>
  <c r="K832"/>
  <c r="K833"/>
  <c r="K834"/>
  <c r="K835"/>
  <c r="K836"/>
  <c r="K837"/>
  <c r="K838"/>
  <c r="K839"/>
  <c r="K840"/>
  <c r="K841"/>
  <c r="K842"/>
  <c r="K843"/>
  <c r="K844"/>
  <c r="K845"/>
  <c r="K846"/>
  <c r="K847"/>
  <c r="K848"/>
  <c r="K849"/>
  <c r="K850"/>
  <c r="K851"/>
  <c r="K852"/>
  <c r="K853"/>
  <c r="K854"/>
  <c r="K855"/>
  <c r="K856"/>
  <c r="K857"/>
  <c r="K858"/>
  <c r="K859"/>
  <c r="K860"/>
  <c r="K861"/>
  <c r="K862"/>
  <c r="K863"/>
  <c r="K864"/>
  <c r="K865"/>
  <c r="K866"/>
  <c r="K867"/>
  <c r="K868"/>
  <c r="K869"/>
  <c r="K870"/>
  <c r="K871"/>
  <c r="K872"/>
  <c r="K873"/>
  <c r="K874"/>
  <c r="K875"/>
  <c r="K876"/>
  <c r="K877"/>
  <c r="K878"/>
  <c r="K879"/>
  <c r="K880"/>
  <c r="K881"/>
  <c r="K882"/>
  <c r="K883"/>
  <c r="K884"/>
  <c r="K885"/>
  <c r="K886"/>
  <c r="K887"/>
  <c r="K888"/>
  <c r="K889"/>
  <c r="K890"/>
  <c r="K891"/>
  <c r="K892"/>
  <c r="K893"/>
  <c r="K894"/>
  <c r="K895"/>
  <c r="K896"/>
  <c r="K897"/>
  <c r="K898"/>
  <c r="K899"/>
  <c r="K900"/>
  <c r="K901"/>
  <c r="K902"/>
  <c r="K903"/>
  <c r="K904"/>
  <c r="K905"/>
  <c r="K906"/>
  <c r="K907"/>
  <c r="K908"/>
  <c r="K909"/>
  <c r="K910"/>
  <c r="K911"/>
  <c r="K912"/>
  <c r="K913"/>
  <c r="K914"/>
  <c r="K915"/>
  <c r="K916"/>
  <c r="K917"/>
  <c r="K918"/>
  <c r="K919"/>
  <c r="K920"/>
  <c r="K921"/>
  <c r="K922"/>
  <c r="K923"/>
  <c r="K924"/>
  <c r="K925"/>
  <c r="K926"/>
  <c r="K927"/>
  <c r="K928"/>
  <c r="K929"/>
  <c r="K930"/>
  <c r="K931"/>
  <c r="K932"/>
  <c r="K933"/>
  <c r="K934"/>
  <c r="K935"/>
  <c r="K936"/>
  <c r="K937"/>
  <c r="K938"/>
  <c r="K939"/>
  <c r="K940"/>
  <c r="K941"/>
  <c r="K942"/>
  <c r="K943"/>
  <c r="K944"/>
  <c r="K945"/>
  <c r="K946"/>
  <c r="K947"/>
  <c r="K948"/>
  <c r="K949"/>
  <c r="K950"/>
  <c r="K951"/>
  <c r="K952"/>
  <c r="K953"/>
  <c r="K954"/>
  <c r="K955"/>
  <c r="K956"/>
  <c r="K957"/>
  <c r="K958"/>
  <c r="K959"/>
  <c r="K960"/>
  <c r="K961"/>
  <c r="K962"/>
  <c r="K963"/>
  <c r="K964"/>
  <c r="K965"/>
  <c r="K966"/>
  <c r="K967"/>
  <c r="K968"/>
  <c r="K969"/>
  <c r="K970"/>
  <c r="K971"/>
  <c r="K972"/>
  <c r="K973"/>
  <c r="K974"/>
  <c r="K975"/>
  <c r="K976"/>
  <c r="K977"/>
  <c r="K978"/>
  <c r="K979"/>
  <c r="K980"/>
  <c r="K981"/>
  <c r="K982"/>
  <c r="K983"/>
  <c r="K984"/>
  <c r="K985"/>
  <c r="K986"/>
  <c r="K987"/>
  <c r="K988"/>
  <c r="K989"/>
  <c r="K990"/>
  <c r="K991"/>
  <c r="K992"/>
  <c r="K993"/>
  <c r="K994"/>
  <c r="K995"/>
  <c r="K996"/>
  <c r="K997"/>
  <c r="K998"/>
  <c r="K999"/>
  <c r="K1000"/>
  <c r="K1001"/>
  <c r="K1002"/>
  <c r="K1003"/>
  <c r="K1004"/>
  <c r="K1005"/>
  <c r="K1006"/>
  <c r="K1007"/>
  <c r="K1008"/>
  <c r="K1009"/>
  <c r="K1010"/>
  <c r="K1011"/>
  <c r="K1012"/>
  <c r="K1013"/>
  <c r="K1014"/>
  <c r="K1015"/>
  <c r="K1016"/>
  <c r="K1017"/>
  <c r="K1018"/>
  <c r="K1019"/>
  <c r="K1020"/>
  <c r="K1021"/>
  <c r="K1022"/>
  <c r="K1023"/>
  <c r="K1024"/>
  <c r="K1025"/>
  <c r="K1026"/>
  <c r="K1027"/>
  <c r="K1028"/>
  <c r="K1029"/>
  <c r="K1030"/>
  <c r="K1031"/>
  <c r="K1032"/>
  <c r="K1033"/>
  <c r="K1034"/>
  <c r="K1035"/>
  <c r="K1036"/>
  <c r="K1037"/>
  <c r="K1038"/>
  <c r="K1039"/>
  <c r="K1040"/>
  <c r="K1041"/>
  <c r="K1042"/>
  <c r="K1043"/>
  <c r="K1044"/>
  <c r="K1045"/>
  <c r="K1046"/>
  <c r="K1047"/>
  <c r="K1048"/>
  <c r="K1049"/>
  <c r="K1050"/>
  <c r="K1051"/>
  <c r="K1052"/>
  <c r="K1053"/>
  <c r="K1054"/>
  <c r="K1055"/>
  <c r="K1056"/>
  <c r="K1057"/>
  <c r="K1058"/>
  <c r="K1059"/>
  <c r="K1060"/>
  <c r="K1061"/>
  <c r="K1062"/>
  <c r="K1063"/>
  <c r="K1064"/>
  <c r="K1065"/>
  <c r="K1066"/>
  <c r="K1067"/>
  <c r="K1068"/>
  <c r="K1069"/>
  <c r="K1070"/>
  <c r="K1071"/>
  <c r="K1072"/>
  <c r="K1073"/>
  <c r="K1074"/>
  <c r="K1075"/>
  <c r="K1076"/>
  <c r="K1077"/>
  <c r="K1078"/>
  <c r="K1079"/>
  <c r="K1080"/>
  <c r="K1081"/>
  <c r="K1082"/>
  <c r="K1083"/>
  <c r="K1084"/>
  <c r="K1085"/>
  <c r="K1086"/>
  <c r="K1087"/>
  <c r="K1088"/>
  <c r="K1089"/>
  <c r="K1090"/>
  <c r="K1091"/>
  <c r="K1092"/>
  <c r="K1093"/>
  <c r="K1094"/>
  <c r="K1095"/>
  <c r="K1096"/>
  <c r="K1097"/>
  <c r="K1098"/>
  <c r="K1099"/>
  <c r="K1100"/>
  <c r="K1101"/>
  <c r="K1102"/>
  <c r="K1103"/>
  <c r="K1104"/>
  <c r="K1105"/>
  <c r="K1106"/>
  <c r="K1107"/>
  <c r="K1108"/>
  <c r="K1109"/>
  <c r="K1110"/>
  <c r="K1111"/>
  <c r="K1112"/>
  <c r="K1113"/>
  <c r="K1114"/>
  <c r="K1115"/>
  <c r="K1116"/>
  <c r="K1117"/>
  <c r="K1118"/>
  <c r="K1119"/>
  <c r="K1120"/>
  <c r="K1121"/>
  <c r="K1122"/>
  <c r="K1123"/>
  <c r="K1124"/>
  <c r="K1125"/>
  <c r="K1126"/>
  <c r="K1127"/>
  <c r="K1128"/>
  <c r="K1129"/>
  <c r="K1130"/>
  <c r="K1131"/>
  <c r="K1132"/>
  <c r="K1133"/>
  <c r="K1134"/>
  <c r="K1135"/>
  <c r="K1136"/>
  <c r="K1137"/>
  <c r="K1138"/>
  <c r="K1139"/>
  <c r="K1140"/>
  <c r="K1141"/>
  <c r="K1142"/>
  <c r="K1143"/>
  <c r="K1144"/>
  <c r="K1145"/>
  <c r="K1146"/>
  <c r="K1147"/>
  <c r="K1148"/>
  <c r="K1149"/>
  <c r="K1150"/>
  <c r="K1151"/>
  <c r="K1152"/>
  <c r="K1153"/>
  <c r="K1154"/>
  <c r="K1155"/>
  <c r="K1156"/>
  <c r="K1157"/>
  <c r="K1158"/>
  <c r="K1159"/>
  <c r="K1160"/>
  <c r="K1161"/>
  <c r="K1162"/>
  <c r="K1163"/>
  <c r="K1164"/>
  <c r="K1165"/>
  <c r="K1166"/>
  <c r="K1167"/>
  <c r="K1168"/>
  <c r="K1169"/>
  <c r="K1170"/>
  <c r="K1171"/>
  <c r="K1172"/>
  <c r="K1173"/>
  <c r="K1174"/>
  <c r="K1175"/>
  <c r="K1176"/>
  <c r="K1177"/>
  <c r="K1178"/>
  <c r="K1179"/>
  <c r="K1180"/>
  <c r="K1181"/>
  <c r="K1182"/>
  <c r="K1183"/>
  <c r="K1184"/>
  <c r="K1185"/>
  <c r="K1186"/>
  <c r="K1187"/>
  <c r="K1188"/>
  <c r="K1189"/>
  <c r="K1190"/>
  <c r="K1191"/>
  <c r="K1192"/>
  <c r="K1193"/>
  <c r="K1194"/>
  <c r="K1195"/>
  <c r="K1196"/>
  <c r="K1197"/>
  <c r="K1198"/>
  <c r="K1199"/>
  <c r="K1200"/>
  <c r="K1201"/>
  <c r="K1202"/>
  <c r="K1203"/>
  <c r="K1204"/>
  <c r="K1205"/>
  <c r="K1206"/>
  <c r="K1207"/>
  <c r="K1208"/>
  <c r="K1209"/>
  <c r="K1210"/>
  <c r="K1211"/>
  <c r="K1212"/>
  <c r="K1213"/>
  <c r="K1214"/>
  <c r="K1215"/>
  <c r="K1216"/>
  <c r="K1217"/>
  <c r="K1218"/>
  <c r="K1219"/>
  <c r="K1220"/>
  <c r="K1221"/>
  <c r="K1222"/>
  <c r="K1223"/>
  <c r="K1224"/>
  <c r="K1225"/>
  <c r="K1226"/>
  <c r="K1227"/>
  <c r="K1228"/>
  <c r="K1229"/>
  <c r="K1230"/>
  <c r="K1231"/>
  <c r="K1232"/>
  <c r="K1233"/>
  <c r="K1234"/>
  <c r="K1235"/>
  <c r="K1236"/>
  <c r="K1237"/>
  <c r="K1238"/>
  <c r="K1239"/>
  <c r="K1240"/>
  <c r="K1241"/>
  <c r="K1242"/>
  <c r="K1243"/>
  <c r="K1244"/>
  <c r="K1245"/>
  <c r="K1246"/>
  <c r="K1247"/>
  <c r="K1248"/>
  <c r="K1249"/>
  <c r="K1250"/>
  <c r="K1251"/>
  <c r="K1252"/>
  <c r="K1253"/>
  <c r="K1254"/>
  <c r="K1255"/>
  <c r="K1256"/>
  <c r="K1257"/>
  <c r="K1258"/>
  <c r="K1259"/>
  <c r="K1260"/>
  <c r="K1261"/>
  <c r="K1262"/>
  <c r="K1263"/>
  <c r="K1264"/>
  <c r="K1265"/>
  <c r="K1266"/>
  <c r="K1267"/>
  <c r="K1268"/>
  <c r="K1269"/>
  <c r="K1270"/>
  <c r="K1271"/>
  <c r="K1272"/>
  <c r="K1273"/>
  <c r="K1274"/>
  <c r="K1275"/>
  <c r="K1276"/>
  <c r="K1277"/>
  <c r="K1278"/>
  <c r="K1279"/>
  <c r="K1280"/>
  <c r="K1281"/>
  <c r="K1282"/>
  <c r="K1283"/>
  <c r="K1284"/>
  <c r="K1285"/>
  <c r="K1286"/>
  <c r="K1287"/>
  <c r="K1288"/>
  <c r="K1289"/>
  <c r="K1290"/>
  <c r="K1291"/>
  <c r="K1292"/>
  <c r="K1293"/>
  <c r="K1294"/>
  <c r="K1295"/>
  <c r="K1296"/>
  <c r="K1297"/>
  <c r="K1298"/>
  <c r="K1299"/>
  <c r="K1300"/>
  <c r="K1301"/>
  <c r="K1302"/>
  <c r="K1303"/>
  <c r="K1304"/>
  <c r="K1305"/>
  <c r="K1306"/>
  <c r="K1307"/>
  <c r="K1308"/>
  <c r="K1309"/>
  <c r="K1310"/>
  <c r="K1311"/>
  <c r="K1312"/>
  <c r="K1313"/>
  <c r="K1314"/>
  <c r="K1315"/>
  <c r="K1316"/>
  <c r="K1317"/>
  <c r="K1318"/>
  <c r="K1319"/>
  <c r="K1320"/>
  <c r="K1321"/>
  <c r="K1322"/>
  <c r="K1323"/>
  <c r="K1324"/>
  <c r="K1325"/>
  <c r="K1326"/>
  <c r="K1327"/>
  <c r="K1328"/>
  <c r="K1329"/>
  <c r="K1330"/>
  <c r="K1331"/>
  <c r="K1332"/>
  <c r="K1333"/>
  <c r="K1334"/>
  <c r="K1335"/>
  <c r="K1336"/>
  <c r="K1337"/>
  <c r="K1338"/>
  <c r="K1339"/>
  <c r="K1340"/>
  <c r="K1341"/>
  <c r="K1342"/>
  <c r="K1343"/>
  <c r="K1344"/>
  <c r="K1345"/>
  <c r="K1346"/>
  <c r="K1347"/>
  <c r="K1348"/>
  <c r="K1349"/>
  <c r="K1350"/>
  <c r="K1351"/>
  <c r="K1352"/>
  <c r="K1353"/>
  <c r="K1354"/>
  <c r="K1355"/>
  <c r="K1356"/>
  <c r="K1357"/>
  <c r="K1358"/>
  <c r="K1359"/>
  <c r="K1360"/>
  <c r="K1361"/>
  <c r="K1362"/>
  <c r="K1363"/>
  <c r="K1364"/>
  <c r="K1365"/>
  <c r="K1366"/>
  <c r="K1367"/>
  <c r="K1368"/>
  <c r="K1369"/>
  <c r="K1370"/>
  <c r="K1371"/>
  <c r="K1372"/>
  <c r="K1373"/>
  <c r="K1374"/>
  <c r="K1375"/>
  <c r="K1376"/>
  <c r="K1377"/>
  <c r="K1378"/>
  <c r="K1379"/>
  <c r="K1380"/>
  <c r="K1381"/>
  <c r="K1382"/>
  <c r="K1383"/>
  <c r="K1384"/>
  <c r="K1385"/>
  <c r="K1386"/>
  <c r="K1387"/>
  <c r="K1388"/>
  <c r="K1389"/>
  <c r="K1390"/>
  <c r="K1391"/>
  <c r="K1392"/>
  <c r="K1393"/>
  <c r="K1394"/>
  <c r="K1395"/>
  <c r="K1396"/>
  <c r="K1397"/>
  <c r="K1398"/>
  <c r="K1399"/>
  <c r="K1400"/>
  <c r="K1401"/>
  <c r="K1402"/>
  <c r="K1403"/>
  <c r="K1404"/>
  <c r="K1405"/>
  <c r="K1406"/>
  <c r="K1407"/>
  <c r="K1408"/>
  <c r="K1409"/>
  <c r="K1410"/>
  <c r="K1411"/>
  <c r="K1412"/>
  <c r="K1413"/>
  <c r="K1414"/>
  <c r="K1415"/>
  <c r="K1416"/>
  <c r="K1417"/>
  <c r="K1418"/>
  <c r="K1419"/>
  <c r="K1420"/>
  <c r="K1421"/>
  <c r="K1422"/>
  <c r="K1423"/>
  <c r="K1424"/>
  <c r="K1425"/>
  <c r="K1426"/>
  <c r="K1427"/>
  <c r="K1428"/>
  <c r="K1429"/>
  <c r="K1430"/>
  <c r="K1431"/>
  <c r="K1432"/>
  <c r="K1433"/>
  <c r="K1434"/>
  <c r="K1435"/>
  <c r="K1436"/>
  <c r="K1437"/>
  <c r="K1438"/>
  <c r="K1439"/>
  <c r="K1440"/>
  <c r="K1441"/>
  <c r="K1442"/>
  <c r="K1443"/>
  <c r="K1444"/>
  <c r="K1445"/>
  <c r="K1446"/>
  <c r="K1447"/>
  <c r="K1448"/>
  <c r="K1449"/>
  <c r="K1450"/>
  <c r="K1451"/>
  <c r="K1452"/>
  <c r="K1453"/>
  <c r="K1454"/>
  <c r="K1455"/>
  <c r="K1456"/>
  <c r="K1457"/>
  <c r="K1458"/>
  <c r="K1459"/>
  <c r="K1460"/>
  <c r="K1461"/>
  <c r="K1462"/>
  <c r="K1463"/>
  <c r="K1464"/>
  <c r="K1465"/>
  <c r="K1466"/>
  <c r="K1467"/>
  <c r="K1468"/>
  <c r="K1469"/>
  <c r="K1470"/>
  <c r="K1471"/>
  <c r="K1472"/>
  <c r="K1473"/>
  <c r="K1474"/>
  <c r="K1475"/>
  <c r="K1476"/>
  <c r="K1477"/>
  <c r="K1478"/>
  <c r="K1479"/>
  <c r="K1480"/>
  <c r="K1481"/>
  <c r="K1482"/>
  <c r="K1483"/>
  <c r="K1484"/>
  <c r="K1485"/>
  <c r="K1486"/>
  <c r="K1487"/>
  <c r="K1488"/>
  <c r="K1489"/>
  <c r="K1490"/>
  <c r="K1491"/>
  <c r="K1492"/>
  <c r="K1493"/>
  <c r="K1494"/>
  <c r="K1495"/>
  <c r="K1496"/>
  <c r="K1497"/>
  <c r="K1498"/>
  <c r="K1499"/>
  <c r="K1500"/>
  <c r="K1501"/>
  <c r="K1502"/>
  <c r="K1503"/>
  <c r="K1504"/>
  <c r="K1505"/>
  <c r="K1506"/>
  <c r="K1507"/>
  <c r="K1508"/>
  <c r="K1509"/>
  <c r="K1510"/>
  <c r="K1511"/>
  <c r="K1512"/>
  <c r="K1513"/>
  <c r="K1514"/>
  <c r="K1515"/>
  <c r="K1516"/>
  <c r="K1517"/>
  <c r="K1518"/>
  <c r="K1519"/>
  <c r="K1520"/>
  <c r="K1521"/>
  <c r="K1522"/>
  <c r="K1523"/>
  <c r="K1524"/>
  <c r="K1525"/>
  <c r="K1526"/>
  <c r="K1527"/>
  <c r="K1528"/>
  <c r="K1529"/>
  <c r="K1530"/>
  <c r="K1531"/>
  <c r="K1532"/>
  <c r="K1533"/>
  <c r="K1534"/>
  <c r="K1535"/>
  <c r="K1536"/>
  <c r="K1537"/>
  <c r="K1538"/>
  <c r="K1539"/>
  <c r="K1540"/>
  <c r="K1541"/>
  <c r="K1542"/>
  <c r="K1543"/>
  <c r="K1544"/>
  <c r="K1545"/>
  <c r="K1546"/>
  <c r="K1547"/>
  <c r="K1548"/>
  <c r="K1549"/>
  <c r="K1550"/>
  <c r="K1551"/>
  <c r="K1552"/>
  <c r="K1553"/>
  <c r="K1554"/>
  <c r="K1555"/>
  <c r="K1556"/>
  <c r="K1557"/>
  <c r="K1558"/>
  <c r="K1559"/>
  <c r="K1560"/>
  <c r="K1561"/>
  <c r="K1562"/>
  <c r="K1563"/>
  <c r="K1564"/>
  <c r="K1565"/>
  <c r="K1566"/>
  <c r="K1567"/>
  <c r="K1568"/>
  <c r="K1569"/>
  <c r="K1570"/>
  <c r="K1571"/>
  <c r="K1572"/>
  <c r="K1573"/>
  <c r="K1574"/>
  <c r="K1575"/>
  <c r="K1576"/>
  <c r="K1577"/>
  <c r="K1578"/>
  <c r="K1579"/>
  <c r="K1580"/>
  <c r="K1581"/>
  <c r="K1582"/>
  <c r="K1583"/>
  <c r="K1584"/>
  <c r="K1585"/>
  <c r="K1586"/>
  <c r="K1587"/>
  <c r="K1588"/>
  <c r="K1589"/>
  <c r="K1590"/>
  <c r="K1591"/>
  <c r="K1592"/>
  <c r="K1593"/>
  <c r="K1594"/>
  <c r="K1595"/>
  <c r="K1596"/>
  <c r="K1597"/>
  <c r="K1598"/>
  <c r="K1599"/>
  <c r="K1600"/>
  <c r="K1601"/>
  <c r="K1602"/>
  <c r="K1603"/>
  <c r="K1604"/>
  <c r="K1605"/>
  <c r="K1606"/>
  <c r="K1607"/>
  <c r="K1608"/>
  <c r="K1609"/>
  <c r="K1610"/>
  <c r="K1611"/>
  <c r="K1612"/>
  <c r="K1613"/>
  <c r="K1614"/>
  <c r="K1615"/>
  <c r="K1616"/>
  <c r="K1617"/>
  <c r="K1618"/>
  <c r="K1619"/>
  <c r="K1620"/>
  <c r="K1621"/>
  <c r="K1622"/>
  <c r="K1623"/>
  <c r="K1624"/>
  <c r="K1625"/>
  <c r="K1626"/>
  <c r="K1627"/>
  <c r="K1628"/>
  <c r="K1629"/>
  <c r="K1630"/>
  <c r="K1631"/>
  <c r="K1632"/>
  <c r="K1633"/>
  <c r="K1634"/>
  <c r="K1635"/>
  <c r="K1636"/>
  <c r="K1637"/>
  <c r="K1638"/>
  <c r="K1639"/>
  <c r="K1640"/>
  <c r="K1641"/>
  <c r="K1642"/>
  <c r="K1643"/>
  <c r="K1644"/>
  <c r="K1645"/>
  <c r="K1646"/>
  <c r="K1647"/>
  <c r="K1648"/>
  <c r="K1649"/>
  <c r="K1650"/>
  <c r="K1651"/>
  <c r="K1652"/>
  <c r="K1653"/>
  <c r="K1654"/>
  <c r="K1655"/>
  <c r="K1656"/>
  <c r="K1657"/>
  <c r="K1658"/>
  <c r="K1659"/>
  <c r="K1660"/>
  <c r="K1661"/>
  <c r="K1662"/>
  <c r="K1663"/>
  <c r="K1664"/>
  <c r="K1665"/>
  <c r="K1666"/>
  <c r="K1667"/>
  <c r="K1668"/>
  <c r="K1669"/>
  <c r="K1670"/>
  <c r="K1671"/>
  <c r="K1672"/>
  <c r="K1673"/>
  <c r="K1674"/>
  <c r="K1675"/>
  <c r="K1676"/>
  <c r="K1677"/>
  <c r="K1678"/>
  <c r="K1679"/>
  <c r="K1680"/>
  <c r="K1681"/>
  <c r="K1682"/>
  <c r="K1683"/>
  <c r="K1684"/>
  <c r="K1685"/>
  <c r="K1686"/>
  <c r="K1687"/>
  <c r="K1688"/>
  <c r="K1689"/>
  <c r="K1690"/>
  <c r="K1691"/>
  <c r="K1692"/>
  <c r="K1693"/>
  <c r="K1694"/>
  <c r="K1695"/>
  <c r="K1696"/>
  <c r="K1697"/>
  <c r="K1698"/>
  <c r="K1699"/>
  <c r="K1700"/>
  <c r="K1701"/>
  <c r="K1702"/>
  <c r="K1703"/>
  <c r="K1704"/>
  <c r="K1705"/>
  <c r="K1706"/>
  <c r="K1707"/>
  <c r="K1708"/>
  <c r="K1709"/>
  <c r="K1710"/>
  <c r="K1711"/>
  <c r="K1712"/>
  <c r="K1713"/>
  <c r="K1714"/>
  <c r="K1715"/>
  <c r="K1716"/>
  <c r="K1717"/>
  <c r="K1718"/>
  <c r="K1719"/>
  <c r="K1720"/>
  <c r="K1721"/>
  <c r="K1722"/>
  <c r="K1723"/>
  <c r="K1724"/>
  <c r="K1725"/>
  <c r="K1726"/>
  <c r="K1727"/>
  <c r="K1728"/>
  <c r="K1729"/>
  <c r="K1730"/>
  <c r="K1731"/>
  <c r="K1732"/>
  <c r="K1733"/>
  <c r="K1734"/>
  <c r="K1735"/>
  <c r="K1736"/>
  <c r="K1737"/>
  <c r="K1738"/>
  <c r="K1739"/>
  <c r="K1740"/>
  <c r="K1741"/>
  <c r="K1742"/>
  <c r="K1743"/>
  <c r="K1744"/>
  <c r="K1745"/>
  <c r="K1746"/>
  <c r="K1747"/>
  <c r="K1748"/>
  <c r="K1749"/>
  <c r="K1750"/>
  <c r="K1751"/>
  <c r="K1752"/>
  <c r="K1753"/>
  <c r="K1754"/>
  <c r="K1755"/>
  <c r="K1756"/>
  <c r="K1757"/>
  <c r="K1758"/>
  <c r="K1759"/>
  <c r="K1760"/>
  <c r="K1761"/>
  <c r="K1762"/>
  <c r="K1763"/>
  <c r="K1764"/>
  <c r="K1765"/>
  <c r="K1766"/>
  <c r="K1767"/>
  <c r="K1768"/>
  <c r="K1769"/>
  <c r="K1770"/>
  <c r="K1771"/>
  <c r="K1772"/>
  <c r="K1773"/>
  <c r="K1774"/>
  <c r="K1775"/>
  <c r="K1776"/>
  <c r="K1777"/>
  <c r="K1778"/>
  <c r="K1779"/>
  <c r="K1780"/>
  <c r="K1781"/>
  <c r="K1782"/>
  <c r="K1783"/>
  <c r="K1784"/>
  <c r="K1785"/>
  <c r="K1786"/>
  <c r="K1787"/>
  <c r="K1788"/>
  <c r="K1789"/>
  <c r="K1790"/>
  <c r="K1791"/>
  <c r="K1792"/>
  <c r="K1793"/>
  <c r="K1794"/>
  <c r="K1795"/>
  <c r="K1796"/>
  <c r="K1797"/>
  <c r="K1798"/>
  <c r="K1799"/>
  <c r="K1800"/>
  <c r="K1801"/>
  <c r="K1802"/>
  <c r="K1803"/>
  <c r="K1804"/>
  <c r="K1805"/>
  <c r="K1806"/>
  <c r="K1807"/>
  <c r="K1808"/>
  <c r="K1809"/>
  <c r="K1810"/>
  <c r="K1811"/>
  <c r="K1812"/>
  <c r="K1813"/>
  <c r="K1814"/>
  <c r="K1815"/>
  <c r="K1816"/>
  <c r="K1817"/>
  <c r="K1818"/>
  <c r="K1819"/>
  <c r="K1820"/>
  <c r="K1821"/>
  <c r="K1822"/>
  <c r="K1823"/>
  <c r="K1824"/>
  <c r="K1825"/>
  <c r="K1826"/>
  <c r="K1827"/>
  <c r="K1828"/>
  <c r="K1829"/>
  <c r="K1830"/>
  <c r="K1831"/>
  <c r="K1832"/>
  <c r="K1833"/>
  <c r="K1834"/>
  <c r="K1835"/>
  <c r="K1836"/>
  <c r="K1837"/>
  <c r="K1838"/>
  <c r="K1839"/>
  <c r="K1840"/>
  <c r="K1841"/>
  <c r="K1842"/>
  <c r="K1843"/>
  <c r="K1844"/>
  <c r="K1845"/>
  <c r="K1846"/>
  <c r="K1847"/>
  <c r="K1848"/>
  <c r="K1849"/>
  <c r="K1850"/>
  <c r="K1851"/>
  <c r="K1852"/>
  <c r="K1853"/>
  <c r="K1854"/>
  <c r="K1855"/>
  <c r="K1856"/>
  <c r="K1857"/>
  <c r="K1858"/>
  <c r="K1859"/>
  <c r="K1860"/>
  <c r="K1861"/>
  <c r="K1862"/>
  <c r="K1863"/>
  <c r="K1864"/>
  <c r="K1865"/>
  <c r="K1866"/>
  <c r="K1867"/>
  <c r="K1868"/>
  <c r="K1869"/>
  <c r="K1870"/>
  <c r="K1871"/>
  <c r="K1872"/>
  <c r="K1873"/>
  <c r="K1874"/>
  <c r="K1875"/>
  <c r="K1876"/>
  <c r="K1877"/>
  <c r="K1878"/>
  <c r="K1879"/>
  <c r="K1880"/>
  <c r="K1881"/>
  <c r="K1882"/>
  <c r="K1883"/>
  <c r="K1884"/>
  <c r="K1885"/>
  <c r="K1886"/>
  <c r="K1887"/>
  <c r="K1888"/>
  <c r="K1889"/>
  <c r="K1890"/>
  <c r="K1891"/>
  <c r="K1892"/>
  <c r="K1893"/>
  <c r="K1894"/>
  <c r="K1895"/>
  <c r="K1896"/>
  <c r="K1897"/>
  <c r="K1898"/>
  <c r="K1899"/>
  <c r="K1900"/>
  <c r="K1901"/>
  <c r="K1902"/>
  <c r="K1903"/>
  <c r="K1904"/>
  <c r="K1905"/>
  <c r="K1906"/>
  <c r="K1907"/>
  <c r="K1908"/>
  <c r="K1909"/>
  <c r="K1910"/>
  <c r="K1911"/>
  <c r="K1912"/>
  <c r="K1913"/>
  <c r="K1914"/>
  <c r="K1915"/>
  <c r="K1916"/>
  <c r="K1917"/>
  <c r="K1918"/>
  <c r="K1919"/>
  <c r="K1920"/>
  <c r="K1921"/>
  <c r="K1922"/>
  <c r="K1923"/>
  <c r="K1924"/>
  <c r="K1925"/>
  <c r="K1926"/>
  <c r="K1927"/>
  <c r="K1928"/>
  <c r="K1929"/>
  <c r="K1930"/>
  <c r="K1931"/>
  <c r="K1932"/>
  <c r="K1933"/>
  <c r="K1934"/>
  <c r="K1935"/>
  <c r="K1936"/>
  <c r="K1937"/>
  <c r="K1938"/>
  <c r="K1939"/>
  <c r="K1940"/>
  <c r="K1941"/>
  <c r="K1942"/>
  <c r="K1943"/>
  <c r="K1944"/>
  <c r="K1945"/>
  <c r="K1946"/>
  <c r="K1947"/>
  <c r="K1948"/>
  <c r="K1949"/>
  <c r="K1950"/>
  <c r="K1951"/>
  <c r="K1952"/>
  <c r="K1953"/>
  <c r="K1954"/>
  <c r="K1955"/>
  <c r="K1956"/>
  <c r="K1957"/>
  <c r="K1958"/>
  <c r="K1959"/>
  <c r="K1960"/>
  <c r="K1961"/>
  <c r="K1962"/>
  <c r="K1963"/>
  <c r="K1964"/>
  <c r="K1965"/>
  <c r="K1966"/>
  <c r="K1967"/>
  <c r="K1968"/>
  <c r="K1969"/>
  <c r="K1970"/>
  <c r="K1971"/>
  <c r="K1972"/>
  <c r="K1973"/>
  <c r="K1974"/>
  <c r="K1975"/>
  <c r="K1976"/>
  <c r="K1977"/>
  <c r="K1978"/>
  <c r="K1979"/>
  <c r="K1980"/>
  <c r="K1981"/>
  <c r="K1982"/>
  <c r="K1983"/>
  <c r="K1984"/>
  <c r="K1985"/>
  <c r="K1986"/>
  <c r="K1987"/>
  <c r="K1988"/>
  <c r="K1989"/>
  <c r="K1990"/>
  <c r="K1991"/>
  <c r="K1992"/>
  <c r="K1993"/>
  <c r="K1994"/>
  <c r="K1995"/>
  <c r="K1996"/>
  <c r="K1997"/>
  <c r="K1998"/>
  <c r="K1999"/>
  <c r="K2000"/>
  <c r="K1"/>
  <c r="L197" i="11"/>
  <c r="D6" i="25"/>
  <c r="D7"/>
  <c r="D8"/>
  <c r="D9"/>
  <c r="D10"/>
  <c r="D11"/>
  <c r="D12"/>
  <c r="D13"/>
  <c r="D14"/>
  <c r="D15"/>
  <c r="D16"/>
  <c r="D17"/>
  <c r="D18"/>
  <c r="D19"/>
  <c r="D20"/>
  <c r="D21"/>
  <c r="D22"/>
  <c r="D23"/>
  <c r="D24"/>
  <c r="D25"/>
  <c r="D26"/>
  <c r="D27"/>
  <c r="D28"/>
  <c r="D29"/>
  <c r="D30"/>
  <c r="D31"/>
  <c r="D32"/>
  <c r="D33"/>
  <c r="D34"/>
  <c r="D35"/>
  <c r="D36"/>
  <c r="D37"/>
  <c r="D38"/>
  <c r="D39"/>
  <c r="D40"/>
  <c r="D41"/>
  <c r="D42"/>
  <c r="D43"/>
  <c r="D44"/>
  <c r="D45"/>
  <c r="D46"/>
  <c r="D47"/>
  <c r="D48"/>
  <c r="D49"/>
  <c r="D50"/>
  <c r="D51"/>
  <c r="D52"/>
  <c r="D53"/>
  <c r="D54"/>
  <c r="D55"/>
  <c r="D56"/>
  <c r="D57"/>
  <c r="D58"/>
  <c r="D59"/>
  <c r="D60"/>
  <c r="D61"/>
  <c r="D62"/>
  <c r="D63"/>
  <c r="D64"/>
  <c r="D65"/>
  <c r="D66"/>
  <c r="D67"/>
  <c r="D68"/>
  <c r="D69"/>
  <c r="D70"/>
  <c r="D71"/>
  <c r="D72"/>
  <c r="D73"/>
  <c r="D74"/>
  <c r="D75"/>
  <c r="D76"/>
  <c r="D77"/>
  <c r="D78"/>
  <c r="D79"/>
  <c r="D80"/>
  <c r="D81"/>
  <c r="D82"/>
  <c r="D83"/>
  <c r="D84"/>
  <c r="D85"/>
  <c r="D86"/>
  <c r="D87"/>
  <c r="D88"/>
  <c r="D89"/>
  <c r="D90"/>
  <c r="D91"/>
  <c r="D92"/>
  <c r="D93"/>
  <c r="D94"/>
  <c r="D95"/>
  <c r="D96"/>
  <c r="D97"/>
  <c r="D98"/>
  <c r="D99"/>
  <c r="D100"/>
  <c r="D101"/>
  <c r="D102"/>
  <c r="D103"/>
  <c r="D104"/>
  <c r="D105"/>
  <c r="D106"/>
  <c r="D107"/>
  <c r="D108"/>
  <c r="D109"/>
  <c r="D110"/>
  <c r="D111"/>
  <c r="D112"/>
  <c r="D113"/>
  <c r="D114"/>
  <c r="D115"/>
  <c r="D116"/>
  <c r="D117"/>
  <c r="D118"/>
  <c r="D119"/>
  <c r="D120"/>
  <c r="D121"/>
  <c r="D122"/>
  <c r="D123"/>
  <c r="D124"/>
  <c r="D125"/>
  <c r="D126"/>
  <c r="D127"/>
  <c r="D128"/>
  <c r="D129"/>
  <c r="D130"/>
  <c r="D131"/>
  <c r="D132"/>
  <c r="D133"/>
  <c r="D134"/>
  <c r="D135"/>
  <c r="D136"/>
  <c r="D137"/>
  <c r="D138"/>
  <c r="D139"/>
  <c r="D140"/>
  <c r="D141"/>
  <c r="D142"/>
  <c r="D143"/>
  <c r="D144"/>
  <c r="D145"/>
  <c r="D146"/>
  <c r="D147"/>
  <c r="D148"/>
  <c r="D149"/>
  <c r="D150"/>
  <c r="D151"/>
  <c r="D152"/>
  <c r="D153"/>
  <c r="D154"/>
  <c r="D155"/>
  <c r="D156"/>
  <c r="D157"/>
  <c r="D158"/>
  <c r="D159"/>
  <c r="D160"/>
  <c r="D161"/>
  <c r="D162"/>
  <c r="D163"/>
  <c r="D164"/>
  <c r="D165"/>
  <c r="D166"/>
  <c r="D167"/>
  <c r="D168"/>
  <c r="D169"/>
  <c r="D170"/>
  <c r="D171"/>
  <c r="D172"/>
  <c r="D173"/>
  <c r="D174"/>
  <c r="D175"/>
  <c r="D176"/>
  <c r="D177"/>
  <c r="D178"/>
  <c r="D179"/>
  <c r="D180"/>
  <c r="D181"/>
  <c r="D182"/>
  <c r="D183"/>
  <c r="D184"/>
  <c r="D185"/>
  <c r="D186"/>
  <c r="D187"/>
  <c r="D188"/>
  <c r="D189"/>
  <c r="D190"/>
  <c r="D191"/>
  <c r="D192"/>
  <c r="D193"/>
  <c r="D194"/>
  <c r="D195"/>
  <c r="D196"/>
  <c r="D197"/>
  <c r="D198"/>
  <c r="D199"/>
  <c r="D200"/>
  <c r="D201"/>
  <c r="D202"/>
  <c r="D203"/>
  <c r="D204"/>
  <c r="D205"/>
  <c r="D206"/>
  <c r="D207"/>
  <c r="D208"/>
  <c r="D209"/>
  <c r="D210"/>
  <c r="D211"/>
  <c r="D212"/>
  <c r="D213"/>
  <c r="D214"/>
  <c r="D215"/>
  <c r="D216"/>
  <c r="D217"/>
  <c r="D218"/>
  <c r="D219"/>
  <c r="D220"/>
  <c r="D221"/>
  <c r="D222"/>
  <c r="D223"/>
  <c r="D224"/>
  <c r="D225"/>
  <c r="D226"/>
  <c r="D227"/>
  <c r="D228"/>
  <c r="D229"/>
  <c r="D230"/>
  <c r="D231"/>
  <c r="D232"/>
  <c r="D233"/>
  <c r="D234"/>
  <c r="D235"/>
  <c r="D236"/>
  <c r="D237"/>
  <c r="D238"/>
  <c r="D239"/>
  <c r="D240"/>
  <c r="D241"/>
  <c r="D242"/>
  <c r="D243"/>
  <c r="D244"/>
  <c r="D245"/>
  <c r="D246"/>
  <c r="D247"/>
  <c r="D248"/>
  <c r="D249"/>
  <c r="D250"/>
  <c r="D251"/>
  <c r="D252"/>
  <c r="D253"/>
  <c r="D254"/>
  <c r="D255"/>
  <c r="D256"/>
  <c r="D257"/>
  <c r="D258"/>
  <c r="D259"/>
  <c r="D260"/>
  <c r="D261"/>
  <c r="D262"/>
  <c r="D263"/>
  <c r="D264"/>
  <c r="D265"/>
  <c r="D266"/>
  <c r="D267"/>
  <c r="D268"/>
  <c r="D269"/>
  <c r="D270"/>
  <c r="D271"/>
  <c r="D272"/>
  <c r="D273"/>
  <c r="D274"/>
  <c r="D275"/>
  <c r="D276"/>
  <c r="D277"/>
  <c r="D278"/>
  <c r="D279"/>
  <c r="D280"/>
  <c r="D281"/>
  <c r="D282"/>
  <c r="D283"/>
  <c r="D284"/>
  <c r="D285"/>
  <c r="D286"/>
  <c r="D287"/>
  <c r="D288"/>
  <c r="D289"/>
  <c r="D290"/>
  <c r="D291"/>
  <c r="D292"/>
  <c r="D293"/>
  <c r="D294"/>
  <c r="D295"/>
  <c r="D296"/>
  <c r="D297"/>
  <c r="D298"/>
  <c r="D299"/>
  <c r="D300"/>
  <c r="D301"/>
  <c r="D302"/>
  <c r="D303"/>
  <c r="D304"/>
  <c r="D305"/>
  <c r="D306"/>
  <c r="D307"/>
  <c r="D308"/>
  <c r="D309"/>
  <c r="D310"/>
  <c r="D311"/>
  <c r="D312"/>
  <c r="D313"/>
  <c r="D314"/>
  <c r="D315"/>
  <c r="D316"/>
  <c r="D317"/>
  <c r="D318"/>
  <c r="D319"/>
  <c r="D320"/>
  <c r="D321"/>
  <c r="D322"/>
  <c r="D323"/>
  <c r="D324"/>
  <c r="D325"/>
  <c r="D326"/>
  <c r="D327"/>
  <c r="D328"/>
  <c r="D329"/>
  <c r="D330"/>
  <c r="D331"/>
  <c r="D332"/>
  <c r="D333"/>
  <c r="D334"/>
  <c r="D335"/>
  <c r="D336"/>
  <c r="D337"/>
  <c r="D338"/>
  <c r="D339"/>
  <c r="D340"/>
  <c r="D341"/>
  <c r="D342"/>
  <c r="D343"/>
  <c r="D344"/>
  <c r="D345"/>
  <c r="D346"/>
  <c r="D347"/>
  <c r="D348"/>
  <c r="D349"/>
  <c r="D350"/>
  <c r="D351"/>
  <c r="D352"/>
  <c r="D353"/>
  <c r="D354"/>
  <c r="D355"/>
  <c r="D356"/>
  <c r="D357"/>
  <c r="D358"/>
  <c r="D359"/>
  <c r="D360"/>
  <c r="D361"/>
  <c r="D362"/>
  <c r="D363"/>
  <c r="D364"/>
  <c r="D365"/>
  <c r="D366"/>
  <c r="D367"/>
  <c r="D368"/>
  <c r="D369"/>
  <c r="D370"/>
  <c r="D371"/>
  <c r="D372"/>
  <c r="D373"/>
  <c r="D374"/>
  <c r="D375"/>
  <c r="D376"/>
  <c r="D377"/>
  <c r="D378"/>
  <c r="D379"/>
  <c r="D380"/>
  <c r="D381"/>
  <c r="D382"/>
  <c r="D383"/>
  <c r="D384"/>
  <c r="D385"/>
  <c r="D386"/>
  <c r="D387"/>
  <c r="D388"/>
  <c r="D389"/>
  <c r="D390"/>
  <c r="D391"/>
  <c r="D392"/>
  <c r="D393"/>
  <c r="D394"/>
  <c r="D395"/>
  <c r="D396"/>
  <c r="D397"/>
  <c r="D398"/>
  <c r="D399"/>
  <c r="D400"/>
  <c r="D401"/>
  <c r="D402"/>
  <c r="D403"/>
  <c r="D404"/>
  <c r="D405"/>
  <c r="D406"/>
  <c r="D407"/>
  <c r="D408"/>
  <c r="D409"/>
  <c r="D410"/>
  <c r="D411"/>
  <c r="D412"/>
  <c r="D413"/>
  <c r="D414"/>
  <c r="D415"/>
  <c r="D416"/>
  <c r="D417"/>
  <c r="D418"/>
  <c r="D419"/>
  <c r="D420"/>
  <c r="D421"/>
  <c r="D422"/>
  <c r="D423"/>
  <c r="D424"/>
  <c r="D425"/>
  <c r="D426"/>
  <c r="D427"/>
  <c r="D428"/>
  <c r="D429"/>
  <c r="D430"/>
  <c r="D431"/>
  <c r="D432"/>
  <c r="D433"/>
  <c r="D434"/>
  <c r="D435"/>
  <c r="D436"/>
  <c r="D437"/>
  <c r="D438"/>
  <c r="D439"/>
  <c r="D440"/>
  <c r="D441"/>
  <c r="D442"/>
  <c r="D443"/>
  <c r="D444"/>
  <c r="D445"/>
  <c r="D446"/>
  <c r="D447"/>
  <c r="D448"/>
  <c r="D449"/>
  <c r="D450"/>
  <c r="D451"/>
  <c r="D452"/>
  <c r="D453"/>
  <c r="D454"/>
  <c r="D455"/>
  <c r="D456"/>
  <c r="D457"/>
  <c r="D458"/>
  <c r="D459"/>
  <c r="D460"/>
  <c r="D461"/>
  <c r="D462"/>
  <c r="D463"/>
  <c r="D464"/>
  <c r="D465"/>
  <c r="D466"/>
  <c r="D467"/>
  <c r="D468"/>
  <c r="D469"/>
  <c r="D470"/>
  <c r="D471"/>
  <c r="D472"/>
  <c r="D473"/>
  <c r="D474"/>
  <c r="D475"/>
  <c r="D476"/>
  <c r="D477"/>
  <c r="D478"/>
  <c r="D479"/>
  <c r="D480"/>
  <c r="D481"/>
  <c r="D482"/>
  <c r="D483"/>
  <c r="D484"/>
  <c r="D485"/>
  <c r="D486"/>
  <c r="D487"/>
  <c r="D488"/>
  <c r="D489"/>
  <c r="D490"/>
  <c r="D491"/>
  <c r="D492"/>
  <c r="D493"/>
  <c r="D494"/>
  <c r="D495"/>
  <c r="D496"/>
  <c r="D497"/>
  <c r="D498"/>
  <c r="D499"/>
  <c r="D500"/>
  <c r="D501"/>
  <c r="D502"/>
  <c r="D503"/>
  <c r="D504"/>
  <c r="D505"/>
  <c r="D506"/>
  <c r="D507"/>
  <c r="D508"/>
  <c r="D509"/>
  <c r="D510"/>
  <c r="D511"/>
  <c r="D512"/>
  <c r="D513"/>
  <c r="D514"/>
  <c r="D515"/>
  <c r="D516"/>
  <c r="D517"/>
  <c r="D518"/>
  <c r="D519"/>
  <c r="D520"/>
  <c r="D521"/>
  <c r="D522"/>
  <c r="D523"/>
  <c r="D524"/>
  <c r="D525"/>
  <c r="D526"/>
  <c r="D527"/>
  <c r="D528"/>
  <c r="D529"/>
  <c r="D530"/>
  <c r="D531"/>
  <c r="D532"/>
  <c r="D533"/>
  <c r="D534"/>
  <c r="D535"/>
  <c r="D536"/>
  <c r="D537"/>
  <c r="D538"/>
  <c r="D539"/>
  <c r="D540"/>
  <c r="D541"/>
  <c r="D542"/>
  <c r="D543"/>
  <c r="D544"/>
  <c r="D545"/>
  <c r="D546"/>
  <c r="D547"/>
  <c r="D548"/>
  <c r="D549"/>
  <c r="D550"/>
  <c r="D551"/>
  <c r="D552"/>
  <c r="D553"/>
  <c r="D554"/>
  <c r="D555"/>
  <c r="D556"/>
  <c r="D557"/>
  <c r="D558"/>
  <c r="D559"/>
  <c r="D560"/>
  <c r="D561"/>
  <c r="D562"/>
  <c r="D563"/>
  <c r="D564"/>
  <c r="D565"/>
  <c r="D566"/>
  <c r="D567"/>
  <c r="D568"/>
  <c r="D569"/>
  <c r="D570"/>
  <c r="D571"/>
  <c r="D572"/>
  <c r="D573"/>
  <c r="D574"/>
  <c r="D575"/>
  <c r="D576"/>
  <c r="D577"/>
  <c r="D578"/>
  <c r="D579"/>
  <c r="D580"/>
  <c r="D581"/>
  <c r="D582"/>
  <c r="D583"/>
  <c r="D584"/>
  <c r="D585"/>
  <c r="D586"/>
  <c r="D587"/>
  <c r="D588"/>
  <c r="D589"/>
  <c r="D590"/>
  <c r="D591"/>
  <c r="D592"/>
  <c r="D593"/>
  <c r="D594"/>
  <c r="D595"/>
  <c r="D596"/>
  <c r="D597"/>
  <c r="D598"/>
  <c r="D599"/>
  <c r="D600"/>
  <c r="D601"/>
  <c r="D602"/>
  <c r="D603"/>
  <c r="D604"/>
  <c r="D605"/>
  <c r="D606"/>
  <c r="D607"/>
  <c r="D608"/>
  <c r="D609"/>
  <c r="D610"/>
  <c r="D611"/>
  <c r="D612"/>
  <c r="D613"/>
  <c r="D614"/>
  <c r="D615"/>
  <c r="D616"/>
  <c r="D617"/>
  <c r="D618"/>
  <c r="D619"/>
  <c r="D620"/>
  <c r="D621"/>
  <c r="D622"/>
  <c r="D623"/>
  <c r="D624"/>
  <c r="D625"/>
  <c r="D626"/>
  <c r="D627"/>
  <c r="D628"/>
  <c r="D629"/>
  <c r="D630"/>
  <c r="D631"/>
  <c r="D632"/>
  <c r="D633"/>
  <c r="D634"/>
  <c r="D635"/>
  <c r="D636"/>
  <c r="D637"/>
  <c r="D638"/>
  <c r="D639"/>
  <c r="D640"/>
  <c r="D641"/>
  <c r="D642"/>
  <c r="D643"/>
  <c r="D644"/>
  <c r="D645"/>
  <c r="D646"/>
  <c r="D647"/>
  <c r="D648"/>
  <c r="D649"/>
  <c r="D650"/>
  <c r="D651"/>
  <c r="D652"/>
  <c r="D653"/>
  <c r="D654"/>
  <c r="D655"/>
  <c r="D656"/>
  <c r="D657"/>
  <c r="D658"/>
  <c r="D659"/>
  <c r="D660"/>
  <c r="D661"/>
  <c r="D662"/>
  <c r="D663"/>
  <c r="D664"/>
  <c r="D665"/>
  <c r="D666"/>
  <c r="D667"/>
  <c r="D668"/>
  <c r="D669"/>
  <c r="D670"/>
  <c r="D671"/>
  <c r="D672"/>
  <c r="D673"/>
  <c r="D674"/>
  <c r="D675"/>
  <c r="D676"/>
  <c r="D677"/>
  <c r="D678"/>
  <c r="D679"/>
  <c r="D680"/>
  <c r="D681"/>
  <c r="D682"/>
  <c r="D683"/>
  <c r="D684"/>
  <c r="D685"/>
  <c r="D686"/>
  <c r="D687"/>
  <c r="D688"/>
  <c r="D689"/>
  <c r="D690"/>
  <c r="D691"/>
  <c r="D692"/>
  <c r="D693"/>
  <c r="D694"/>
  <c r="D695"/>
  <c r="D696"/>
  <c r="D697"/>
  <c r="D698"/>
  <c r="D699"/>
  <c r="D700"/>
  <c r="D701"/>
  <c r="D702"/>
  <c r="D703"/>
  <c r="D704"/>
  <c r="D705"/>
  <c r="D706"/>
  <c r="D707"/>
  <c r="D708"/>
  <c r="D709"/>
  <c r="D710"/>
  <c r="D711"/>
  <c r="D712"/>
  <c r="D713"/>
  <c r="D714"/>
  <c r="D715"/>
  <c r="D716"/>
  <c r="D717"/>
  <c r="D718"/>
  <c r="D719"/>
  <c r="D720"/>
  <c r="D721"/>
  <c r="D722"/>
  <c r="D723"/>
  <c r="D724"/>
  <c r="D725"/>
  <c r="D726"/>
  <c r="D727"/>
  <c r="D728"/>
  <c r="D729"/>
  <c r="D730"/>
  <c r="D731"/>
  <c r="D732"/>
  <c r="D733"/>
  <c r="D734"/>
  <c r="D735"/>
  <c r="D736"/>
  <c r="D737"/>
  <c r="D738"/>
  <c r="D739"/>
  <c r="D740"/>
  <c r="D741"/>
  <c r="D742"/>
  <c r="D743"/>
  <c r="D744"/>
  <c r="D745"/>
  <c r="D746"/>
  <c r="D747"/>
  <c r="D748"/>
  <c r="D749"/>
  <c r="D750"/>
  <c r="D751"/>
  <c r="D752"/>
  <c r="D753"/>
  <c r="D754"/>
  <c r="D755"/>
  <c r="D756"/>
  <c r="D757"/>
  <c r="D758"/>
  <c r="D759"/>
  <c r="D760"/>
  <c r="D761"/>
  <c r="D762"/>
  <c r="D763"/>
  <c r="D764"/>
  <c r="D765"/>
  <c r="D766"/>
  <c r="D767"/>
  <c r="D768"/>
  <c r="D769"/>
  <c r="D770"/>
  <c r="D771"/>
  <c r="D772"/>
  <c r="D773"/>
  <c r="D774"/>
  <c r="D775"/>
  <c r="D776"/>
  <c r="D777"/>
  <c r="D778"/>
  <c r="D779"/>
  <c r="D780"/>
  <c r="D781"/>
  <c r="D782"/>
  <c r="D783"/>
  <c r="D784"/>
  <c r="D785"/>
  <c r="D786"/>
  <c r="D787"/>
  <c r="D788"/>
  <c r="D789"/>
  <c r="D790"/>
  <c r="D791"/>
  <c r="D792"/>
  <c r="D793"/>
  <c r="D794"/>
  <c r="D795"/>
  <c r="D796"/>
  <c r="D797"/>
  <c r="D798"/>
  <c r="D799"/>
  <c r="D800"/>
  <c r="D801"/>
  <c r="D802"/>
  <c r="D803"/>
  <c r="D804"/>
  <c r="D805"/>
  <c r="D806"/>
  <c r="D807"/>
  <c r="D808"/>
  <c r="D809"/>
  <c r="D810"/>
  <c r="D811"/>
  <c r="D812"/>
  <c r="D813"/>
  <c r="D814"/>
  <c r="D815"/>
  <c r="D816"/>
  <c r="D817"/>
  <c r="D818"/>
  <c r="D819"/>
  <c r="D820"/>
  <c r="D821"/>
  <c r="D822"/>
  <c r="D823"/>
  <c r="D824"/>
  <c r="D825"/>
  <c r="D826"/>
  <c r="D827"/>
  <c r="D828"/>
  <c r="D829"/>
  <c r="D830"/>
  <c r="D831"/>
  <c r="D832"/>
  <c r="D833"/>
  <c r="D834"/>
  <c r="D835"/>
  <c r="D836"/>
  <c r="D837"/>
  <c r="D838"/>
  <c r="D839"/>
  <c r="D840"/>
  <c r="D841"/>
  <c r="D842"/>
  <c r="D843"/>
  <c r="D844"/>
  <c r="D845"/>
  <c r="D846"/>
  <c r="D847"/>
  <c r="D848"/>
  <c r="D849"/>
  <c r="D850"/>
  <c r="D851"/>
  <c r="D852"/>
  <c r="D853"/>
  <c r="D854"/>
  <c r="D855"/>
  <c r="D856"/>
  <c r="D857"/>
  <c r="D858"/>
  <c r="D859"/>
  <c r="D860"/>
  <c r="D861"/>
  <c r="D862"/>
  <c r="D863"/>
  <c r="D864"/>
  <c r="D865"/>
  <c r="D866"/>
  <c r="D867"/>
  <c r="D868"/>
  <c r="D869"/>
  <c r="D870"/>
  <c r="D871"/>
  <c r="D872"/>
  <c r="D873"/>
  <c r="D874"/>
  <c r="D875"/>
  <c r="D876"/>
  <c r="D877"/>
  <c r="D878"/>
  <c r="D879"/>
  <c r="D880"/>
  <c r="D881"/>
  <c r="D882"/>
  <c r="D883"/>
  <c r="D884"/>
  <c r="D885"/>
  <c r="D886"/>
  <c r="D887"/>
  <c r="D888"/>
  <c r="D889"/>
  <c r="D890"/>
  <c r="D891"/>
  <c r="D892"/>
  <c r="D893"/>
  <c r="D894"/>
  <c r="D895"/>
  <c r="D896"/>
  <c r="D897"/>
  <c r="D898"/>
  <c r="D899"/>
  <c r="D900"/>
  <c r="D901"/>
  <c r="D902"/>
  <c r="D903"/>
  <c r="D904"/>
  <c r="D905"/>
  <c r="D906"/>
  <c r="D907"/>
  <c r="D908"/>
  <c r="D909"/>
  <c r="D910"/>
  <c r="D911"/>
  <c r="D912"/>
  <c r="D913"/>
  <c r="D914"/>
  <c r="D915"/>
  <c r="D916"/>
  <c r="D917"/>
  <c r="D918"/>
  <c r="D919"/>
  <c r="D920"/>
  <c r="D921"/>
  <c r="D922"/>
  <c r="D923"/>
  <c r="D924"/>
  <c r="D925"/>
  <c r="D926"/>
  <c r="D927"/>
  <c r="D928"/>
  <c r="D929"/>
  <c r="D930"/>
  <c r="D931"/>
  <c r="D932"/>
  <c r="D933"/>
  <c r="D934"/>
  <c r="D935"/>
  <c r="D936"/>
  <c r="D937"/>
  <c r="D938"/>
  <c r="D939"/>
  <c r="D940"/>
  <c r="D941"/>
  <c r="D942"/>
  <c r="D943"/>
  <c r="D944"/>
  <c r="D945"/>
  <c r="D946"/>
  <c r="D947"/>
  <c r="D948"/>
  <c r="D949"/>
  <c r="D950"/>
  <c r="D951"/>
  <c r="D952"/>
  <c r="D953"/>
  <c r="D954"/>
  <c r="D955"/>
  <c r="D956"/>
  <c r="D957"/>
  <c r="D958"/>
  <c r="D959"/>
  <c r="D960"/>
  <c r="D961"/>
  <c r="D962"/>
  <c r="D963"/>
  <c r="D964"/>
  <c r="D965"/>
  <c r="D966"/>
  <c r="D967"/>
  <c r="D968"/>
  <c r="D969"/>
  <c r="D970"/>
  <c r="D971"/>
  <c r="D972"/>
  <c r="D973"/>
  <c r="D974"/>
  <c r="D975"/>
  <c r="D976"/>
  <c r="D977"/>
  <c r="D978"/>
  <c r="D979"/>
  <c r="D980"/>
  <c r="D981"/>
  <c r="D982"/>
  <c r="D983"/>
  <c r="D984"/>
  <c r="D985"/>
  <c r="D986"/>
  <c r="D987"/>
  <c r="D988"/>
  <c r="D989"/>
  <c r="D990"/>
  <c r="D991"/>
  <c r="D992"/>
  <c r="D993"/>
  <c r="D994"/>
  <c r="D995"/>
  <c r="D996"/>
  <c r="D997"/>
  <c r="D998"/>
  <c r="D999"/>
  <c r="D1000"/>
  <c r="D1001"/>
  <c r="D1002"/>
  <c r="D1003"/>
  <c r="D1004"/>
  <c r="D1005"/>
  <c r="D1006"/>
  <c r="D1007"/>
  <c r="D1008"/>
  <c r="D1009"/>
  <c r="D1010"/>
  <c r="D1011"/>
  <c r="D1012"/>
  <c r="D1013"/>
  <c r="D1014"/>
  <c r="D1015"/>
  <c r="D1016"/>
  <c r="D1017"/>
  <c r="D1018"/>
  <c r="D1019"/>
  <c r="D1020"/>
  <c r="D1021"/>
  <c r="D1022"/>
  <c r="D1023"/>
  <c r="D1024"/>
  <c r="D1025"/>
  <c r="D1026"/>
  <c r="D1027"/>
  <c r="D1028"/>
  <c r="D1029"/>
  <c r="D1030"/>
  <c r="D1031"/>
  <c r="D1032"/>
  <c r="D1033"/>
  <c r="D1034"/>
  <c r="D1035"/>
  <c r="D1036"/>
  <c r="D1037"/>
  <c r="D1038"/>
  <c r="D1039"/>
  <c r="D1040"/>
  <c r="D1041"/>
  <c r="D1042"/>
  <c r="D1043"/>
  <c r="D1044"/>
  <c r="D1045"/>
  <c r="D1046"/>
  <c r="D1047"/>
  <c r="D1048"/>
  <c r="D1049"/>
  <c r="D1050"/>
  <c r="D1051"/>
  <c r="D1052"/>
  <c r="D1053"/>
  <c r="D1054"/>
  <c r="D1055"/>
  <c r="D1056"/>
  <c r="D1057"/>
  <c r="D1058"/>
  <c r="D1059"/>
  <c r="D1060"/>
  <c r="D1061"/>
  <c r="D1062"/>
  <c r="D1063"/>
  <c r="D1064"/>
  <c r="D1065"/>
  <c r="D1066"/>
  <c r="D1067"/>
  <c r="D1068"/>
  <c r="D1069"/>
  <c r="D1070"/>
  <c r="D1071"/>
  <c r="D1072"/>
  <c r="D1073"/>
  <c r="D1074"/>
  <c r="D1075"/>
  <c r="D1076"/>
  <c r="D1077"/>
  <c r="D1078"/>
  <c r="D1079"/>
  <c r="D1080"/>
  <c r="D1081"/>
  <c r="D1082"/>
  <c r="D1083"/>
  <c r="D1084"/>
  <c r="D1085"/>
  <c r="D1086"/>
  <c r="D1087"/>
  <c r="D1088"/>
  <c r="D1089"/>
  <c r="D1090"/>
  <c r="D1091"/>
  <c r="D1092"/>
  <c r="D1093"/>
  <c r="D1094"/>
  <c r="D1095"/>
  <c r="D1096"/>
  <c r="D1097"/>
  <c r="D1098"/>
  <c r="D1099"/>
  <c r="D1100"/>
  <c r="D1101"/>
  <c r="D1102"/>
  <c r="D1103"/>
  <c r="D1104"/>
  <c r="D1105"/>
  <c r="D1106"/>
  <c r="D1107"/>
  <c r="D1108"/>
  <c r="D1109"/>
  <c r="D1110"/>
  <c r="D1111"/>
  <c r="D1112"/>
  <c r="D1113"/>
  <c r="D1114"/>
  <c r="D1115"/>
  <c r="D1116"/>
  <c r="D1117"/>
  <c r="D1118"/>
  <c r="D1119"/>
  <c r="D1120"/>
  <c r="D1121"/>
  <c r="D1122"/>
  <c r="D1123"/>
  <c r="D1124"/>
  <c r="D1125"/>
  <c r="D1126"/>
  <c r="D1127"/>
  <c r="D1128"/>
  <c r="D1129"/>
  <c r="D1130"/>
  <c r="D1131"/>
  <c r="D1132"/>
  <c r="D1133"/>
  <c r="D1134"/>
  <c r="D1135"/>
  <c r="D1136"/>
  <c r="D1137"/>
  <c r="D1138"/>
  <c r="D1139"/>
  <c r="D1140"/>
  <c r="D1141"/>
  <c r="D1142"/>
  <c r="D1143"/>
  <c r="D1144"/>
  <c r="D1145"/>
  <c r="D1146"/>
  <c r="D1147"/>
  <c r="D1148"/>
  <c r="D1149"/>
  <c r="D1150"/>
  <c r="D1151"/>
  <c r="D1152"/>
  <c r="D1153"/>
  <c r="D1154"/>
  <c r="D1155"/>
  <c r="D1156"/>
  <c r="D1157"/>
  <c r="D1158"/>
  <c r="D1159"/>
  <c r="D1160"/>
  <c r="D1161"/>
  <c r="D1162"/>
  <c r="D1163"/>
  <c r="D1164"/>
  <c r="D1165"/>
  <c r="D1166"/>
  <c r="D1167"/>
  <c r="D1168"/>
  <c r="D1169"/>
  <c r="D1170"/>
  <c r="D1171"/>
  <c r="D1172"/>
  <c r="D1173"/>
  <c r="D1174"/>
  <c r="D1175"/>
  <c r="D1176"/>
  <c r="D1177"/>
  <c r="D1178"/>
  <c r="D1179"/>
  <c r="D1180"/>
  <c r="D1181"/>
  <c r="D1182"/>
  <c r="D1183"/>
  <c r="D1184"/>
  <c r="D1185"/>
  <c r="D1186"/>
  <c r="D1187"/>
  <c r="D1188"/>
  <c r="D1189"/>
  <c r="D1190"/>
  <c r="D1191"/>
  <c r="D1192"/>
  <c r="D1193"/>
  <c r="D1194"/>
  <c r="D1195"/>
  <c r="D1196"/>
  <c r="D1197"/>
  <c r="D1198"/>
  <c r="D1199"/>
  <c r="D1200"/>
  <c r="D1201"/>
  <c r="D1202"/>
  <c r="D1203"/>
  <c r="D1204"/>
  <c r="D1205"/>
  <c r="D1206"/>
  <c r="D1207"/>
  <c r="D1208"/>
  <c r="D1209"/>
  <c r="D1210"/>
  <c r="D1211"/>
  <c r="D1212"/>
  <c r="D1213"/>
  <c r="D1214"/>
  <c r="D1215"/>
  <c r="D1216"/>
  <c r="D1217"/>
  <c r="D1218"/>
  <c r="D1219"/>
  <c r="D1220"/>
  <c r="D1221"/>
  <c r="D1222"/>
  <c r="D1223"/>
  <c r="D1224"/>
  <c r="D1225"/>
  <c r="D1226"/>
  <c r="D1227"/>
  <c r="D1228"/>
  <c r="D1229"/>
  <c r="D1230"/>
  <c r="D1231"/>
  <c r="D1232"/>
  <c r="D1233"/>
  <c r="D1234"/>
  <c r="D1235"/>
  <c r="D1236"/>
  <c r="D1237"/>
  <c r="D1238"/>
  <c r="D1239"/>
  <c r="D1240"/>
  <c r="D1241"/>
  <c r="D1242"/>
  <c r="D1243"/>
  <c r="D1244"/>
  <c r="D1245"/>
  <c r="D1246"/>
  <c r="D1247"/>
  <c r="D1248"/>
  <c r="D1249"/>
  <c r="D1250"/>
  <c r="D1251"/>
  <c r="D1252"/>
  <c r="D1253"/>
  <c r="D1254"/>
  <c r="D1255"/>
  <c r="D1256"/>
  <c r="D1257"/>
  <c r="D1258"/>
  <c r="D1259"/>
  <c r="D1260"/>
  <c r="D1261"/>
  <c r="D1262"/>
  <c r="D1263"/>
  <c r="D1264"/>
  <c r="D1265"/>
  <c r="D1266"/>
  <c r="D1267"/>
  <c r="D1268"/>
  <c r="D1269"/>
  <c r="D1270"/>
  <c r="D1271"/>
  <c r="D1272"/>
  <c r="D1273"/>
  <c r="D1274"/>
  <c r="D1275"/>
  <c r="D1276"/>
  <c r="D1277"/>
  <c r="D1278"/>
  <c r="D1279"/>
  <c r="D1280"/>
  <c r="D1281"/>
  <c r="D1282"/>
  <c r="D1283"/>
  <c r="D1284"/>
  <c r="D1285"/>
  <c r="D1286"/>
  <c r="D1287"/>
  <c r="D1288"/>
  <c r="D1289"/>
  <c r="D1290"/>
  <c r="D1291"/>
  <c r="D1292"/>
  <c r="D1293"/>
  <c r="D1294"/>
  <c r="D1295"/>
  <c r="D1296"/>
  <c r="D1297"/>
  <c r="D1298"/>
  <c r="D1299"/>
  <c r="D1300"/>
  <c r="D1301"/>
  <c r="D1302"/>
  <c r="D1303"/>
  <c r="D1304"/>
  <c r="D1305"/>
  <c r="D1306"/>
  <c r="D1307"/>
  <c r="D1308"/>
  <c r="D1309"/>
  <c r="D1310"/>
  <c r="D1311"/>
  <c r="D1312"/>
  <c r="D1313"/>
  <c r="D1314"/>
  <c r="D1315"/>
  <c r="D1316"/>
  <c r="D1317"/>
  <c r="D1318"/>
  <c r="D1319"/>
  <c r="D1320"/>
  <c r="D1321"/>
  <c r="D1322"/>
  <c r="D1323"/>
  <c r="D1324"/>
  <c r="D1325"/>
  <c r="D1326"/>
  <c r="D1327"/>
  <c r="D1328"/>
  <c r="D1329"/>
  <c r="D1330"/>
  <c r="D1331"/>
  <c r="D1332"/>
  <c r="D1333"/>
  <c r="D1334"/>
  <c r="D1335"/>
  <c r="D1336"/>
  <c r="D1337"/>
  <c r="D1338"/>
  <c r="D1339"/>
  <c r="D1340"/>
  <c r="D1341"/>
  <c r="D1342"/>
  <c r="D1343"/>
  <c r="D1344"/>
  <c r="D1345"/>
  <c r="D1346"/>
  <c r="D1347"/>
  <c r="D1348"/>
  <c r="D1349"/>
  <c r="D1350"/>
  <c r="D1351"/>
  <c r="D1352"/>
  <c r="D1353"/>
  <c r="D1354"/>
  <c r="D1355"/>
  <c r="D1356"/>
  <c r="D1357"/>
  <c r="D1358"/>
  <c r="D1359"/>
  <c r="D1360"/>
  <c r="D1361"/>
  <c r="D1362"/>
  <c r="D1363"/>
  <c r="D1364"/>
  <c r="D1365"/>
  <c r="D1366"/>
  <c r="D1367"/>
  <c r="D1368"/>
  <c r="D1369"/>
  <c r="D1370"/>
  <c r="D1371"/>
  <c r="D1372"/>
  <c r="D1373"/>
  <c r="D1374"/>
  <c r="D1375"/>
  <c r="D1376"/>
  <c r="D1377"/>
  <c r="D1378"/>
  <c r="D1379"/>
  <c r="D1380"/>
  <c r="D1381"/>
  <c r="D1382"/>
  <c r="D1383"/>
  <c r="D1384"/>
  <c r="D1385"/>
  <c r="D1386"/>
  <c r="D1387"/>
  <c r="D1388"/>
  <c r="D1389"/>
  <c r="D1390"/>
  <c r="D1391"/>
  <c r="D1392"/>
  <c r="D1393"/>
  <c r="D1394"/>
  <c r="D1395"/>
  <c r="D1396"/>
  <c r="D1397"/>
  <c r="D1398"/>
  <c r="D1399"/>
  <c r="D1400"/>
  <c r="D1401"/>
  <c r="D1402"/>
  <c r="D1403"/>
  <c r="D1404"/>
  <c r="D1405"/>
  <c r="D1406"/>
  <c r="D1407"/>
  <c r="D1408"/>
  <c r="D1409"/>
  <c r="D1410"/>
  <c r="D1411"/>
  <c r="D1412"/>
  <c r="D1413"/>
  <c r="D1414"/>
  <c r="D1415"/>
  <c r="D1416"/>
  <c r="D1417"/>
  <c r="D1418"/>
  <c r="D1419"/>
  <c r="D1420"/>
  <c r="D1421"/>
  <c r="D1422"/>
  <c r="D1423"/>
  <c r="D1424"/>
  <c r="D1425"/>
  <c r="D1426"/>
  <c r="D1427"/>
  <c r="D1428"/>
  <c r="D1429"/>
  <c r="D1430"/>
  <c r="D1431"/>
  <c r="D1432"/>
  <c r="D1433"/>
  <c r="D1434"/>
  <c r="D1435"/>
  <c r="D1436"/>
  <c r="D1437"/>
  <c r="D1438"/>
  <c r="D1439"/>
  <c r="D1440"/>
  <c r="D1441"/>
  <c r="D1442"/>
  <c r="D1443"/>
  <c r="D1444"/>
  <c r="D1445"/>
  <c r="D1446"/>
  <c r="D1447"/>
  <c r="D1448"/>
  <c r="D1449"/>
  <c r="D1450"/>
  <c r="D1451"/>
  <c r="D1452"/>
  <c r="D1453"/>
  <c r="D1454"/>
  <c r="D1455"/>
  <c r="D1456"/>
  <c r="D1457"/>
  <c r="D1458"/>
  <c r="D1459"/>
  <c r="D1460"/>
  <c r="D1461"/>
  <c r="D1462"/>
  <c r="D1463"/>
  <c r="D1464"/>
  <c r="D1465"/>
  <c r="D1466"/>
  <c r="D1467"/>
  <c r="D1468"/>
  <c r="D1469"/>
  <c r="D1470"/>
  <c r="D1471"/>
  <c r="D1472"/>
  <c r="D1473"/>
  <c r="D1474"/>
  <c r="D1475"/>
  <c r="D1476"/>
  <c r="D1477"/>
  <c r="D1478"/>
  <c r="D1479"/>
  <c r="D1480"/>
  <c r="D1481"/>
  <c r="D1482"/>
  <c r="D1483"/>
  <c r="D1484"/>
  <c r="D1485"/>
  <c r="D1486"/>
  <c r="D1487"/>
  <c r="D1488"/>
  <c r="D1489"/>
  <c r="D1490"/>
  <c r="D1491"/>
  <c r="D1492"/>
  <c r="D1493"/>
  <c r="D1494"/>
  <c r="D1495"/>
  <c r="D1496"/>
  <c r="D1497"/>
  <c r="D1498"/>
  <c r="D1499"/>
  <c r="D1500"/>
  <c r="D1501"/>
  <c r="D1502"/>
  <c r="D1503"/>
  <c r="D1504"/>
  <c r="D1505"/>
  <c r="D1506"/>
  <c r="D1507"/>
  <c r="D1508"/>
  <c r="D1509"/>
  <c r="D1510"/>
  <c r="D1511"/>
  <c r="D1512"/>
  <c r="D1513"/>
  <c r="D1514"/>
  <c r="D1515"/>
  <c r="D1516"/>
  <c r="D1517"/>
  <c r="D1518"/>
  <c r="D1519"/>
  <c r="D1520"/>
  <c r="D1521"/>
  <c r="D1522"/>
  <c r="D1523"/>
  <c r="D1524"/>
  <c r="D1525"/>
  <c r="D1526"/>
  <c r="D1527"/>
  <c r="D1528"/>
  <c r="D1529"/>
  <c r="D1530"/>
  <c r="D1531"/>
  <c r="D1532"/>
  <c r="D1533"/>
  <c r="D1534"/>
  <c r="D1535"/>
  <c r="D1536"/>
  <c r="D1537"/>
  <c r="D1538"/>
  <c r="D1539"/>
  <c r="D1540"/>
  <c r="D1541"/>
  <c r="D1542"/>
  <c r="D1543"/>
  <c r="D1544"/>
  <c r="D1545"/>
  <c r="D1546"/>
  <c r="D1547"/>
  <c r="D1548"/>
  <c r="D1549"/>
  <c r="D1550"/>
  <c r="D1551"/>
  <c r="D1552"/>
  <c r="D1553"/>
  <c r="D1554"/>
  <c r="D1555"/>
  <c r="D1556"/>
  <c r="D1557"/>
  <c r="D1558"/>
  <c r="D1559"/>
  <c r="D1560"/>
  <c r="D1561"/>
  <c r="D1562"/>
  <c r="D1563"/>
  <c r="D1564"/>
  <c r="D1565"/>
  <c r="D1566"/>
  <c r="D1567"/>
  <c r="D1568"/>
  <c r="D1569"/>
  <c r="D1570"/>
  <c r="D1571"/>
  <c r="D1572"/>
  <c r="D1573"/>
  <c r="D1574"/>
  <c r="D1575"/>
  <c r="D1576"/>
  <c r="D1577"/>
  <c r="D1578"/>
  <c r="D1579"/>
  <c r="D1580"/>
  <c r="D1581"/>
  <c r="D1582"/>
  <c r="D1583"/>
  <c r="D1584"/>
  <c r="D1585"/>
  <c r="D1586"/>
  <c r="D1587"/>
  <c r="D1588"/>
  <c r="D1589"/>
  <c r="D1590"/>
  <c r="D1591"/>
  <c r="D1592"/>
  <c r="D1593"/>
  <c r="D1594"/>
  <c r="D1595"/>
  <c r="D1596"/>
  <c r="D1597"/>
  <c r="D1598"/>
  <c r="D1599"/>
  <c r="D1600"/>
  <c r="D1601"/>
  <c r="D1602"/>
  <c r="D1603"/>
  <c r="D1604"/>
  <c r="D1605"/>
  <c r="D1606"/>
  <c r="D1607"/>
  <c r="D1608"/>
  <c r="D1609"/>
  <c r="D1610"/>
  <c r="D1611"/>
  <c r="D1612"/>
  <c r="D1613"/>
  <c r="D1614"/>
  <c r="D1615"/>
  <c r="D1616"/>
  <c r="D1617"/>
  <c r="D1618"/>
  <c r="D1619"/>
  <c r="D1620"/>
  <c r="D1621"/>
  <c r="D1622"/>
  <c r="D1623"/>
  <c r="D1624"/>
  <c r="D1625"/>
  <c r="D1626"/>
  <c r="D1627"/>
  <c r="D1628"/>
  <c r="D1629"/>
  <c r="D1630"/>
  <c r="D1631"/>
  <c r="D1632"/>
  <c r="D1633"/>
  <c r="D1634"/>
  <c r="D1635"/>
  <c r="D1636"/>
  <c r="D1637"/>
  <c r="D1638"/>
  <c r="D1639"/>
  <c r="D1640"/>
  <c r="D1641"/>
  <c r="D1642"/>
  <c r="D1643"/>
  <c r="D1644"/>
  <c r="D1645"/>
  <c r="D1646"/>
  <c r="D1647"/>
  <c r="D1648"/>
  <c r="D1649"/>
  <c r="D1650"/>
  <c r="D1651"/>
  <c r="D1652"/>
  <c r="D1653"/>
  <c r="D1654"/>
  <c r="D1655"/>
  <c r="D1656"/>
  <c r="D1657"/>
  <c r="D1658"/>
  <c r="D1659"/>
  <c r="D1660"/>
  <c r="D1661"/>
  <c r="D1662"/>
  <c r="D1663"/>
  <c r="D1664"/>
  <c r="D1665"/>
  <c r="D1666"/>
  <c r="D1667"/>
  <c r="D1668"/>
  <c r="D1669"/>
  <c r="D1670"/>
  <c r="D1671"/>
  <c r="D1672"/>
  <c r="D1673"/>
  <c r="D1674"/>
  <c r="D1675"/>
  <c r="D1676"/>
  <c r="D1677"/>
  <c r="D1678"/>
  <c r="D1679"/>
  <c r="D1680"/>
  <c r="D1681"/>
  <c r="D1682"/>
  <c r="D1683"/>
  <c r="D1684"/>
  <c r="D1685"/>
  <c r="D1686"/>
  <c r="D1687"/>
  <c r="D1688"/>
  <c r="D1689"/>
  <c r="D1690"/>
  <c r="D1691"/>
  <c r="D1692"/>
  <c r="D1693"/>
  <c r="D1694"/>
  <c r="D1695"/>
  <c r="D1696"/>
  <c r="D1697"/>
  <c r="D1698"/>
  <c r="D1699"/>
  <c r="D1700"/>
  <c r="D1701"/>
  <c r="D1702"/>
  <c r="D1703"/>
  <c r="D1704"/>
  <c r="D1705"/>
  <c r="D1706"/>
  <c r="D1707"/>
  <c r="D1708"/>
  <c r="D1709"/>
  <c r="D1710"/>
  <c r="D1711"/>
  <c r="D1712"/>
  <c r="D1713"/>
  <c r="D1714"/>
  <c r="D1715"/>
  <c r="D1716"/>
  <c r="D1717"/>
  <c r="D1718"/>
  <c r="D1719"/>
  <c r="D1720"/>
  <c r="D1721"/>
  <c r="D1722"/>
  <c r="D1723"/>
  <c r="D1724"/>
  <c r="D1725"/>
  <c r="D1726"/>
  <c r="D1727"/>
  <c r="D1728"/>
  <c r="D1729"/>
  <c r="D1730"/>
  <c r="D1731"/>
  <c r="D1732"/>
  <c r="D1733"/>
  <c r="D1734"/>
  <c r="D1735"/>
  <c r="D1736"/>
  <c r="D1737"/>
  <c r="D1738"/>
  <c r="D1739"/>
  <c r="D1740"/>
  <c r="D1741"/>
  <c r="D1742"/>
  <c r="D1743"/>
  <c r="D1744"/>
  <c r="D1745"/>
  <c r="D1746"/>
  <c r="D1747"/>
  <c r="D1748"/>
  <c r="D1749"/>
  <c r="D1750"/>
  <c r="D1751"/>
  <c r="D1752"/>
  <c r="D1753"/>
  <c r="D1754"/>
  <c r="D1755"/>
  <c r="D1756"/>
  <c r="D1757"/>
  <c r="D1758"/>
  <c r="D1759"/>
  <c r="D1760"/>
  <c r="D1761"/>
  <c r="D1762"/>
  <c r="D1763"/>
  <c r="D1764"/>
  <c r="D1765"/>
  <c r="D1766"/>
  <c r="D1767"/>
  <c r="D1768"/>
  <c r="D1769"/>
  <c r="D1770"/>
  <c r="D1771"/>
  <c r="D1772"/>
  <c r="D1773"/>
  <c r="D1774"/>
  <c r="D1775"/>
  <c r="D1776"/>
  <c r="D1777"/>
  <c r="D1778"/>
  <c r="D1779"/>
  <c r="D1780"/>
  <c r="D1781"/>
  <c r="D1782"/>
  <c r="D1783"/>
  <c r="D1784"/>
  <c r="D1785"/>
  <c r="D1786"/>
  <c r="D1787"/>
  <c r="D1788"/>
  <c r="D1789"/>
  <c r="D1790"/>
  <c r="D1791"/>
  <c r="D1792"/>
  <c r="D1793"/>
  <c r="D1794"/>
  <c r="D1795"/>
  <c r="D1796"/>
  <c r="D1797"/>
  <c r="D1798"/>
  <c r="D1799"/>
  <c r="D1800"/>
  <c r="D1801"/>
  <c r="D1802"/>
  <c r="D1803"/>
  <c r="D1804"/>
  <c r="D1805"/>
  <c r="D1806"/>
  <c r="D1807"/>
  <c r="D1808"/>
  <c r="D1809"/>
  <c r="D1810"/>
  <c r="D1811"/>
  <c r="D1812"/>
  <c r="D1813"/>
  <c r="D1814"/>
  <c r="D1815"/>
  <c r="D1816"/>
  <c r="D1817"/>
  <c r="D1818"/>
  <c r="D1819"/>
  <c r="D1820"/>
  <c r="D1821"/>
  <c r="D1822"/>
  <c r="D1823"/>
  <c r="D1824"/>
  <c r="D1825"/>
  <c r="D1826"/>
  <c r="D1827"/>
  <c r="D1828"/>
  <c r="D1829"/>
  <c r="D1830"/>
  <c r="D1831"/>
  <c r="D1832"/>
  <c r="D1833"/>
  <c r="D1834"/>
  <c r="D1835"/>
  <c r="D1836"/>
  <c r="D1837"/>
  <c r="D1838"/>
  <c r="D1839"/>
  <c r="D1840"/>
  <c r="D1841"/>
  <c r="D1842"/>
  <c r="D1843"/>
  <c r="D1844"/>
  <c r="D1845"/>
  <c r="D1846"/>
  <c r="D1847"/>
  <c r="D1848"/>
  <c r="D1849"/>
  <c r="D1850"/>
  <c r="D1851"/>
  <c r="D1852"/>
  <c r="D1853"/>
  <c r="D1854"/>
  <c r="D1855"/>
  <c r="D1856"/>
  <c r="D1857"/>
  <c r="D1858"/>
  <c r="D1859"/>
  <c r="D1860"/>
  <c r="D1861"/>
  <c r="D1862"/>
  <c r="D1863"/>
  <c r="D1864"/>
  <c r="D1865"/>
  <c r="D1866"/>
  <c r="D1867"/>
  <c r="D1868"/>
  <c r="D1869"/>
  <c r="D1870"/>
  <c r="D1871"/>
  <c r="D1872"/>
  <c r="D1873"/>
  <c r="D1874"/>
  <c r="D1875"/>
  <c r="D1876"/>
  <c r="D1877"/>
  <c r="D1878"/>
  <c r="D1879"/>
  <c r="D1880"/>
  <c r="D1881"/>
  <c r="D1882"/>
  <c r="D1883"/>
  <c r="D1884"/>
  <c r="D1885"/>
  <c r="D1886"/>
  <c r="D1887"/>
  <c r="D1888"/>
  <c r="D1889"/>
  <c r="D1890"/>
  <c r="D1891"/>
  <c r="D1892"/>
  <c r="D1893"/>
  <c r="D1894"/>
  <c r="D1895"/>
  <c r="D1896"/>
  <c r="D1897"/>
  <c r="D1898"/>
  <c r="D1899"/>
  <c r="D1900"/>
  <c r="D1901"/>
  <c r="D1902"/>
  <c r="D1903"/>
  <c r="D1904"/>
  <c r="D1905"/>
  <c r="D1906"/>
  <c r="D1907"/>
  <c r="D1908"/>
  <c r="D1909"/>
  <c r="D1910"/>
  <c r="D1911"/>
  <c r="D1912"/>
  <c r="D1913"/>
  <c r="D1914"/>
  <c r="D1915"/>
  <c r="D1916"/>
  <c r="D1917"/>
  <c r="D1918"/>
  <c r="D1919"/>
  <c r="D1920"/>
  <c r="D1921"/>
  <c r="D1922"/>
  <c r="D1923"/>
  <c r="D1924"/>
  <c r="D1925"/>
  <c r="D1926"/>
  <c r="D1927"/>
  <c r="D1928"/>
  <c r="D1929"/>
  <c r="D1930"/>
  <c r="D1931"/>
  <c r="D1932"/>
  <c r="D1933"/>
  <c r="D1934"/>
  <c r="D1935"/>
  <c r="D1936"/>
  <c r="D1937"/>
  <c r="D1938"/>
  <c r="D1939"/>
  <c r="D1940"/>
  <c r="D1941"/>
  <c r="D1942"/>
  <c r="D1943"/>
  <c r="D1944"/>
  <c r="D1945"/>
  <c r="D1946"/>
  <c r="D1947"/>
  <c r="D1948"/>
  <c r="D1949"/>
  <c r="D1950"/>
  <c r="D1951"/>
  <c r="D1952"/>
  <c r="D1953"/>
  <c r="D1954"/>
  <c r="D1955"/>
  <c r="D1956"/>
  <c r="D1957"/>
  <c r="D1958"/>
  <c r="D1959"/>
  <c r="D1960"/>
  <c r="D1961"/>
  <c r="D1962"/>
  <c r="D1963"/>
  <c r="D1964"/>
  <c r="D1965"/>
  <c r="D1966"/>
  <c r="D1967"/>
  <c r="D1968"/>
  <c r="D1969"/>
  <c r="D1970"/>
  <c r="D1971"/>
  <c r="D1972"/>
  <c r="D1973"/>
  <c r="D1974"/>
  <c r="D1975"/>
  <c r="D1976"/>
  <c r="D1977"/>
  <c r="D1978"/>
  <c r="D1979"/>
  <c r="D1980"/>
  <c r="D1981"/>
  <c r="D1982"/>
  <c r="D1983"/>
  <c r="D1984"/>
  <c r="D1985"/>
  <c r="D1986"/>
  <c r="D1987"/>
  <c r="D1988"/>
  <c r="D1989"/>
  <c r="D1990"/>
  <c r="D1991"/>
  <c r="D1992"/>
  <c r="D1993"/>
  <c r="D1994"/>
  <c r="D1995"/>
  <c r="D1996"/>
  <c r="D1997"/>
  <c r="D1998"/>
  <c r="D1999"/>
  <c r="D2000"/>
  <c r="D2"/>
  <c r="D3"/>
  <c r="D4"/>
  <c r="D5"/>
  <c r="D1"/>
  <c r="R2" s="1"/>
  <c r="R3" i="23"/>
  <c r="R4"/>
  <c r="R5"/>
  <c r="R6"/>
  <c r="R7"/>
  <c r="R8"/>
  <c r="R9"/>
  <c r="R10"/>
  <c r="R11"/>
  <c r="R12"/>
  <c r="R13"/>
  <c r="R14"/>
  <c r="R15"/>
  <c r="R16"/>
  <c r="R17"/>
  <c r="R18"/>
  <c r="R19"/>
  <c r="R20"/>
  <c r="R21"/>
  <c r="R22"/>
  <c r="R23"/>
  <c r="R24"/>
  <c r="R25"/>
  <c r="R26"/>
  <c r="R27"/>
  <c r="R28"/>
  <c r="R29"/>
  <c r="R30"/>
  <c r="R31"/>
  <c r="R32"/>
  <c r="R33"/>
  <c r="R34"/>
  <c r="R35"/>
  <c r="R36"/>
  <c r="R37"/>
  <c r="R38"/>
  <c r="R39"/>
  <c r="R40"/>
  <c r="R41"/>
  <c r="R42"/>
  <c r="R43"/>
  <c r="R44"/>
  <c r="R45"/>
  <c r="R46"/>
  <c r="R47"/>
  <c r="R48"/>
  <c r="R49"/>
  <c r="R50"/>
  <c r="R51"/>
  <c r="R52"/>
  <c r="R53"/>
  <c r="R54"/>
  <c r="R55"/>
  <c r="R56"/>
  <c r="R57"/>
  <c r="R58"/>
  <c r="R59"/>
  <c r="R60"/>
  <c r="R61"/>
  <c r="R62"/>
  <c r="R63"/>
  <c r="R64"/>
  <c r="R65"/>
  <c r="R66"/>
  <c r="R67"/>
  <c r="R68"/>
  <c r="R69"/>
  <c r="R70"/>
  <c r="R71"/>
  <c r="R72"/>
  <c r="R73"/>
  <c r="R74"/>
  <c r="R75"/>
  <c r="R76"/>
  <c r="R77"/>
  <c r="R78"/>
  <c r="R79"/>
  <c r="R80"/>
  <c r="R81"/>
  <c r="R82"/>
  <c r="R83"/>
  <c r="R84"/>
  <c r="R85"/>
  <c r="R86"/>
  <c r="R87"/>
  <c r="R88"/>
  <c r="R89"/>
  <c r="R90"/>
  <c r="R91"/>
  <c r="R92"/>
  <c r="R93"/>
  <c r="R94"/>
  <c r="R95"/>
  <c r="R96"/>
  <c r="R97"/>
  <c r="R98"/>
  <c r="R99"/>
  <c r="R100"/>
  <c r="R101"/>
  <c r="R102"/>
  <c r="R103"/>
  <c r="R104"/>
  <c r="R105"/>
  <c r="R106"/>
  <c r="R107"/>
  <c r="R108"/>
  <c r="R109"/>
  <c r="R110"/>
  <c r="R111"/>
  <c r="R112"/>
  <c r="R113"/>
  <c r="R114"/>
  <c r="R115"/>
  <c r="R116"/>
  <c r="R117"/>
  <c r="R118"/>
  <c r="R119"/>
  <c r="R120"/>
  <c r="R121"/>
  <c r="R122"/>
  <c r="R123"/>
  <c r="R124"/>
  <c r="R125"/>
  <c r="R126"/>
  <c r="R127"/>
  <c r="R128"/>
  <c r="R129"/>
  <c r="R130"/>
  <c r="R131"/>
  <c r="R132"/>
  <c r="R133"/>
  <c r="R134"/>
  <c r="R135"/>
  <c r="R136"/>
  <c r="R137"/>
  <c r="R138"/>
  <c r="R139"/>
  <c r="R140"/>
  <c r="R141"/>
  <c r="R142"/>
  <c r="R143"/>
  <c r="R144"/>
  <c r="R145"/>
  <c r="R146"/>
  <c r="R147"/>
  <c r="R148"/>
  <c r="R149"/>
  <c r="R150"/>
  <c r="R151"/>
  <c r="R152"/>
  <c r="R153"/>
  <c r="R154"/>
  <c r="R155"/>
  <c r="R156"/>
  <c r="R157"/>
  <c r="R158"/>
  <c r="R159"/>
  <c r="R160"/>
  <c r="R161"/>
  <c r="R162"/>
  <c r="R163"/>
  <c r="R164"/>
  <c r="R165"/>
  <c r="R166"/>
  <c r="R167"/>
  <c r="R168"/>
  <c r="R169"/>
  <c r="R170"/>
  <c r="R171"/>
  <c r="R172"/>
  <c r="R173"/>
  <c r="R174"/>
  <c r="R175"/>
  <c r="R176"/>
  <c r="R177"/>
  <c r="R178"/>
  <c r="R179"/>
  <c r="R180"/>
  <c r="R181"/>
  <c r="R182"/>
  <c r="R183"/>
  <c r="R184"/>
  <c r="R185"/>
  <c r="R186"/>
  <c r="R187"/>
  <c r="R188"/>
  <c r="R189"/>
  <c r="R190"/>
  <c r="R191"/>
  <c r="R192"/>
  <c r="R193"/>
  <c r="R194"/>
  <c r="R195"/>
  <c r="R196"/>
  <c r="R2"/>
  <c r="O3" i="10"/>
  <c r="P3" s="1"/>
  <c r="O4"/>
  <c r="P4" s="1"/>
  <c r="O5"/>
  <c r="P5" s="1"/>
  <c r="O6"/>
  <c r="P6" s="1"/>
  <c r="O7"/>
  <c r="P7" s="1"/>
  <c r="O8"/>
  <c r="P8" s="1"/>
  <c r="O9"/>
  <c r="P9" s="1"/>
  <c r="O10"/>
  <c r="P10" s="1"/>
  <c r="O11"/>
  <c r="P11" s="1"/>
  <c r="O12"/>
  <c r="P12" s="1"/>
  <c r="O13"/>
  <c r="P13" s="1"/>
  <c r="O14"/>
  <c r="P14" s="1"/>
  <c r="O15"/>
  <c r="P15" s="1"/>
  <c r="O16"/>
  <c r="P16" s="1"/>
  <c r="O17"/>
  <c r="P17" s="1"/>
  <c r="O18"/>
  <c r="P18" s="1"/>
  <c r="O19"/>
  <c r="P19" s="1"/>
  <c r="O20"/>
  <c r="P20" s="1"/>
  <c r="O21"/>
  <c r="P21" s="1"/>
  <c r="O22"/>
  <c r="P22" s="1"/>
  <c r="O23"/>
  <c r="P23" s="1"/>
  <c r="O24"/>
  <c r="P24" s="1"/>
  <c r="O25"/>
  <c r="P25" s="1"/>
  <c r="O26"/>
  <c r="P26" s="1"/>
  <c r="O27"/>
  <c r="P27" s="1"/>
  <c r="O28"/>
  <c r="P28" s="1"/>
  <c r="O29"/>
  <c r="P29" s="1"/>
  <c r="O30"/>
  <c r="P30" s="1"/>
  <c r="O31"/>
  <c r="P31" s="1"/>
  <c r="O32"/>
  <c r="P32" s="1"/>
  <c r="O33"/>
  <c r="P33" s="1"/>
  <c r="O34"/>
  <c r="P34" s="1"/>
  <c r="O35"/>
  <c r="P35" s="1"/>
  <c r="O36"/>
  <c r="P36" s="1"/>
  <c r="O37"/>
  <c r="P37" s="1"/>
  <c r="O38"/>
  <c r="P38" s="1"/>
  <c r="O39"/>
  <c r="P39" s="1"/>
  <c r="O40"/>
  <c r="P40" s="1"/>
  <c r="O41"/>
  <c r="P41" s="1"/>
  <c r="O42"/>
  <c r="P42" s="1"/>
  <c r="O43"/>
  <c r="P43" s="1"/>
  <c r="O44"/>
  <c r="P44" s="1"/>
  <c r="O45"/>
  <c r="P45" s="1"/>
  <c r="O46"/>
  <c r="P46" s="1"/>
  <c r="O47"/>
  <c r="P47" s="1"/>
  <c r="O48"/>
  <c r="P48" s="1"/>
  <c r="O49"/>
  <c r="P49" s="1"/>
  <c r="O50"/>
  <c r="P50" s="1"/>
  <c r="O51"/>
  <c r="P51" s="1"/>
  <c r="O52"/>
  <c r="P52" s="1"/>
  <c r="O53"/>
  <c r="P53" s="1"/>
  <c r="O54"/>
  <c r="P54" s="1"/>
  <c r="O55"/>
  <c r="P55" s="1"/>
  <c r="O56"/>
  <c r="P56" s="1"/>
  <c r="O57"/>
  <c r="P57" s="1"/>
  <c r="O58"/>
  <c r="P58" s="1"/>
  <c r="O59"/>
  <c r="P59" s="1"/>
  <c r="O60"/>
  <c r="P60" s="1"/>
  <c r="O61"/>
  <c r="P61" s="1"/>
  <c r="O62"/>
  <c r="P62" s="1"/>
  <c r="O63"/>
  <c r="P63" s="1"/>
  <c r="O64"/>
  <c r="P64" s="1"/>
  <c r="O65"/>
  <c r="P65" s="1"/>
  <c r="O66"/>
  <c r="P66" s="1"/>
  <c r="O67"/>
  <c r="P67" s="1"/>
  <c r="O68"/>
  <c r="P68" s="1"/>
  <c r="O69"/>
  <c r="P69" s="1"/>
  <c r="O70"/>
  <c r="P70" s="1"/>
  <c r="O71"/>
  <c r="P71" s="1"/>
  <c r="O72"/>
  <c r="P72" s="1"/>
  <c r="O73"/>
  <c r="P73" s="1"/>
  <c r="O74"/>
  <c r="P74" s="1"/>
  <c r="O75"/>
  <c r="P75" s="1"/>
  <c r="O76"/>
  <c r="P76" s="1"/>
  <c r="O77"/>
  <c r="P77" s="1"/>
  <c r="O78"/>
  <c r="P78" s="1"/>
  <c r="O79"/>
  <c r="P79" s="1"/>
  <c r="O80"/>
  <c r="P80" s="1"/>
  <c r="O81"/>
  <c r="P81" s="1"/>
  <c r="O82"/>
  <c r="P82" s="1"/>
  <c r="O83"/>
  <c r="P83" s="1"/>
  <c r="O84"/>
  <c r="P84" s="1"/>
  <c r="O85"/>
  <c r="P85" s="1"/>
  <c r="O86"/>
  <c r="P86" s="1"/>
  <c r="O87"/>
  <c r="P87" s="1"/>
  <c r="O88"/>
  <c r="P88" s="1"/>
  <c r="O89"/>
  <c r="P89" s="1"/>
  <c r="O90"/>
  <c r="P90" s="1"/>
  <c r="O91"/>
  <c r="P91" s="1"/>
  <c r="O92"/>
  <c r="P92" s="1"/>
  <c r="O93"/>
  <c r="P93" s="1"/>
  <c r="O94"/>
  <c r="P94" s="1"/>
  <c r="O95"/>
  <c r="P95" s="1"/>
  <c r="O96"/>
  <c r="P96" s="1"/>
  <c r="O97"/>
  <c r="P97" s="1"/>
  <c r="O98"/>
  <c r="P98" s="1"/>
  <c r="O99"/>
  <c r="P99" s="1"/>
  <c r="O100"/>
  <c r="P100" s="1"/>
  <c r="O101"/>
  <c r="P101" s="1"/>
  <c r="O102"/>
  <c r="P102" s="1"/>
  <c r="O103"/>
  <c r="P103" s="1"/>
  <c r="O104"/>
  <c r="P104" s="1"/>
  <c r="O105"/>
  <c r="P105" s="1"/>
  <c r="O106"/>
  <c r="P106" s="1"/>
  <c r="O107"/>
  <c r="P107" s="1"/>
  <c r="O108"/>
  <c r="P108" s="1"/>
  <c r="O109"/>
  <c r="P109" s="1"/>
  <c r="O110"/>
  <c r="P110" s="1"/>
  <c r="O111"/>
  <c r="P111" s="1"/>
  <c r="O112"/>
  <c r="P112" s="1"/>
  <c r="O113"/>
  <c r="P113" s="1"/>
  <c r="O114"/>
  <c r="P114" s="1"/>
  <c r="O115"/>
  <c r="P115" s="1"/>
  <c r="O116"/>
  <c r="P116" s="1"/>
  <c r="O117"/>
  <c r="P117" s="1"/>
  <c r="O118"/>
  <c r="P118" s="1"/>
  <c r="O119"/>
  <c r="P119" s="1"/>
  <c r="O120"/>
  <c r="P120" s="1"/>
  <c r="O121"/>
  <c r="P121" s="1"/>
  <c r="O122"/>
  <c r="P122" s="1"/>
  <c r="O123"/>
  <c r="P123" s="1"/>
  <c r="O124"/>
  <c r="P124" s="1"/>
  <c r="O125"/>
  <c r="P125" s="1"/>
  <c r="O126"/>
  <c r="P126" s="1"/>
  <c r="O127"/>
  <c r="P127" s="1"/>
  <c r="O128"/>
  <c r="P128" s="1"/>
  <c r="O129"/>
  <c r="P129" s="1"/>
  <c r="O130"/>
  <c r="P130" s="1"/>
  <c r="O131"/>
  <c r="P131" s="1"/>
  <c r="O132"/>
  <c r="P132" s="1"/>
  <c r="O133"/>
  <c r="P133" s="1"/>
  <c r="O134"/>
  <c r="P134" s="1"/>
  <c r="O135"/>
  <c r="P135" s="1"/>
  <c r="O136"/>
  <c r="P136" s="1"/>
  <c r="O137"/>
  <c r="P137" s="1"/>
  <c r="O138"/>
  <c r="P138" s="1"/>
  <c r="O139"/>
  <c r="P139" s="1"/>
  <c r="O140"/>
  <c r="P140" s="1"/>
  <c r="O141"/>
  <c r="P141" s="1"/>
  <c r="O142"/>
  <c r="P142" s="1"/>
  <c r="O143"/>
  <c r="P143" s="1"/>
  <c r="O144"/>
  <c r="P144" s="1"/>
  <c r="O145"/>
  <c r="P145" s="1"/>
  <c r="O146"/>
  <c r="P146" s="1"/>
  <c r="O147"/>
  <c r="P147" s="1"/>
  <c r="O148"/>
  <c r="P148" s="1"/>
  <c r="O149"/>
  <c r="P149" s="1"/>
  <c r="O150"/>
  <c r="P150" s="1"/>
  <c r="O151"/>
  <c r="P151" s="1"/>
  <c r="O152"/>
  <c r="P152" s="1"/>
  <c r="O153"/>
  <c r="P153" s="1"/>
  <c r="O154"/>
  <c r="P154" s="1"/>
  <c r="O155"/>
  <c r="P155" s="1"/>
  <c r="O156"/>
  <c r="P156" s="1"/>
  <c r="O157"/>
  <c r="P157" s="1"/>
  <c r="O158"/>
  <c r="P158" s="1"/>
  <c r="O159"/>
  <c r="P159" s="1"/>
  <c r="O160"/>
  <c r="P160" s="1"/>
  <c r="O161"/>
  <c r="P161" s="1"/>
  <c r="O162"/>
  <c r="P162" s="1"/>
  <c r="O163"/>
  <c r="P163" s="1"/>
  <c r="O164"/>
  <c r="P164" s="1"/>
  <c r="O165"/>
  <c r="P165" s="1"/>
  <c r="O166"/>
  <c r="P166" s="1"/>
  <c r="O167"/>
  <c r="P167" s="1"/>
  <c r="O168"/>
  <c r="P168" s="1"/>
  <c r="O169"/>
  <c r="P169" s="1"/>
  <c r="O170"/>
  <c r="P170" s="1"/>
  <c r="O171"/>
  <c r="P171" s="1"/>
  <c r="O172"/>
  <c r="P172" s="1"/>
  <c r="O173"/>
  <c r="P173" s="1"/>
  <c r="O174"/>
  <c r="P174" s="1"/>
  <c r="O175"/>
  <c r="P175" s="1"/>
  <c r="O176"/>
  <c r="P176" s="1"/>
  <c r="O177"/>
  <c r="P177" s="1"/>
  <c r="O178"/>
  <c r="P178" s="1"/>
  <c r="O179"/>
  <c r="P179" s="1"/>
  <c r="O180"/>
  <c r="P180" s="1"/>
  <c r="O181"/>
  <c r="P181" s="1"/>
  <c r="O182"/>
  <c r="P182" s="1"/>
  <c r="O183"/>
  <c r="P183" s="1"/>
  <c r="O184"/>
  <c r="P184" s="1"/>
  <c r="O185"/>
  <c r="P185" s="1"/>
  <c r="O186"/>
  <c r="P186" s="1"/>
  <c r="O187"/>
  <c r="P187" s="1"/>
  <c r="O188"/>
  <c r="P188" s="1"/>
  <c r="O189"/>
  <c r="P189" s="1"/>
  <c r="O190"/>
  <c r="P190" s="1"/>
  <c r="O191"/>
  <c r="P191" s="1"/>
  <c r="O192"/>
  <c r="P192" s="1"/>
  <c r="O193"/>
  <c r="P193" s="1"/>
  <c r="O194"/>
  <c r="P194" s="1"/>
  <c r="O195"/>
  <c r="P195" s="1"/>
  <c r="O196"/>
  <c r="P196" s="1"/>
  <c r="O2"/>
  <c r="P2" s="1"/>
  <c r="E2"/>
  <c r="F2" s="1"/>
  <c r="L73"/>
  <c r="L144"/>
  <c r="L74"/>
  <c r="L131"/>
  <c r="L49"/>
  <c r="L152"/>
  <c r="L33"/>
  <c r="L66"/>
  <c r="L60"/>
  <c r="L43"/>
  <c r="L40"/>
  <c r="L80"/>
  <c r="L182"/>
  <c r="L185"/>
  <c r="L25"/>
  <c r="L148"/>
  <c r="L23"/>
  <c r="L106"/>
  <c r="L77"/>
  <c r="L134"/>
  <c r="L16"/>
  <c r="L101"/>
  <c r="L82"/>
  <c r="L189"/>
  <c r="L162"/>
  <c r="L112"/>
  <c r="L104"/>
  <c r="L3"/>
  <c r="L135"/>
  <c r="L142"/>
  <c r="L107"/>
  <c r="L85"/>
  <c r="L171"/>
  <c r="L98"/>
  <c r="L55"/>
  <c r="L125"/>
  <c r="L128"/>
  <c r="L177"/>
  <c r="L38"/>
  <c r="L41"/>
  <c r="L7"/>
  <c r="L175"/>
  <c r="L102"/>
  <c r="L46"/>
  <c r="L164"/>
  <c r="L141"/>
  <c r="L52"/>
  <c r="L65"/>
  <c r="L81"/>
  <c r="L195"/>
  <c r="L133"/>
  <c r="L149"/>
  <c r="L120"/>
  <c r="L130"/>
  <c r="L116"/>
  <c r="L13"/>
  <c r="L22"/>
  <c r="L180"/>
  <c r="L154"/>
  <c r="L136"/>
  <c r="L156"/>
  <c r="L54"/>
  <c r="L158"/>
  <c r="L61"/>
  <c r="L39"/>
  <c r="L105"/>
  <c r="L14"/>
  <c r="L191"/>
  <c r="L194"/>
  <c r="L47"/>
  <c r="L109"/>
  <c r="L160"/>
  <c r="L36"/>
  <c r="L26"/>
  <c r="L145"/>
  <c r="L30"/>
  <c r="L137"/>
  <c r="L103"/>
  <c r="L24"/>
  <c r="L117"/>
  <c r="L5"/>
  <c r="L44"/>
  <c r="L53"/>
  <c r="L50"/>
  <c r="L146"/>
  <c r="L170"/>
  <c r="L91"/>
  <c r="L119"/>
  <c r="L178"/>
  <c r="L8"/>
  <c r="L63"/>
  <c r="L129"/>
  <c r="L157"/>
  <c r="L100"/>
  <c r="L151"/>
  <c r="L86"/>
  <c r="L87"/>
  <c r="L169"/>
  <c r="L9"/>
  <c r="L17"/>
  <c r="L90"/>
  <c r="L78"/>
  <c r="L165"/>
  <c r="L37"/>
  <c r="L190"/>
  <c r="L83"/>
  <c r="L34"/>
  <c r="L72"/>
  <c r="L19"/>
  <c r="L111"/>
  <c r="L181"/>
  <c r="L28"/>
  <c r="L172"/>
  <c r="L168"/>
  <c r="L139"/>
  <c r="L126"/>
  <c r="L20"/>
  <c r="L95"/>
  <c r="L11"/>
  <c r="L64"/>
  <c r="L121"/>
  <c r="L140"/>
  <c r="L57"/>
  <c r="L159"/>
  <c r="L99"/>
  <c r="L71"/>
  <c r="L76"/>
  <c r="L48"/>
  <c r="L132"/>
  <c r="L173"/>
  <c r="L70"/>
  <c r="L114"/>
  <c r="L138"/>
  <c r="L188"/>
  <c r="L167"/>
  <c r="L27"/>
  <c r="L84"/>
  <c r="L97"/>
  <c r="L192"/>
  <c r="L21"/>
  <c r="L68"/>
  <c r="L94"/>
  <c r="L123"/>
  <c r="L147"/>
  <c r="L51"/>
  <c r="L31"/>
  <c r="L59"/>
  <c r="L45"/>
  <c r="L184"/>
  <c r="L186"/>
  <c r="L193"/>
  <c r="L10"/>
  <c r="L110"/>
  <c r="L79"/>
  <c r="L88"/>
  <c r="L108"/>
  <c r="L127"/>
  <c r="L174"/>
  <c r="L29"/>
  <c r="L35"/>
  <c r="L32"/>
  <c r="L89"/>
  <c r="L124"/>
  <c r="L6"/>
  <c r="L183"/>
  <c r="L115"/>
  <c r="L4"/>
  <c r="L93"/>
  <c r="L163"/>
  <c r="L96"/>
  <c r="L153"/>
  <c r="L161"/>
  <c r="L12"/>
  <c r="L176"/>
  <c r="L92"/>
  <c r="L67"/>
  <c r="L75"/>
  <c r="L166"/>
  <c r="L155"/>
  <c r="L18"/>
  <c r="L118"/>
  <c r="L179"/>
  <c r="L196"/>
  <c r="L122"/>
  <c r="L42"/>
  <c r="L62"/>
  <c r="L143"/>
  <c r="L58"/>
  <c r="L187"/>
  <c r="L113"/>
  <c r="L56"/>
  <c r="L15"/>
  <c r="L69"/>
  <c r="L150"/>
  <c r="O2" i="23"/>
  <c r="P2" s="1"/>
  <c r="N5"/>
  <c r="Q5" s="1"/>
  <c r="N9"/>
  <c r="Q9" s="1"/>
  <c r="N13"/>
  <c r="Q13" s="1"/>
  <c r="N17"/>
  <c r="Q17" s="1"/>
  <c r="N21"/>
  <c r="Q21" s="1"/>
  <c r="N23"/>
  <c r="Q23" s="1"/>
  <c r="N25"/>
  <c r="Q25" s="1"/>
  <c r="N27"/>
  <c r="Q27" s="1"/>
  <c r="N29"/>
  <c r="Q29" s="1"/>
  <c r="N31"/>
  <c r="Q31" s="1"/>
  <c r="N33"/>
  <c r="Q33" s="1"/>
  <c r="N35"/>
  <c r="Q35" s="1"/>
  <c r="N37"/>
  <c r="Q37" s="1"/>
  <c r="N39"/>
  <c r="Q39" s="1"/>
  <c r="N41"/>
  <c r="Q41" s="1"/>
  <c r="N43"/>
  <c r="Q43" s="1"/>
  <c r="N45"/>
  <c r="Q45" s="1"/>
  <c r="N47"/>
  <c r="Q47" s="1"/>
  <c r="N49"/>
  <c r="Q49" s="1"/>
  <c r="N51"/>
  <c r="Q51" s="1"/>
  <c r="N53"/>
  <c r="Q53" s="1"/>
  <c r="N55"/>
  <c r="Q55" s="1"/>
  <c r="N57"/>
  <c r="Q57" s="1"/>
  <c r="N59"/>
  <c r="Q59" s="1"/>
  <c r="N61"/>
  <c r="Q61" s="1"/>
  <c r="N63"/>
  <c r="Q63" s="1"/>
  <c r="N65"/>
  <c r="Q65" s="1"/>
  <c r="N67"/>
  <c r="Q67" s="1"/>
  <c r="N69"/>
  <c r="Q69" s="1"/>
  <c r="N71"/>
  <c r="Q71" s="1"/>
  <c r="N73"/>
  <c r="Q73" s="1"/>
  <c r="N75"/>
  <c r="Q75" s="1"/>
  <c r="N77"/>
  <c r="Q77" s="1"/>
  <c r="N79"/>
  <c r="Q79" s="1"/>
  <c r="N81"/>
  <c r="Q81" s="1"/>
  <c r="N83"/>
  <c r="Q83" s="1"/>
  <c r="N85"/>
  <c r="Q85" s="1"/>
  <c r="N87"/>
  <c r="Q87" s="1"/>
  <c r="N89"/>
  <c r="Q89" s="1"/>
  <c r="N91"/>
  <c r="Q91" s="1"/>
  <c r="N93"/>
  <c r="Q93" s="1"/>
  <c r="N95"/>
  <c r="Q95" s="1"/>
  <c r="N97"/>
  <c r="Q97" s="1"/>
  <c r="N99"/>
  <c r="Q99" s="1"/>
  <c r="N101"/>
  <c r="Q101" s="1"/>
  <c r="N103"/>
  <c r="Q103" s="1"/>
  <c r="N105"/>
  <c r="Q105" s="1"/>
  <c r="N107"/>
  <c r="Q107" s="1"/>
  <c r="N109"/>
  <c r="Q109" s="1"/>
  <c r="N111"/>
  <c r="Q111" s="1"/>
  <c r="N113"/>
  <c r="Q113" s="1"/>
  <c r="N115"/>
  <c r="Q115" s="1"/>
  <c r="N117"/>
  <c r="Q117" s="1"/>
  <c r="N119"/>
  <c r="Q119" s="1"/>
  <c r="N121"/>
  <c r="Q121" s="1"/>
  <c r="N123"/>
  <c r="Q123" s="1"/>
  <c r="N125"/>
  <c r="Q125" s="1"/>
  <c r="N127"/>
  <c r="Q127" s="1"/>
  <c r="N129"/>
  <c r="Q129" s="1"/>
  <c r="N131"/>
  <c r="Q131" s="1"/>
  <c r="N133"/>
  <c r="Q133" s="1"/>
  <c r="N135"/>
  <c r="Q135" s="1"/>
  <c r="N137"/>
  <c r="Q137" s="1"/>
  <c r="N139"/>
  <c r="Q139" s="1"/>
  <c r="N141"/>
  <c r="Q141" s="1"/>
  <c r="N143"/>
  <c r="Q143" s="1"/>
  <c r="N145"/>
  <c r="Q145" s="1"/>
  <c r="N147"/>
  <c r="Q147" s="1"/>
  <c r="N149"/>
  <c r="Q149" s="1"/>
  <c r="N151"/>
  <c r="Q151" s="1"/>
  <c r="N153"/>
  <c r="Q153" s="1"/>
  <c r="N155"/>
  <c r="Q155" s="1"/>
  <c r="N157"/>
  <c r="Q157" s="1"/>
  <c r="N159"/>
  <c r="Q159" s="1"/>
  <c r="N161"/>
  <c r="Q161" s="1"/>
  <c r="N163"/>
  <c r="Q163" s="1"/>
  <c r="N165"/>
  <c r="Q165" s="1"/>
  <c r="N167"/>
  <c r="Q167" s="1"/>
  <c r="N169"/>
  <c r="Q169" s="1"/>
  <c r="N171"/>
  <c r="Q171" s="1"/>
  <c r="N173"/>
  <c r="Q173" s="1"/>
  <c r="N175"/>
  <c r="Q175" s="1"/>
  <c r="N177"/>
  <c r="Q177" s="1"/>
  <c r="N179"/>
  <c r="Q179" s="1"/>
  <c r="N181"/>
  <c r="Q181" s="1"/>
  <c r="N183"/>
  <c r="Q183" s="1"/>
  <c r="N185"/>
  <c r="Q185" s="1"/>
  <c r="N187"/>
  <c r="Q187" s="1"/>
  <c r="N189"/>
  <c r="Q189" s="1"/>
  <c r="N191"/>
  <c r="Q191" s="1"/>
  <c r="N193"/>
  <c r="Q193" s="1"/>
  <c r="N195"/>
  <c r="Q195" s="1"/>
  <c r="N2"/>
  <c r="Q2" s="1"/>
  <c r="K3" i="11"/>
  <c r="L3" s="1"/>
  <c r="K4"/>
  <c r="L4" s="1"/>
  <c r="K5"/>
  <c r="L5" s="1"/>
  <c r="K6"/>
  <c r="L6" s="1"/>
  <c r="K7"/>
  <c r="L7" s="1"/>
  <c r="K8"/>
  <c r="L8" s="1"/>
  <c r="K9"/>
  <c r="L9" s="1"/>
  <c r="K10"/>
  <c r="L10" s="1"/>
  <c r="K11"/>
  <c r="L11" s="1"/>
  <c r="K12"/>
  <c r="L12" s="1"/>
  <c r="K13"/>
  <c r="L13" s="1"/>
  <c r="K14"/>
  <c r="L14" s="1"/>
  <c r="K15"/>
  <c r="L15" s="1"/>
  <c r="K16"/>
  <c r="L16" s="1"/>
  <c r="K17"/>
  <c r="L17" s="1"/>
  <c r="K18"/>
  <c r="L18" s="1"/>
  <c r="K19"/>
  <c r="L19" s="1"/>
  <c r="K20"/>
  <c r="L20" s="1"/>
  <c r="K21"/>
  <c r="L21" s="1"/>
  <c r="K22"/>
  <c r="L22" s="1"/>
  <c r="K23"/>
  <c r="L23" s="1"/>
  <c r="K24"/>
  <c r="L24" s="1"/>
  <c r="K25"/>
  <c r="L25" s="1"/>
  <c r="K26"/>
  <c r="L26" s="1"/>
  <c r="K27"/>
  <c r="L27" s="1"/>
  <c r="K28"/>
  <c r="L28" s="1"/>
  <c r="K29"/>
  <c r="L29" s="1"/>
  <c r="K30"/>
  <c r="L30" s="1"/>
  <c r="K31"/>
  <c r="L31" s="1"/>
  <c r="K32"/>
  <c r="L32" s="1"/>
  <c r="K33"/>
  <c r="L33" s="1"/>
  <c r="K34"/>
  <c r="L34" s="1"/>
  <c r="K35"/>
  <c r="L35" s="1"/>
  <c r="K36"/>
  <c r="L36" s="1"/>
  <c r="K37"/>
  <c r="L37" s="1"/>
  <c r="K38"/>
  <c r="L38" s="1"/>
  <c r="K39"/>
  <c r="L39" s="1"/>
  <c r="K40"/>
  <c r="L40" s="1"/>
  <c r="K41"/>
  <c r="L41" s="1"/>
  <c r="K42"/>
  <c r="L42" s="1"/>
  <c r="K43"/>
  <c r="L43" s="1"/>
  <c r="K44"/>
  <c r="L44" s="1"/>
  <c r="K45"/>
  <c r="L45" s="1"/>
  <c r="K46"/>
  <c r="L46" s="1"/>
  <c r="K47"/>
  <c r="L47" s="1"/>
  <c r="K48"/>
  <c r="L48" s="1"/>
  <c r="K49"/>
  <c r="L49" s="1"/>
  <c r="K50"/>
  <c r="L50" s="1"/>
  <c r="K51"/>
  <c r="L51" s="1"/>
  <c r="K52"/>
  <c r="L52" s="1"/>
  <c r="K53"/>
  <c r="L53" s="1"/>
  <c r="K54"/>
  <c r="L54" s="1"/>
  <c r="K55"/>
  <c r="L55" s="1"/>
  <c r="K56"/>
  <c r="L56" s="1"/>
  <c r="K57"/>
  <c r="L57" s="1"/>
  <c r="K58"/>
  <c r="L58" s="1"/>
  <c r="K59"/>
  <c r="L59" s="1"/>
  <c r="K60"/>
  <c r="L60" s="1"/>
  <c r="K61"/>
  <c r="L61" s="1"/>
  <c r="K62"/>
  <c r="L62" s="1"/>
  <c r="K63"/>
  <c r="L63" s="1"/>
  <c r="K64"/>
  <c r="L64" s="1"/>
  <c r="K65"/>
  <c r="L65" s="1"/>
  <c r="K66"/>
  <c r="L66" s="1"/>
  <c r="K67"/>
  <c r="L67" s="1"/>
  <c r="K68"/>
  <c r="L68" s="1"/>
  <c r="K69"/>
  <c r="L69" s="1"/>
  <c r="K70"/>
  <c r="L70" s="1"/>
  <c r="K71"/>
  <c r="L71" s="1"/>
  <c r="K72"/>
  <c r="L72" s="1"/>
  <c r="K73"/>
  <c r="L73" s="1"/>
  <c r="K74"/>
  <c r="L74" s="1"/>
  <c r="K75"/>
  <c r="L75" s="1"/>
  <c r="K76"/>
  <c r="L76" s="1"/>
  <c r="K77"/>
  <c r="L77" s="1"/>
  <c r="K78"/>
  <c r="L78" s="1"/>
  <c r="K79"/>
  <c r="L79" s="1"/>
  <c r="K80"/>
  <c r="L80" s="1"/>
  <c r="K81"/>
  <c r="L81" s="1"/>
  <c r="K82"/>
  <c r="L82" s="1"/>
  <c r="K83"/>
  <c r="L83" s="1"/>
  <c r="K84"/>
  <c r="L84" s="1"/>
  <c r="K85"/>
  <c r="L85" s="1"/>
  <c r="K86"/>
  <c r="L86" s="1"/>
  <c r="K87"/>
  <c r="L87" s="1"/>
  <c r="K88"/>
  <c r="L88" s="1"/>
  <c r="K89"/>
  <c r="L89" s="1"/>
  <c r="K90"/>
  <c r="L90" s="1"/>
  <c r="K91"/>
  <c r="L91" s="1"/>
  <c r="K92"/>
  <c r="L92" s="1"/>
  <c r="K93"/>
  <c r="L93" s="1"/>
  <c r="K94"/>
  <c r="L94" s="1"/>
  <c r="K95"/>
  <c r="L95" s="1"/>
  <c r="K96"/>
  <c r="L96" s="1"/>
  <c r="K97"/>
  <c r="L97" s="1"/>
  <c r="K98"/>
  <c r="L98" s="1"/>
  <c r="K99"/>
  <c r="L99" s="1"/>
  <c r="K100"/>
  <c r="L100" s="1"/>
  <c r="K101"/>
  <c r="L101" s="1"/>
  <c r="K102"/>
  <c r="L102" s="1"/>
  <c r="K103"/>
  <c r="L103" s="1"/>
  <c r="K104"/>
  <c r="L104" s="1"/>
  <c r="K105"/>
  <c r="L105" s="1"/>
  <c r="K106"/>
  <c r="L106" s="1"/>
  <c r="K107"/>
  <c r="L107" s="1"/>
  <c r="K108"/>
  <c r="L108" s="1"/>
  <c r="K109"/>
  <c r="L109" s="1"/>
  <c r="K110"/>
  <c r="L110" s="1"/>
  <c r="K111"/>
  <c r="L111" s="1"/>
  <c r="K112"/>
  <c r="L112" s="1"/>
  <c r="K113"/>
  <c r="L113" s="1"/>
  <c r="K114"/>
  <c r="L114" s="1"/>
  <c r="K115"/>
  <c r="L115" s="1"/>
  <c r="K116"/>
  <c r="L116" s="1"/>
  <c r="K117"/>
  <c r="L117" s="1"/>
  <c r="K118"/>
  <c r="L118" s="1"/>
  <c r="K119"/>
  <c r="L119" s="1"/>
  <c r="K120"/>
  <c r="L120" s="1"/>
  <c r="K121"/>
  <c r="L121" s="1"/>
  <c r="K122"/>
  <c r="L122" s="1"/>
  <c r="K123"/>
  <c r="L123" s="1"/>
  <c r="K124"/>
  <c r="L124" s="1"/>
  <c r="K125"/>
  <c r="L125" s="1"/>
  <c r="K126"/>
  <c r="L126" s="1"/>
  <c r="K127"/>
  <c r="L127" s="1"/>
  <c r="K128"/>
  <c r="L128" s="1"/>
  <c r="K129"/>
  <c r="L129" s="1"/>
  <c r="K130"/>
  <c r="L130" s="1"/>
  <c r="K131"/>
  <c r="L131" s="1"/>
  <c r="K132"/>
  <c r="L132" s="1"/>
  <c r="K133"/>
  <c r="L133" s="1"/>
  <c r="K134"/>
  <c r="L134" s="1"/>
  <c r="K135"/>
  <c r="L135" s="1"/>
  <c r="K136"/>
  <c r="L136" s="1"/>
  <c r="K137"/>
  <c r="L137" s="1"/>
  <c r="K138"/>
  <c r="L138" s="1"/>
  <c r="K139"/>
  <c r="L139" s="1"/>
  <c r="K140"/>
  <c r="L140" s="1"/>
  <c r="K141"/>
  <c r="L141" s="1"/>
  <c r="K142"/>
  <c r="L142" s="1"/>
  <c r="K143"/>
  <c r="L143" s="1"/>
  <c r="K144"/>
  <c r="L144" s="1"/>
  <c r="K145"/>
  <c r="L145" s="1"/>
  <c r="K146"/>
  <c r="L146" s="1"/>
  <c r="K147"/>
  <c r="L147" s="1"/>
  <c r="K148"/>
  <c r="L148" s="1"/>
  <c r="K149"/>
  <c r="L149" s="1"/>
  <c r="K150"/>
  <c r="L150" s="1"/>
  <c r="K151"/>
  <c r="L151" s="1"/>
  <c r="K152"/>
  <c r="L152" s="1"/>
  <c r="K153"/>
  <c r="L153" s="1"/>
  <c r="K154"/>
  <c r="L154" s="1"/>
  <c r="K155"/>
  <c r="L155" s="1"/>
  <c r="K156"/>
  <c r="L156" s="1"/>
  <c r="K157"/>
  <c r="L157" s="1"/>
  <c r="K158"/>
  <c r="L158" s="1"/>
  <c r="K159"/>
  <c r="L159" s="1"/>
  <c r="K160"/>
  <c r="L160" s="1"/>
  <c r="K161"/>
  <c r="L161" s="1"/>
  <c r="K162"/>
  <c r="L162" s="1"/>
  <c r="K163"/>
  <c r="L163" s="1"/>
  <c r="K164"/>
  <c r="L164" s="1"/>
  <c r="K165"/>
  <c r="L165" s="1"/>
  <c r="K166"/>
  <c r="L166" s="1"/>
  <c r="K167"/>
  <c r="L167" s="1"/>
  <c r="K168"/>
  <c r="L168" s="1"/>
  <c r="K169"/>
  <c r="L169" s="1"/>
  <c r="K170"/>
  <c r="L170" s="1"/>
  <c r="K171"/>
  <c r="L171" s="1"/>
  <c r="K172"/>
  <c r="L172" s="1"/>
  <c r="K173"/>
  <c r="L173" s="1"/>
  <c r="K174"/>
  <c r="L174" s="1"/>
  <c r="K175"/>
  <c r="L175" s="1"/>
  <c r="K176"/>
  <c r="L176" s="1"/>
  <c r="K177"/>
  <c r="L177" s="1"/>
  <c r="K178"/>
  <c r="L178" s="1"/>
  <c r="K179"/>
  <c r="L179" s="1"/>
  <c r="K180"/>
  <c r="L180" s="1"/>
  <c r="K181"/>
  <c r="L181" s="1"/>
  <c r="K182"/>
  <c r="L182" s="1"/>
  <c r="K183"/>
  <c r="L183" s="1"/>
  <c r="K184"/>
  <c r="L184" s="1"/>
  <c r="K185"/>
  <c r="L185" s="1"/>
  <c r="K186"/>
  <c r="L186" s="1"/>
  <c r="K187"/>
  <c r="L187" s="1"/>
  <c r="K188"/>
  <c r="L188" s="1"/>
  <c r="K189"/>
  <c r="L189" s="1"/>
  <c r="K190"/>
  <c r="L190" s="1"/>
  <c r="K191"/>
  <c r="L191" s="1"/>
  <c r="K192"/>
  <c r="L192" s="1"/>
  <c r="K193"/>
  <c r="L193" s="1"/>
  <c r="K194"/>
  <c r="L194" s="1"/>
  <c r="K195"/>
  <c r="L195" s="1"/>
  <c r="K196"/>
  <c r="L196" s="1"/>
  <c r="K2"/>
  <c r="L2" s="1"/>
  <c r="G3"/>
  <c r="G8"/>
  <c r="L196" i="23"/>
  <c r="W196" s="1"/>
  <c r="W195"/>
  <c r="L195"/>
  <c r="X195" s="1"/>
  <c r="L194"/>
  <c r="W194" s="1"/>
  <c r="L193"/>
  <c r="X193" s="1"/>
  <c r="L192"/>
  <c r="W192" s="1"/>
  <c r="L191"/>
  <c r="X191" s="1"/>
  <c r="L190"/>
  <c r="W190" s="1"/>
  <c r="L189"/>
  <c r="X189" s="1"/>
  <c r="L188"/>
  <c r="W188" s="1"/>
  <c r="L187"/>
  <c r="X187" s="1"/>
  <c r="L186"/>
  <c r="W186" s="1"/>
  <c r="L185"/>
  <c r="X185" s="1"/>
  <c r="L184"/>
  <c r="W184" s="1"/>
  <c r="L183"/>
  <c r="X183" s="1"/>
  <c r="L182"/>
  <c r="W182" s="1"/>
  <c r="L181"/>
  <c r="X181" s="1"/>
  <c r="L180"/>
  <c r="W180" s="1"/>
  <c r="L179"/>
  <c r="X179" s="1"/>
  <c r="L178"/>
  <c r="W178" s="1"/>
  <c r="L177"/>
  <c r="X177" s="1"/>
  <c r="L176"/>
  <c r="W176" s="1"/>
  <c r="L175"/>
  <c r="L174"/>
  <c r="W174" s="1"/>
  <c r="W173"/>
  <c r="L173"/>
  <c r="X173" s="1"/>
  <c r="L172"/>
  <c r="W172" s="1"/>
  <c r="L171"/>
  <c r="L170"/>
  <c r="W170" s="1"/>
  <c r="W169"/>
  <c r="L169"/>
  <c r="X169" s="1"/>
  <c r="L168"/>
  <c r="W168" s="1"/>
  <c r="L167"/>
  <c r="X167" s="1"/>
  <c r="L166"/>
  <c r="W166" s="1"/>
  <c r="L165"/>
  <c r="X165" s="1"/>
  <c r="L164"/>
  <c r="W164" s="1"/>
  <c r="L163"/>
  <c r="X163" s="1"/>
  <c r="L162"/>
  <c r="W162" s="1"/>
  <c r="L161"/>
  <c r="X161" s="1"/>
  <c r="L160"/>
  <c r="W160" s="1"/>
  <c r="L159"/>
  <c r="X159" s="1"/>
  <c r="L158"/>
  <c r="W158" s="1"/>
  <c r="L157"/>
  <c r="X157" s="1"/>
  <c r="L156"/>
  <c r="W156" s="1"/>
  <c r="L155"/>
  <c r="X155" s="1"/>
  <c r="L154"/>
  <c r="W154" s="1"/>
  <c r="L153"/>
  <c r="X153" s="1"/>
  <c r="L152"/>
  <c r="W152" s="1"/>
  <c r="L151"/>
  <c r="X151" s="1"/>
  <c r="L150"/>
  <c r="W150" s="1"/>
  <c r="L149"/>
  <c r="X149" s="1"/>
  <c r="L148"/>
  <c r="W148" s="1"/>
  <c r="L147"/>
  <c r="X147" s="1"/>
  <c r="L146"/>
  <c r="W146" s="1"/>
  <c r="L145"/>
  <c r="X145" s="1"/>
  <c r="L144"/>
  <c r="W144" s="1"/>
  <c r="L143"/>
  <c r="X143" s="1"/>
  <c r="L142"/>
  <c r="W142" s="1"/>
  <c r="L141"/>
  <c r="L140"/>
  <c r="W140" s="1"/>
  <c r="W139"/>
  <c r="L139"/>
  <c r="X139" s="1"/>
  <c r="L138"/>
  <c r="W138" s="1"/>
  <c r="L137"/>
  <c r="L136"/>
  <c r="W136" s="1"/>
  <c r="W135"/>
  <c r="L135"/>
  <c r="X135" s="1"/>
  <c r="L134"/>
  <c r="W134" s="1"/>
  <c r="L133"/>
  <c r="L132"/>
  <c r="W132" s="1"/>
  <c r="L131"/>
  <c r="X131" s="1"/>
  <c r="L130"/>
  <c r="W130" s="1"/>
  <c r="W129"/>
  <c r="L129"/>
  <c r="X129" s="1"/>
  <c r="L128"/>
  <c r="W128" s="1"/>
  <c r="L127"/>
  <c r="L126"/>
  <c r="W126" s="1"/>
  <c r="L125"/>
  <c r="X125" s="1"/>
  <c r="L124"/>
  <c r="W124" s="1"/>
  <c r="L123"/>
  <c r="X123" s="1"/>
  <c r="L122"/>
  <c r="W122" s="1"/>
  <c r="W121"/>
  <c r="L121"/>
  <c r="X121" s="1"/>
  <c r="L120"/>
  <c r="W120" s="1"/>
  <c r="L119"/>
  <c r="L118"/>
  <c r="W118" s="1"/>
  <c r="W117"/>
  <c r="L117"/>
  <c r="X117" s="1"/>
  <c r="L116"/>
  <c r="W116" s="1"/>
  <c r="L115"/>
  <c r="X115" s="1"/>
  <c r="L114"/>
  <c r="W114" s="1"/>
  <c r="L113"/>
  <c r="L112"/>
  <c r="W112" s="1"/>
  <c r="L111"/>
  <c r="X111" s="1"/>
  <c r="L110"/>
  <c r="W110" s="1"/>
  <c r="L109"/>
  <c r="X109" s="1"/>
  <c r="L108"/>
  <c r="W108" s="1"/>
  <c r="W107"/>
  <c r="L107"/>
  <c r="X107" s="1"/>
  <c r="L106"/>
  <c r="W106" s="1"/>
  <c r="L105"/>
  <c r="L104"/>
  <c r="W104" s="1"/>
  <c r="W103"/>
  <c r="L103"/>
  <c r="X103" s="1"/>
  <c r="L102"/>
  <c r="W102" s="1"/>
  <c r="L101"/>
  <c r="L100"/>
  <c r="W100" s="1"/>
  <c r="W99"/>
  <c r="L99"/>
  <c r="X99" s="1"/>
  <c r="L98"/>
  <c r="W98" s="1"/>
  <c r="L97"/>
  <c r="L96"/>
  <c r="W96" s="1"/>
  <c r="L95"/>
  <c r="X95" s="1"/>
  <c r="L94"/>
  <c r="W94" s="1"/>
  <c r="L93"/>
  <c r="X93" s="1"/>
  <c r="L92"/>
  <c r="W92" s="1"/>
  <c r="W91"/>
  <c r="L91"/>
  <c r="X91" s="1"/>
  <c r="L90"/>
  <c r="W90" s="1"/>
  <c r="L89"/>
  <c r="L88"/>
  <c r="W88" s="1"/>
  <c r="W87"/>
  <c r="L87"/>
  <c r="X87" s="1"/>
  <c r="L86"/>
  <c r="W86" s="1"/>
  <c r="L85"/>
  <c r="L84"/>
  <c r="W84" s="1"/>
  <c r="L83"/>
  <c r="X83" s="1"/>
  <c r="L82"/>
  <c r="W82" s="1"/>
  <c r="L81"/>
  <c r="X81" s="1"/>
  <c r="L80"/>
  <c r="W80" s="1"/>
  <c r="W79"/>
  <c r="L79"/>
  <c r="X79" s="1"/>
  <c r="L78"/>
  <c r="W78" s="1"/>
  <c r="L77"/>
  <c r="L76"/>
  <c r="W76" s="1"/>
  <c r="W75"/>
  <c r="L75"/>
  <c r="X75" s="1"/>
  <c r="L74"/>
  <c r="W74" s="1"/>
  <c r="L73"/>
  <c r="L72"/>
  <c r="W72" s="1"/>
  <c r="W71"/>
  <c r="L71"/>
  <c r="X71" s="1"/>
  <c r="L70"/>
  <c r="W70" s="1"/>
  <c r="L69"/>
  <c r="L68"/>
  <c r="W68" s="1"/>
  <c r="W67"/>
  <c r="L67"/>
  <c r="X67" s="1"/>
  <c r="L66"/>
  <c r="W66" s="1"/>
  <c r="L65"/>
  <c r="L64"/>
  <c r="W64" s="1"/>
  <c r="W63"/>
  <c r="L63"/>
  <c r="X63" s="1"/>
  <c r="L62"/>
  <c r="W62" s="1"/>
  <c r="L61"/>
  <c r="X61" s="1"/>
  <c r="L60"/>
  <c r="W60" s="1"/>
  <c r="L59"/>
  <c r="L58"/>
  <c r="W58" s="1"/>
  <c r="W57"/>
  <c r="L57"/>
  <c r="X57" s="1"/>
  <c r="L56"/>
  <c r="W56" s="1"/>
  <c r="L55"/>
  <c r="L54"/>
  <c r="W54" s="1"/>
  <c r="W53"/>
  <c r="L53"/>
  <c r="X53" s="1"/>
  <c r="L52"/>
  <c r="W52" s="1"/>
  <c r="L51"/>
  <c r="L50"/>
  <c r="W50" s="1"/>
  <c r="W49"/>
  <c r="L49"/>
  <c r="X49" s="1"/>
  <c r="L48"/>
  <c r="W48" s="1"/>
  <c r="L47"/>
  <c r="L46"/>
  <c r="W46" s="1"/>
  <c r="W45"/>
  <c r="L45"/>
  <c r="X45" s="1"/>
  <c r="L44"/>
  <c r="W44" s="1"/>
  <c r="L43"/>
  <c r="X43" s="1"/>
  <c r="L42"/>
  <c r="W42" s="1"/>
  <c r="L41"/>
  <c r="L40"/>
  <c r="W40" s="1"/>
  <c r="W39"/>
  <c r="L39"/>
  <c r="X39" s="1"/>
  <c r="L38"/>
  <c r="W38" s="1"/>
  <c r="L37"/>
  <c r="L36"/>
  <c r="W36" s="1"/>
  <c r="L35"/>
  <c r="X35" s="1"/>
  <c r="L34"/>
  <c r="W34" s="1"/>
  <c r="L33"/>
  <c r="X33" s="1"/>
  <c r="L32"/>
  <c r="W32" s="1"/>
  <c r="L31"/>
  <c r="X31" s="1"/>
  <c r="L30"/>
  <c r="W30" s="1"/>
  <c r="L29"/>
  <c r="X29" s="1"/>
  <c r="L28"/>
  <c r="W28" s="1"/>
  <c r="W27"/>
  <c r="L27"/>
  <c r="X27" s="1"/>
  <c r="L26"/>
  <c r="W26" s="1"/>
  <c r="L25"/>
  <c r="L24"/>
  <c r="W24" s="1"/>
  <c r="W23"/>
  <c r="L23"/>
  <c r="X23" s="1"/>
  <c r="L22"/>
  <c r="W22" s="1"/>
  <c r="L21"/>
  <c r="L20"/>
  <c r="W20" s="1"/>
  <c r="L19"/>
  <c r="X19" s="1"/>
  <c r="L18"/>
  <c r="W18" s="1"/>
  <c r="W17"/>
  <c r="L17"/>
  <c r="X17" s="1"/>
  <c r="L16"/>
  <c r="W16" s="1"/>
  <c r="L15"/>
  <c r="L14"/>
  <c r="W14" s="1"/>
  <c r="W13"/>
  <c r="L13"/>
  <c r="X13" s="1"/>
  <c r="L12"/>
  <c r="W12" s="1"/>
  <c r="L11"/>
  <c r="L10"/>
  <c r="W10" s="1"/>
  <c r="W9"/>
  <c r="L9"/>
  <c r="X9" s="1"/>
  <c r="L8"/>
  <c r="W8" s="1"/>
  <c r="L7"/>
  <c r="L6"/>
  <c r="W6" s="1"/>
  <c r="W5"/>
  <c r="L5"/>
  <c r="X5" s="1"/>
  <c r="L4"/>
  <c r="W4" s="1"/>
  <c r="L3"/>
  <c r="L2"/>
  <c r="W2" s="1"/>
  <c r="J5" i="12"/>
  <c r="O196"/>
  <c r="N196"/>
  <c r="M196"/>
  <c r="J196"/>
  <c r="N195"/>
  <c r="M195"/>
  <c r="J195"/>
  <c r="O195" s="1"/>
  <c r="N194"/>
  <c r="M194"/>
  <c r="J194"/>
  <c r="O194" s="1"/>
  <c r="N193"/>
  <c r="M193"/>
  <c r="J193"/>
  <c r="O193" s="1"/>
  <c r="N192"/>
  <c r="M192"/>
  <c r="J192"/>
  <c r="O192" s="1"/>
  <c r="N191"/>
  <c r="M191"/>
  <c r="J191"/>
  <c r="O191" s="1"/>
  <c r="N190"/>
  <c r="M190"/>
  <c r="J190"/>
  <c r="O190" s="1"/>
  <c r="N189"/>
  <c r="M189"/>
  <c r="J189"/>
  <c r="O189" s="1"/>
  <c r="N188"/>
  <c r="M188"/>
  <c r="J188"/>
  <c r="O188" s="1"/>
  <c r="N187"/>
  <c r="M187"/>
  <c r="J187"/>
  <c r="O187" s="1"/>
  <c r="N186"/>
  <c r="M186"/>
  <c r="J186"/>
  <c r="O186" s="1"/>
  <c r="N185"/>
  <c r="M185"/>
  <c r="J185"/>
  <c r="O185" s="1"/>
  <c r="N184"/>
  <c r="M184"/>
  <c r="J184"/>
  <c r="O184" s="1"/>
  <c r="N183"/>
  <c r="M183"/>
  <c r="J183"/>
  <c r="O183" s="1"/>
  <c r="N182"/>
  <c r="M182"/>
  <c r="J182"/>
  <c r="O182" s="1"/>
  <c r="N181"/>
  <c r="M181"/>
  <c r="J181"/>
  <c r="O181" s="1"/>
  <c r="N180"/>
  <c r="M180"/>
  <c r="J180"/>
  <c r="O180" s="1"/>
  <c r="N179"/>
  <c r="M179"/>
  <c r="J179"/>
  <c r="O179" s="1"/>
  <c r="N178"/>
  <c r="M178"/>
  <c r="J178"/>
  <c r="O178" s="1"/>
  <c r="N177"/>
  <c r="M177"/>
  <c r="J177"/>
  <c r="O177" s="1"/>
  <c r="N176"/>
  <c r="M176"/>
  <c r="J176"/>
  <c r="O176" s="1"/>
  <c r="N175"/>
  <c r="M175"/>
  <c r="J175"/>
  <c r="O175" s="1"/>
  <c r="N174"/>
  <c r="M174"/>
  <c r="J174"/>
  <c r="O174" s="1"/>
  <c r="N173"/>
  <c r="M173"/>
  <c r="J173"/>
  <c r="O173" s="1"/>
  <c r="N172"/>
  <c r="M172"/>
  <c r="J172"/>
  <c r="O172" s="1"/>
  <c r="N171"/>
  <c r="M171"/>
  <c r="J171"/>
  <c r="O171" s="1"/>
  <c r="N170"/>
  <c r="M170"/>
  <c r="J170"/>
  <c r="O170" s="1"/>
  <c r="N169"/>
  <c r="M169"/>
  <c r="J169"/>
  <c r="O169" s="1"/>
  <c r="N168"/>
  <c r="M168"/>
  <c r="J168"/>
  <c r="O168" s="1"/>
  <c r="N167"/>
  <c r="M167"/>
  <c r="J167"/>
  <c r="O167" s="1"/>
  <c r="N166"/>
  <c r="M166"/>
  <c r="J166"/>
  <c r="O166" s="1"/>
  <c r="N165"/>
  <c r="M165"/>
  <c r="J165"/>
  <c r="O165" s="1"/>
  <c r="N164"/>
  <c r="M164"/>
  <c r="J164"/>
  <c r="O164" s="1"/>
  <c r="N163"/>
  <c r="M163"/>
  <c r="J163"/>
  <c r="O163" s="1"/>
  <c r="N162"/>
  <c r="M162"/>
  <c r="J162"/>
  <c r="O162" s="1"/>
  <c r="N161"/>
  <c r="M161"/>
  <c r="J161"/>
  <c r="O161" s="1"/>
  <c r="N160"/>
  <c r="M160"/>
  <c r="J160"/>
  <c r="O160" s="1"/>
  <c r="N159"/>
  <c r="M159"/>
  <c r="J159"/>
  <c r="O159" s="1"/>
  <c r="N158"/>
  <c r="M158"/>
  <c r="J158"/>
  <c r="O158" s="1"/>
  <c r="N157"/>
  <c r="M157"/>
  <c r="J157"/>
  <c r="O157" s="1"/>
  <c r="N156"/>
  <c r="M156"/>
  <c r="J156"/>
  <c r="O156" s="1"/>
  <c r="N155"/>
  <c r="M155"/>
  <c r="J155"/>
  <c r="O155" s="1"/>
  <c r="N154"/>
  <c r="M154"/>
  <c r="J154"/>
  <c r="O154" s="1"/>
  <c r="N153"/>
  <c r="M153"/>
  <c r="J153"/>
  <c r="O153" s="1"/>
  <c r="N152"/>
  <c r="M152"/>
  <c r="J152"/>
  <c r="O152" s="1"/>
  <c r="N151"/>
  <c r="M151"/>
  <c r="J151"/>
  <c r="O151" s="1"/>
  <c r="N150"/>
  <c r="M150"/>
  <c r="J150"/>
  <c r="O150" s="1"/>
  <c r="N149"/>
  <c r="M149"/>
  <c r="J149"/>
  <c r="O149" s="1"/>
  <c r="N148"/>
  <c r="M148"/>
  <c r="J148"/>
  <c r="O148" s="1"/>
  <c r="N147"/>
  <c r="M147"/>
  <c r="J147"/>
  <c r="O147" s="1"/>
  <c r="N146"/>
  <c r="M146"/>
  <c r="J146"/>
  <c r="O146" s="1"/>
  <c r="N145"/>
  <c r="M145"/>
  <c r="J145"/>
  <c r="O145" s="1"/>
  <c r="N144"/>
  <c r="M144"/>
  <c r="J144"/>
  <c r="O144" s="1"/>
  <c r="N143"/>
  <c r="M143"/>
  <c r="J143"/>
  <c r="O143" s="1"/>
  <c r="N142"/>
  <c r="M142"/>
  <c r="J142"/>
  <c r="O142" s="1"/>
  <c r="N141"/>
  <c r="M141"/>
  <c r="J141"/>
  <c r="O141" s="1"/>
  <c r="N140"/>
  <c r="M140"/>
  <c r="J140"/>
  <c r="O140" s="1"/>
  <c r="N139"/>
  <c r="M139"/>
  <c r="J139"/>
  <c r="O139" s="1"/>
  <c r="N138"/>
  <c r="M138"/>
  <c r="J138"/>
  <c r="O138" s="1"/>
  <c r="N137"/>
  <c r="M137"/>
  <c r="J137"/>
  <c r="O137" s="1"/>
  <c r="N136"/>
  <c r="M136"/>
  <c r="J136"/>
  <c r="O136" s="1"/>
  <c r="N135"/>
  <c r="M135"/>
  <c r="J135"/>
  <c r="O135" s="1"/>
  <c r="N134"/>
  <c r="M134"/>
  <c r="J134"/>
  <c r="O134" s="1"/>
  <c r="N133"/>
  <c r="M133"/>
  <c r="J133"/>
  <c r="O133" s="1"/>
  <c r="N132"/>
  <c r="M132"/>
  <c r="J132"/>
  <c r="O132" s="1"/>
  <c r="N131"/>
  <c r="M131"/>
  <c r="J131"/>
  <c r="O131" s="1"/>
  <c r="N130"/>
  <c r="M130"/>
  <c r="J130"/>
  <c r="O130" s="1"/>
  <c r="N129"/>
  <c r="M129"/>
  <c r="J129"/>
  <c r="O129" s="1"/>
  <c r="N128"/>
  <c r="M128"/>
  <c r="J128"/>
  <c r="O128" s="1"/>
  <c r="N127"/>
  <c r="M127"/>
  <c r="J127"/>
  <c r="O127" s="1"/>
  <c r="N126"/>
  <c r="M126"/>
  <c r="J126"/>
  <c r="O126" s="1"/>
  <c r="N125"/>
  <c r="M125"/>
  <c r="J125"/>
  <c r="O125" s="1"/>
  <c r="N124"/>
  <c r="M124"/>
  <c r="J124"/>
  <c r="O124" s="1"/>
  <c r="N123"/>
  <c r="M123"/>
  <c r="J123"/>
  <c r="O123" s="1"/>
  <c r="N122"/>
  <c r="M122"/>
  <c r="J122"/>
  <c r="O122" s="1"/>
  <c r="N121"/>
  <c r="M121"/>
  <c r="J121"/>
  <c r="O121" s="1"/>
  <c r="N120"/>
  <c r="M120"/>
  <c r="J120"/>
  <c r="O120" s="1"/>
  <c r="N119"/>
  <c r="M119"/>
  <c r="J119"/>
  <c r="O119" s="1"/>
  <c r="N118"/>
  <c r="M118"/>
  <c r="J118"/>
  <c r="O118" s="1"/>
  <c r="N117"/>
  <c r="M117"/>
  <c r="J117"/>
  <c r="O117" s="1"/>
  <c r="N116"/>
  <c r="M116"/>
  <c r="J116"/>
  <c r="O116" s="1"/>
  <c r="N115"/>
  <c r="M115"/>
  <c r="J115"/>
  <c r="O115" s="1"/>
  <c r="N114"/>
  <c r="M114"/>
  <c r="J114"/>
  <c r="O114" s="1"/>
  <c r="N113"/>
  <c r="M113"/>
  <c r="J113"/>
  <c r="O113" s="1"/>
  <c r="N112"/>
  <c r="M112"/>
  <c r="J112"/>
  <c r="O112" s="1"/>
  <c r="N111"/>
  <c r="M111"/>
  <c r="J111"/>
  <c r="O111" s="1"/>
  <c r="N110"/>
  <c r="M110"/>
  <c r="J110"/>
  <c r="O110" s="1"/>
  <c r="N109"/>
  <c r="M109"/>
  <c r="J109"/>
  <c r="O109" s="1"/>
  <c r="N108"/>
  <c r="M108"/>
  <c r="J108"/>
  <c r="O108" s="1"/>
  <c r="N107"/>
  <c r="M107"/>
  <c r="J107"/>
  <c r="O107" s="1"/>
  <c r="N106"/>
  <c r="M106"/>
  <c r="J106"/>
  <c r="O106" s="1"/>
  <c r="N105"/>
  <c r="M105"/>
  <c r="J105"/>
  <c r="O105" s="1"/>
  <c r="N104"/>
  <c r="M104"/>
  <c r="J104"/>
  <c r="O104" s="1"/>
  <c r="N103"/>
  <c r="M103"/>
  <c r="J103"/>
  <c r="O103" s="1"/>
  <c r="N102"/>
  <c r="M102"/>
  <c r="J102"/>
  <c r="O102" s="1"/>
  <c r="N101"/>
  <c r="M101"/>
  <c r="J101"/>
  <c r="O101" s="1"/>
  <c r="N100"/>
  <c r="M100"/>
  <c r="J100"/>
  <c r="O100" s="1"/>
  <c r="N99"/>
  <c r="M99"/>
  <c r="J99"/>
  <c r="O99" s="1"/>
  <c r="N98"/>
  <c r="M98"/>
  <c r="J98"/>
  <c r="O98" s="1"/>
  <c r="N97"/>
  <c r="M97"/>
  <c r="J97"/>
  <c r="O97" s="1"/>
  <c r="N96"/>
  <c r="M96"/>
  <c r="J96"/>
  <c r="O96" s="1"/>
  <c r="N95"/>
  <c r="M95"/>
  <c r="J95"/>
  <c r="O95" s="1"/>
  <c r="N94"/>
  <c r="M94"/>
  <c r="J94"/>
  <c r="O94" s="1"/>
  <c r="N93"/>
  <c r="M93"/>
  <c r="J93"/>
  <c r="O93" s="1"/>
  <c r="N92"/>
  <c r="M92"/>
  <c r="J92"/>
  <c r="O92" s="1"/>
  <c r="N91"/>
  <c r="M91"/>
  <c r="J91"/>
  <c r="O91" s="1"/>
  <c r="N90"/>
  <c r="M90"/>
  <c r="J90"/>
  <c r="O90" s="1"/>
  <c r="N89"/>
  <c r="M89"/>
  <c r="J89"/>
  <c r="O89" s="1"/>
  <c r="N88"/>
  <c r="M88"/>
  <c r="J88"/>
  <c r="O88" s="1"/>
  <c r="N87"/>
  <c r="M87"/>
  <c r="J87"/>
  <c r="O87" s="1"/>
  <c r="N86"/>
  <c r="M86"/>
  <c r="J86"/>
  <c r="O86" s="1"/>
  <c r="N85"/>
  <c r="M85"/>
  <c r="J85"/>
  <c r="O85" s="1"/>
  <c r="N84"/>
  <c r="M84"/>
  <c r="J84"/>
  <c r="O84" s="1"/>
  <c r="N83"/>
  <c r="M83"/>
  <c r="J83"/>
  <c r="O83" s="1"/>
  <c r="N82"/>
  <c r="M82"/>
  <c r="J82"/>
  <c r="O82" s="1"/>
  <c r="N81"/>
  <c r="M81"/>
  <c r="J81"/>
  <c r="O81" s="1"/>
  <c r="N80"/>
  <c r="M80"/>
  <c r="J80"/>
  <c r="O80" s="1"/>
  <c r="N79"/>
  <c r="M79"/>
  <c r="J79"/>
  <c r="O79" s="1"/>
  <c r="N78"/>
  <c r="M78"/>
  <c r="J78"/>
  <c r="O78" s="1"/>
  <c r="N77"/>
  <c r="M77"/>
  <c r="J77"/>
  <c r="O77" s="1"/>
  <c r="N76"/>
  <c r="M76"/>
  <c r="J76"/>
  <c r="O76" s="1"/>
  <c r="N75"/>
  <c r="M75"/>
  <c r="J75"/>
  <c r="O75" s="1"/>
  <c r="N74"/>
  <c r="M74"/>
  <c r="J74"/>
  <c r="O74" s="1"/>
  <c r="N73"/>
  <c r="M73"/>
  <c r="J73"/>
  <c r="O73" s="1"/>
  <c r="N72"/>
  <c r="M72"/>
  <c r="J72"/>
  <c r="O72" s="1"/>
  <c r="N71"/>
  <c r="M71"/>
  <c r="J71"/>
  <c r="O71" s="1"/>
  <c r="N70"/>
  <c r="M70"/>
  <c r="J70"/>
  <c r="O70" s="1"/>
  <c r="N69"/>
  <c r="M69"/>
  <c r="J69"/>
  <c r="O69" s="1"/>
  <c r="N68"/>
  <c r="M68"/>
  <c r="J68"/>
  <c r="O68" s="1"/>
  <c r="N67"/>
  <c r="M67"/>
  <c r="J67"/>
  <c r="O67" s="1"/>
  <c r="N66"/>
  <c r="M66"/>
  <c r="J66"/>
  <c r="O66" s="1"/>
  <c r="N65"/>
  <c r="M65"/>
  <c r="J65"/>
  <c r="O65" s="1"/>
  <c r="N64"/>
  <c r="M64"/>
  <c r="J64"/>
  <c r="O64" s="1"/>
  <c r="N63"/>
  <c r="M63"/>
  <c r="J63"/>
  <c r="O63" s="1"/>
  <c r="N62"/>
  <c r="M62"/>
  <c r="J62"/>
  <c r="O62" s="1"/>
  <c r="N61"/>
  <c r="M61"/>
  <c r="J61"/>
  <c r="O61" s="1"/>
  <c r="N60"/>
  <c r="M60"/>
  <c r="J60"/>
  <c r="O60" s="1"/>
  <c r="N59"/>
  <c r="M59"/>
  <c r="J59"/>
  <c r="O59" s="1"/>
  <c r="N58"/>
  <c r="M58"/>
  <c r="J58"/>
  <c r="O58" s="1"/>
  <c r="N57"/>
  <c r="M57"/>
  <c r="J57"/>
  <c r="O57" s="1"/>
  <c r="N56"/>
  <c r="M56"/>
  <c r="J56"/>
  <c r="O56" s="1"/>
  <c r="N55"/>
  <c r="M55"/>
  <c r="J55"/>
  <c r="O55" s="1"/>
  <c r="N54"/>
  <c r="M54"/>
  <c r="J54"/>
  <c r="O54" s="1"/>
  <c r="N53"/>
  <c r="M53"/>
  <c r="J53"/>
  <c r="O53" s="1"/>
  <c r="N52"/>
  <c r="M52"/>
  <c r="J52"/>
  <c r="O52" s="1"/>
  <c r="N51"/>
  <c r="M51"/>
  <c r="J51"/>
  <c r="O51" s="1"/>
  <c r="N50"/>
  <c r="M50"/>
  <c r="J50"/>
  <c r="O50" s="1"/>
  <c r="N49"/>
  <c r="M49"/>
  <c r="J49"/>
  <c r="O49" s="1"/>
  <c r="N48"/>
  <c r="M48"/>
  <c r="J48"/>
  <c r="O48" s="1"/>
  <c r="N47"/>
  <c r="M47"/>
  <c r="J47"/>
  <c r="O47" s="1"/>
  <c r="N46"/>
  <c r="M46"/>
  <c r="J46"/>
  <c r="O46" s="1"/>
  <c r="N45"/>
  <c r="M45"/>
  <c r="J45"/>
  <c r="O45" s="1"/>
  <c r="N44"/>
  <c r="M44"/>
  <c r="J44"/>
  <c r="O44" s="1"/>
  <c r="N43"/>
  <c r="M43"/>
  <c r="J43"/>
  <c r="O43" s="1"/>
  <c r="N42"/>
  <c r="M42"/>
  <c r="J42"/>
  <c r="O42" s="1"/>
  <c r="N41"/>
  <c r="M41"/>
  <c r="J41"/>
  <c r="O41" s="1"/>
  <c r="N40"/>
  <c r="M40"/>
  <c r="J40"/>
  <c r="O40" s="1"/>
  <c r="N39"/>
  <c r="M39"/>
  <c r="J39"/>
  <c r="O39" s="1"/>
  <c r="N38"/>
  <c r="M38"/>
  <c r="J38"/>
  <c r="O38" s="1"/>
  <c r="N37"/>
  <c r="M37"/>
  <c r="J37"/>
  <c r="O37" s="1"/>
  <c r="N36"/>
  <c r="M36"/>
  <c r="J36"/>
  <c r="O36" s="1"/>
  <c r="N35"/>
  <c r="M35"/>
  <c r="J35"/>
  <c r="O35" s="1"/>
  <c r="N34"/>
  <c r="M34"/>
  <c r="J34"/>
  <c r="O34" s="1"/>
  <c r="N33"/>
  <c r="M33"/>
  <c r="J33"/>
  <c r="O33" s="1"/>
  <c r="N32"/>
  <c r="M32"/>
  <c r="J32"/>
  <c r="O32" s="1"/>
  <c r="N31"/>
  <c r="M31"/>
  <c r="J31"/>
  <c r="O31" s="1"/>
  <c r="N30"/>
  <c r="M30"/>
  <c r="J30"/>
  <c r="O30" s="1"/>
  <c r="N29"/>
  <c r="M29"/>
  <c r="J29"/>
  <c r="O29" s="1"/>
  <c r="N28"/>
  <c r="M28"/>
  <c r="J28"/>
  <c r="O28" s="1"/>
  <c r="N27"/>
  <c r="M27"/>
  <c r="J27"/>
  <c r="O27" s="1"/>
  <c r="N26"/>
  <c r="M26"/>
  <c r="J26"/>
  <c r="O26" s="1"/>
  <c r="N25"/>
  <c r="M25"/>
  <c r="J25"/>
  <c r="O25" s="1"/>
  <c r="N24"/>
  <c r="M24"/>
  <c r="J24"/>
  <c r="O24" s="1"/>
  <c r="N23"/>
  <c r="M23"/>
  <c r="J23"/>
  <c r="O23" s="1"/>
  <c r="N22"/>
  <c r="M22"/>
  <c r="J22"/>
  <c r="O22" s="1"/>
  <c r="N21"/>
  <c r="M21"/>
  <c r="J21"/>
  <c r="O21" s="1"/>
  <c r="N20"/>
  <c r="M20"/>
  <c r="J20"/>
  <c r="O20" s="1"/>
  <c r="N19"/>
  <c r="M19"/>
  <c r="J19"/>
  <c r="O19" s="1"/>
  <c r="N18"/>
  <c r="M18"/>
  <c r="J18"/>
  <c r="O18" s="1"/>
  <c r="N17"/>
  <c r="M17"/>
  <c r="J17"/>
  <c r="O17" s="1"/>
  <c r="N16"/>
  <c r="M16"/>
  <c r="J16"/>
  <c r="O16" s="1"/>
  <c r="N15"/>
  <c r="M15"/>
  <c r="J15"/>
  <c r="O15" s="1"/>
  <c r="N14"/>
  <c r="M14"/>
  <c r="J14"/>
  <c r="O14" s="1"/>
  <c r="N13"/>
  <c r="M13"/>
  <c r="J13"/>
  <c r="O13" s="1"/>
  <c r="N12"/>
  <c r="M12"/>
  <c r="J12"/>
  <c r="O12" s="1"/>
  <c r="N11"/>
  <c r="M11"/>
  <c r="J11"/>
  <c r="O11" s="1"/>
  <c r="N10"/>
  <c r="M10"/>
  <c r="J10"/>
  <c r="O10" s="1"/>
  <c r="N9"/>
  <c r="M9"/>
  <c r="J9"/>
  <c r="O9" s="1"/>
  <c r="N8"/>
  <c r="M8"/>
  <c r="J8"/>
  <c r="O8" s="1"/>
  <c r="N7"/>
  <c r="M7"/>
  <c r="J7"/>
  <c r="O7" s="1"/>
  <c r="N6"/>
  <c r="M6"/>
  <c r="J6"/>
  <c r="O6" s="1"/>
  <c r="O5"/>
  <c r="N5"/>
  <c r="M5"/>
  <c r="N4"/>
  <c r="M4"/>
  <c r="J4"/>
  <c r="O4" s="1"/>
  <c r="N3"/>
  <c r="M3"/>
  <c r="J3"/>
  <c r="O3" s="1"/>
  <c r="N2"/>
  <c r="M2"/>
  <c r="J2"/>
  <c r="O2" s="1"/>
  <c r="G197" i="11"/>
  <c r="G196"/>
  <c r="E196"/>
  <c r="F196" s="1"/>
  <c r="G195"/>
  <c r="F195"/>
  <c r="E195"/>
  <c r="G194"/>
  <c r="E194"/>
  <c r="F194" s="1"/>
  <c r="G193"/>
  <c r="F193"/>
  <c r="E193"/>
  <c r="G192"/>
  <c r="E192"/>
  <c r="F192" s="1"/>
  <c r="G191"/>
  <c r="F191"/>
  <c r="E191"/>
  <c r="G190"/>
  <c r="E190"/>
  <c r="F190" s="1"/>
  <c r="G189"/>
  <c r="F189"/>
  <c r="E189"/>
  <c r="G188"/>
  <c r="E188"/>
  <c r="F188" s="1"/>
  <c r="G187"/>
  <c r="F187"/>
  <c r="E187"/>
  <c r="G186"/>
  <c r="E186"/>
  <c r="F186" s="1"/>
  <c r="G185"/>
  <c r="F185"/>
  <c r="E185"/>
  <c r="G184"/>
  <c r="E184"/>
  <c r="F184" s="1"/>
  <c r="G183"/>
  <c r="F183"/>
  <c r="E183"/>
  <c r="G182"/>
  <c r="E182"/>
  <c r="F182" s="1"/>
  <c r="G181"/>
  <c r="F181"/>
  <c r="E181"/>
  <c r="G180"/>
  <c r="E180"/>
  <c r="F180" s="1"/>
  <c r="G179"/>
  <c r="F179"/>
  <c r="E179"/>
  <c r="G178"/>
  <c r="E178"/>
  <c r="F178" s="1"/>
  <c r="G177"/>
  <c r="F177"/>
  <c r="E177"/>
  <c r="G176"/>
  <c r="E176"/>
  <c r="F176" s="1"/>
  <c r="G175"/>
  <c r="F175"/>
  <c r="E175"/>
  <c r="G174"/>
  <c r="E174"/>
  <c r="F174" s="1"/>
  <c r="G173"/>
  <c r="F173"/>
  <c r="E173"/>
  <c r="G172"/>
  <c r="E172"/>
  <c r="F172" s="1"/>
  <c r="G171"/>
  <c r="F171"/>
  <c r="E171"/>
  <c r="G170"/>
  <c r="E170"/>
  <c r="F170" s="1"/>
  <c r="G169"/>
  <c r="F169"/>
  <c r="E169"/>
  <c r="G168"/>
  <c r="E168"/>
  <c r="F168" s="1"/>
  <c r="G167"/>
  <c r="F167"/>
  <c r="E167"/>
  <c r="G166"/>
  <c r="E166"/>
  <c r="F166" s="1"/>
  <c r="G165"/>
  <c r="F165"/>
  <c r="E165"/>
  <c r="G164"/>
  <c r="E164"/>
  <c r="F164" s="1"/>
  <c r="G163"/>
  <c r="F163"/>
  <c r="E163"/>
  <c r="G162"/>
  <c r="E162"/>
  <c r="F162" s="1"/>
  <c r="G161"/>
  <c r="F161"/>
  <c r="E161"/>
  <c r="G160"/>
  <c r="E160"/>
  <c r="F160" s="1"/>
  <c r="G159"/>
  <c r="F159"/>
  <c r="E159"/>
  <c r="G158"/>
  <c r="E158"/>
  <c r="F158" s="1"/>
  <c r="G157"/>
  <c r="F157"/>
  <c r="E157"/>
  <c r="G156"/>
  <c r="E156"/>
  <c r="F156" s="1"/>
  <c r="G155"/>
  <c r="F155"/>
  <c r="E155"/>
  <c r="G154"/>
  <c r="E154"/>
  <c r="F154" s="1"/>
  <c r="G153"/>
  <c r="F153"/>
  <c r="E153"/>
  <c r="G152"/>
  <c r="E152"/>
  <c r="F152" s="1"/>
  <c r="G151"/>
  <c r="F151"/>
  <c r="E151"/>
  <c r="G150"/>
  <c r="E150"/>
  <c r="F150" s="1"/>
  <c r="G149"/>
  <c r="F149"/>
  <c r="E149"/>
  <c r="G148"/>
  <c r="E148"/>
  <c r="F148" s="1"/>
  <c r="G147"/>
  <c r="E147"/>
  <c r="F147" s="1"/>
  <c r="G146"/>
  <c r="F146"/>
  <c r="E146"/>
  <c r="G145"/>
  <c r="E145"/>
  <c r="F145" s="1"/>
  <c r="G144"/>
  <c r="F144"/>
  <c r="E144"/>
  <c r="G143"/>
  <c r="E143"/>
  <c r="F143" s="1"/>
  <c r="G142"/>
  <c r="F142"/>
  <c r="E142"/>
  <c r="G141"/>
  <c r="E141"/>
  <c r="F141" s="1"/>
  <c r="G140"/>
  <c r="F140"/>
  <c r="E140"/>
  <c r="G139"/>
  <c r="E139"/>
  <c r="F139" s="1"/>
  <c r="G138"/>
  <c r="F138"/>
  <c r="E138"/>
  <c r="G137"/>
  <c r="E137"/>
  <c r="F137" s="1"/>
  <c r="G136"/>
  <c r="F136"/>
  <c r="E136"/>
  <c r="G135"/>
  <c r="E135"/>
  <c r="F135" s="1"/>
  <c r="G134"/>
  <c r="F134"/>
  <c r="E134"/>
  <c r="G133"/>
  <c r="E133"/>
  <c r="F133" s="1"/>
  <c r="G132"/>
  <c r="F132"/>
  <c r="E132"/>
  <c r="G131"/>
  <c r="E131"/>
  <c r="F131" s="1"/>
  <c r="G130"/>
  <c r="F130"/>
  <c r="E130"/>
  <c r="G129"/>
  <c r="E129"/>
  <c r="F129" s="1"/>
  <c r="G128"/>
  <c r="F128"/>
  <c r="E128"/>
  <c r="G127"/>
  <c r="E127"/>
  <c r="F127" s="1"/>
  <c r="G126"/>
  <c r="F126"/>
  <c r="E126"/>
  <c r="G125"/>
  <c r="E125"/>
  <c r="F125" s="1"/>
  <c r="G124"/>
  <c r="F124"/>
  <c r="E124"/>
  <c r="G123"/>
  <c r="E123"/>
  <c r="F123" s="1"/>
  <c r="G122"/>
  <c r="F122"/>
  <c r="E122"/>
  <c r="G121"/>
  <c r="E121"/>
  <c r="F121" s="1"/>
  <c r="G120"/>
  <c r="F120"/>
  <c r="E120"/>
  <c r="G119"/>
  <c r="E119"/>
  <c r="F119" s="1"/>
  <c r="G118"/>
  <c r="F118"/>
  <c r="E118"/>
  <c r="G117"/>
  <c r="E117"/>
  <c r="F117" s="1"/>
  <c r="G116"/>
  <c r="F116"/>
  <c r="E116"/>
  <c r="G115"/>
  <c r="E115"/>
  <c r="F115" s="1"/>
  <c r="G114"/>
  <c r="F114"/>
  <c r="E114"/>
  <c r="G113"/>
  <c r="E113"/>
  <c r="F113" s="1"/>
  <c r="G112"/>
  <c r="F112"/>
  <c r="E112"/>
  <c r="G111"/>
  <c r="E111"/>
  <c r="F111" s="1"/>
  <c r="G110"/>
  <c r="F110"/>
  <c r="E110"/>
  <c r="G109"/>
  <c r="E109"/>
  <c r="F109" s="1"/>
  <c r="G108"/>
  <c r="F108"/>
  <c r="E108"/>
  <c r="G107"/>
  <c r="E107"/>
  <c r="F107" s="1"/>
  <c r="G106"/>
  <c r="F106"/>
  <c r="E106"/>
  <c r="G105"/>
  <c r="E105"/>
  <c r="F105" s="1"/>
  <c r="G104"/>
  <c r="F104"/>
  <c r="E104"/>
  <c r="G103"/>
  <c r="E103"/>
  <c r="F103" s="1"/>
  <c r="G102"/>
  <c r="F102"/>
  <c r="E102"/>
  <c r="G101"/>
  <c r="E101"/>
  <c r="F101" s="1"/>
  <c r="G100"/>
  <c r="F100"/>
  <c r="E100"/>
  <c r="G99"/>
  <c r="E99"/>
  <c r="F99" s="1"/>
  <c r="G98"/>
  <c r="F98"/>
  <c r="E98"/>
  <c r="G97"/>
  <c r="E97"/>
  <c r="F97" s="1"/>
  <c r="G96"/>
  <c r="F96"/>
  <c r="E96"/>
  <c r="G95"/>
  <c r="E95"/>
  <c r="F95" s="1"/>
  <c r="G94"/>
  <c r="F94"/>
  <c r="E94"/>
  <c r="G93"/>
  <c r="E93"/>
  <c r="F93" s="1"/>
  <c r="G92"/>
  <c r="F92"/>
  <c r="E92"/>
  <c r="G91"/>
  <c r="E91"/>
  <c r="F91" s="1"/>
  <c r="G90"/>
  <c r="F90"/>
  <c r="E90"/>
  <c r="G89"/>
  <c r="E89"/>
  <c r="F89" s="1"/>
  <c r="G88"/>
  <c r="F88"/>
  <c r="E88"/>
  <c r="G87"/>
  <c r="E87"/>
  <c r="F87" s="1"/>
  <c r="G86"/>
  <c r="F86"/>
  <c r="E86"/>
  <c r="G85"/>
  <c r="E85"/>
  <c r="F85" s="1"/>
  <c r="G84"/>
  <c r="F84"/>
  <c r="E84"/>
  <c r="G83"/>
  <c r="E83"/>
  <c r="F83" s="1"/>
  <c r="G82"/>
  <c r="F82"/>
  <c r="E82"/>
  <c r="G81"/>
  <c r="E81"/>
  <c r="F81" s="1"/>
  <c r="G80"/>
  <c r="F80"/>
  <c r="E80"/>
  <c r="G79"/>
  <c r="E79"/>
  <c r="F79" s="1"/>
  <c r="G78"/>
  <c r="F78"/>
  <c r="E78"/>
  <c r="G77"/>
  <c r="E77"/>
  <c r="F77" s="1"/>
  <c r="G76"/>
  <c r="F76"/>
  <c r="E76"/>
  <c r="G75"/>
  <c r="E75"/>
  <c r="F75" s="1"/>
  <c r="G74"/>
  <c r="F74"/>
  <c r="E74"/>
  <c r="G73"/>
  <c r="E73"/>
  <c r="F73" s="1"/>
  <c r="G72"/>
  <c r="F72"/>
  <c r="E72"/>
  <c r="G71"/>
  <c r="E71"/>
  <c r="F71" s="1"/>
  <c r="G70"/>
  <c r="F70"/>
  <c r="E70"/>
  <c r="G69"/>
  <c r="E69"/>
  <c r="F69" s="1"/>
  <c r="G68"/>
  <c r="F68"/>
  <c r="E68"/>
  <c r="G67"/>
  <c r="E67"/>
  <c r="F67" s="1"/>
  <c r="G66"/>
  <c r="F66"/>
  <c r="E66"/>
  <c r="G65"/>
  <c r="E65"/>
  <c r="F65" s="1"/>
  <c r="G64"/>
  <c r="F64"/>
  <c r="E64"/>
  <c r="G63"/>
  <c r="E63"/>
  <c r="F63" s="1"/>
  <c r="G62"/>
  <c r="F62"/>
  <c r="E62"/>
  <c r="G61"/>
  <c r="E61"/>
  <c r="F61" s="1"/>
  <c r="G60"/>
  <c r="F60"/>
  <c r="E60"/>
  <c r="G59"/>
  <c r="E59"/>
  <c r="F59" s="1"/>
  <c r="G58"/>
  <c r="F58"/>
  <c r="E58"/>
  <c r="G57"/>
  <c r="E57"/>
  <c r="F57" s="1"/>
  <c r="G56"/>
  <c r="F56"/>
  <c r="E56"/>
  <c r="G55"/>
  <c r="E55"/>
  <c r="F55" s="1"/>
  <c r="G54"/>
  <c r="F54"/>
  <c r="E54"/>
  <c r="G53"/>
  <c r="E53"/>
  <c r="F53" s="1"/>
  <c r="G52"/>
  <c r="F52"/>
  <c r="E52"/>
  <c r="G51"/>
  <c r="E51"/>
  <c r="F51" s="1"/>
  <c r="G50"/>
  <c r="F50"/>
  <c r="E50"/>
  <c r="G49"/>
  <c r="E49"/>
  <c r="F49" s="1"/>
  <c r="G48"/>
  <c r="F48"/>
  <c r="E48"/>
  <c r="G47"/>
  <c r="E47"/>
  <c r="F47" s="1"/>
  <c r="G46"/>
  <c r="F46"/>
  <c r="E46"/>
  <c r="G45"/>
  <c r="E45"/>
  <c r="F45" s="1"/>
  <c r="G44"/>
  <c r="F44"/>
  <c r="E44"/>
  <c r="G43"/>
  <c r="E43"/>
  <c r="F43" s="1"/>
  <c r="G42"/>
  <c r="F42"/>
  <c r="E42"/>
  <c r="G41"/>
  <c r="E41"/>
  <c r="F41" s="1"/>
  <c r="G40"/>
  <c r="F40"/>
  <c r="E40"/>
  <c r="G39"/>
  <c r="E39"/>
  <c r="F39" s="1"/>
  <c r="G38"/>
  <c r="F38"/>
  <c r="E38"/>
  <c r="G37"/>
  <c r="E37"/>
  <c r="F37" s="1"/>
  <c r="G36"/>
  <c r="F36"/>
  <c r="E36"/>
  <c r="G35"/>
  <c r="E35"/>
  <c r="F35" s="1"/>
  <c r="G34"/>
  <c r="F34"/>
  <c r="E34"/>
  <c r="G33"/>
  <c r="E33"/>
  <c r="F33" s="1"/>
  <c r="G32"/>
  <c r="F32"/>
  <c r="E32"/>
  <c r="G31"/>
  <c r="E31"/>
  <c r="F31" s="1"/>
  <c r="G30"/>
  <c r="F30"/>
  <c r="E30"/>
  <c r="G29"/>
  <c r="E29"/>
  <c r="F29" s="1"/>
  <c r="G28"/>
  <c r="F28"/>
  <c r="E28"/>
  <c r="G27"/>
  <c r="E27"/>
  <c r="F27" s="1"/>
  <c r="G26"/>
  <c r="F26"/>
  <c r="E26"/>
  <c r="G25"/>
  <c r="E25"/>
  <c r="F25" s="1"/>
  <c r="G24"/>
  <c r="F24"/>
  <c r="E24"/>
  <c r="G23"/>
  <c r="E23"/>
  <c r="F23" s="1"/>
  <c r="G22"/>
  <c r="F22"/>
  <c r="E22"/>
  <c r="G21"/>
  <c r="E21"/>
  <c r="F21" s="1"/>
  <c r="G20"/>
  <c r="F20"/>
  <c r="E20"/>
  <c r="G19"/>
  <c r="E19"/>
  <c r="F19" s="1"/>
  <c r="G18"/>
  <c r="F18"/>
  <c r="E18"/>
  <c r="G17"/>
  <c r="E17"/>
  <c r="F17" s="1"/>
  <c r="G16"/>
  <c r="F16"/>
  <c r="E16"/>
  <c r="G15"/>
  <c r="E15"/>
  <c r="F15" s="1"/>
  <c r="G14"/>
  <c r="F14"/>
  <c r="E14"/>
  <c r="G13"/>
  <c r="E13"/>
  <c r="F13" s="1"/>
  <c r="G12"/>
  <c r="F12"/>
  <c r="E12"/>
  <c r="G11"/>
  <c r="E11"/>
  <c r="F11" s="1"/>
  <c r="G10"/>
  <c r="F10"/>
  <c r="E10"/>
  <c r="G9"/>
  <c r="E9"/>
  <c r="F9" s="1"/>
  <c r="E8"/>
  <c r="F8" s="1"/>
  <c r="G7"/>
  <c r="F7"/>
  <c r="E7"/>
  <c r="G6"/>
  <c r="E6"/>
  <c r="F6" s="1"/>
  <c r="G5"/>
  <c r="F5"/>
  <c r="E5"/>
  <c r="G4"/>
  <c r="E4"/>
  <c r="F4" s="1"/>
  <c r="E3"/>
  <c r="F3" s="1"/>
  <c r="G2"/>
  <c r="F2"/>
  <c r="E2"/>
  <c r="G196" i="10"/>
  <c r="E196"/>
  <c r="F196" s="1"/>
  <c r="G195"/>
  <c r="E195"/>
  <c r="F195" s="1"/>
  <c r="G194"/>
  <c r="E194"/>
  <c r="F194" s="1"/>
  <c r="G193"/>
  <c r="F193"/>
  <c r="E193"/>
  <c r="G192"/>
  <c r="E192"/>
  <c r="F192" s="1"/>
  <c r="G191"/>
  <c r="E191"/>
  <c r="F191" s="1"/>
  <c r="G190"/>
  <c r="E190"/>
  <c r="F190" s="1"/>
  <c r="G189"/>
  <c r="F189"/>
  <c r="E189"/>
  <c r="G188"/>
  <c r="E188"/>
  <c r="F188" s="1"/>
  <c r="G187"/>
  <c r="E187"/>
  <c r="F187" s="1"/>
  <c r="G186"/>
  <c r="E186"/>
  <c r="F186" s="1"/>
  <c r="G185"/>
  <c r="F185"/>
  <c r="E185"/>
  <c r="G184"/>
  <c r="E184"/>
  <c r="F184" s="1"/>
  <c r="G183"/>
  <c r="E183"/>
  <c r="F183" s="1"/>
  <c r="G182"/>
  <c r="E182"/>
  <c r="F182" s="1"/>
  <c r="G181"/>
  <c r="F181"/>
  <c r="E181"/>
  <c r="G180"/>
  <c r="E180"/>
  <c r="F180" s="1"/>
  <c r="G179"/>
  <c r="E179"/>
  <c r="F179" s="1"/>
  <c r="G178"/>
  <c r="E178"/>
  <c r="F178" s="1"/>
  <c r="G177"/>
  <c r="F177"/>
  <c r="E177"/>
  <c r="G176"/>
  <c r="E176"/>
  <c r="F176" s="1"/>
  <c r="G175"/>
  <c r="E175"/>
  <c r="F175" s="1"/>
  <c r="G174"/>
  <c r="E174"/>
  <c r="F174" s="1"/>
  <c r="G173"/>
  <c r="F173"/>
  <c r="E173"/>
  <c r="G172"/>
  <c r="E172"/>
  <c r="F172" s="1"/>
  <c r="G171"/>
  <c r="E171"/>
  <c r="F171" s="1"/>
  <c r="G170"/>
  <c r="E170"/>
  <c r="F170" s="1"/>
  <c r="G169"/>
  <c r="F169"/>
  <c r="E169"/>
  <c r="G168"/>
  <c r="E168"/>
  <c r="F168" s="1"/>
  <c r="G167"/>
  <c r="E167"/>
  <c r="F167" s="1"/>
  <c r="G166"/>
  <c r="E166"/>
  <c r="F166" s="1"/>
  <c r="G165"/>
  <c r="F165"/>
  <c r="E165"/>
  <c r="G164"/>
  <c r="E164"/>
  <c r="F164" s="1"/>
  <c r="G163"/>
  <c r="E163"/>
  <c r="F163" s="1"/>
  <c r="G162"/>
  <c r="E162"/>
  <c r="F162" s="1"/>
  <c r="G161"/>
  <c r="F161"/>
  <c r="E161"/>
  <c r="G160"/>
  <c r="E160"/>
  <c r="F160" s="1"/>
  <c r="G159"/>
  <c r="E159"/>
  <c r="F159" s="1"/>
  <c r="G158"/>
  <c r="E158"/>
  <c r="F158" s="1"/>
  <c r="G157"/>
  <c r="F157"/>
  <c r="E157"/>
  <c r="G156"/>
  <c r="E156"/>
  <c r="F156" s="1"/>
  <c r="G155"/>
  <c r="E155"/>
  <c r="F155" s="1"/>
  <c r="G154"/>
  <c r="E154"/>
  <c r="F154" s="1"/>
  <c r="G153"/>
  <c r="F153"/>
  <c r="E153"/>
  <c r="G152"/>
  <c r="E152"/>
  <c r="F152" s="1"/>
  <c r="G151"/>
  <c r="E151"/>
  <c r="F151" s="1"/>
  <c r="G150"/>
  <c r="E150"/>
  <c r="F150" s="1"/>
  <c r="G149"/>
  <c r="F149"/>
  <c r="E149"/>
  <c r="G148"/>
  <c r="E148"/>
  <c r="F148" s="1"/>
  <c r="G147"/>
  <c r="E147"/>
  <c r="F147" s="1"/>
  <c r="G146"/>
  <c r="E146"/>
  <c r="F146" s="1"/>
  <c r="G145"/>
  <c r="F145"/>
  <c r="E145"/>
  <c r="G144"/>
  <c r="E144"/>
  <c r="F144" s="1"/>
  <c r="G143"/>
  <c r="E143"/>
  <c r="F143" s="1"/>
  <c r="G142"/>
  <c r="E142"/>
  <c r="F142" s="1"/>
  <c r="G141"/>
  <c r="F141"/>
  <c r="E141"/>
  <c r="G140"/>
  <c r="E140"/>
  <c r="F140" s="1"/>
  <c r="G139"/>
  <c r="E139"/>
  <c r="F139" s="1"/>
  <c r="G138"/>
  <c r="E138"/>
  <c r="F138" s="1"/>
  <c r="G137"/>
  <c r="F137"/>
  <c r="E137"/>
  <c r="G136"/>
  <c r="E136"/>
  <c r="F136" s="1"/>
  <c r="G135"/>
  <c r="E135"/>
  <c r="F135" s="1"/>
  <c r="G134"/>
  <c r="E134"/>
  <c r="F134" s="1"/>
  <c r="G133"/>
  <c r="F133"/>
  <c r="E133"/>
  <c r="G132"/>
  <c r="E132"/>
  <c r="F132" s="1"/>
  <c r="G131"/>
  <c r="E131"/>
  <c r="F131" s="1"/>
  <c r="G130"/>
  <c r="E130"/>
  <c r="F130" s="1"/>
  <c r="G129"/>
  <c r="F129"/>
  <c r="E129"/>
  <c r="G128"/>
  <c r="E128"/>
  <c r="F128" s="1"/>
  <c r="G127"/>
  <c r="E127"/>
  <c r="F127" s="1"/>
  <c r="G126"/>
  <c r="E126"/>
  <c r="F126" s="1"/>
  <c r="G125"/>
  <c r="F125"/>
  <c r="E125"/>
  <c r="G124"/>
  <c r="E124"/>
  <c r="F124" s="1"/>
  <c r="G123"/>
  <c r="E123"/>
  <c r="F123" s="1"/>
  <c r="G122"/>
  <c r="E122"/>
  <c r="F122" s="1"/>
  <c r="G121"/>
  <c r="F121"/>
  <c r="E121"/>
  <c r="G120"/>
  <c r="E120"/>
  <c r="F120" s="1"/>
  <c r="G119"/>
  <c r="E119"/>
  <c r="F119" s="1"/>
  <c r="G118"/>
  <c r="E118"/>
  <c r="F118" s="1"/>
  <c r="G117"/>
  <c r="F117"/>
  <c r="E117"/>
  <c r="G116"/>
  <c r="E116"/>
  <c r="F116" s="1"/>
  <c r="G115"/>
  <c r="E115"/>
  <c r="F115" s="1"/>
  <c r="G114"/>
  <c r="E114"/>
  <c r="F114" s="1"/>
  <c r="G113"/>
  <c r="F113"/>
  <c r="E113"/>
  <c r="G112"/>
  <c r="E112"/>
  <c r="F112" s="1"/>
  <c r="G111"/>
  <c r="E111"/>
  <c r="F111" s="1"/>
  <c r="G110"/>
  <c r="E110"/>
  <c r="F110" s="1"/>
  <c r="G109"/>
  <c r="F109"/>
  <c r="E109"/>
  <c r="G108"/>
  <c r="E108"/>
  <c r="F108" s="1"/>
  <c r="G107"/>
  <c r="E107"/>
  <c r="F107" s="1"/>
  <c r="G106"/>
  <c r="E106"/>
  <c r="F106" s="1"/>
  <c r="G105"/>
  <c r="F105"/>
  <c r="E105"/>
  <c r="G104"/>
  <c r="E104"/>
  <c r="F104" s="1"/>
  <c r="G103"/>
  <c r="E103"/>
  <c r="F103" s="1"/>
  <c r="G102"/>
  <c r="E102"/>
  <c r="F102" s="1"/>
  <c r="G101"/>
  <c r="F101"/>
  <c r="E101"/>
  <c r="G100"/>
  <c r="E100"/>
  <c r="F100" s="1"/>
  <c r="G99"/>
  <c r="E99"/>
  <c r="F99" s="1"/>
  <c r="G98"/>
  <c r="E98"/>
  <c r="F98" s="1"/>
  <c r="G97"/>
  <c r="F97"/>
  <c r="E97"/>
  <c r="G96"/>
  <c r="E96"/>
  <c r="F96" s="1"/>
  <c r="G95"/>
  <c r="E95"/>
  <c r="F95" s="1"/>
  <c r="G94"/>
  <c r="E94"/>
  <c r="F94" s="1"/>
  <c r="G93"/>
  <c r="F93"/>
  <c r="E93"/>
  <c r="G92"/>
  <c r="E92"/>
  <c r="F92" s="1"/>
  <c r="G91"/>
  <c r="E91"/>
  <c r="F91" s="1"/>
  <c r="G90"/>
  <c r="E90"/>
  <c r="F90" s="1"/>
  <c r="G89"/>
  <c r="F89"/>
  <c r="E89"/>
  <c r="G88"/>
  <c r="E88"/>
  <c r="F88" s="1"/>
  <c r="G87"/>
  <c r="E87"/>
  <c r="F87" s="1"/>
  <c r="G86"/>
  <c r="E86"/>
  <c r="F86" s="1"/>
  <c r="G85"/>
  <c r="F85"/>
  <c r="E85"/>
  <c r="G84"/>
  <c r="E84"/>
  <c r="F84" s="1"/>
  <c r="G83"/>
  <c r="E83"/>
  <c r="F83" s="1"/>
  <c r="G82"/>
  <c r="E82"/>
  <c r="F82" s="1"/>
  <c r="G81"/>
  <c r="F81"/>
  <c r="E81"/>
  <c r="G80"/>
  <c r="E80"/>
  <c r="F80" s="1"/>
  <c r="G79"/>
  <c r="E79"/>
  <c r="F79" s="1"/>
  <c r="G78"/>
  <c r="E78"/>
  <c r="F78" s="1"/>
  <c r="G77"/>
  <c r="F77"/>
  <c r="E77"/>
  <c r="G76"/>
  <c r="E76"/>
  <c r="F76" s="1"/>
  <c r="G75"/>
  <c r="E75"/>
  <c r="F75" s="1"/>
  <c r="G74"/>
  <c r="E74"/>
  <c r="F74" s="1"/>
  <c r="G73"/>
  <c r="F73"/>
  <c r="E73"/>
  <c r="G72"/>
  <c r="E72"/>
  <c r="F72" s="1"/>
  <c r="G71"/>
  <c r="E71"/>
  <c r="F71" s="1"/>
  <c r="G70"/>
  <c r="E70"/>
  <c r="F70" s="1"/>
  <c r="G69"/>
  <c r="F69"/>
  <c r="E69"/>
  <c r="G68"/>
  <c r="E68"/>
  <c r="F68" s="1"/>
  <c r="G67"/>
  <c r="E67"/>
  <c r="F67" s="1"/>
  <c r="G66"/>
  <c r="E66"/>
  <c r="F66" s="1"/>
  <c r="G65"/>
  <c r="F65"/>
  <c r="E65"/>
  <c r="G64"/>
  <c r="E64"/>
  <c r="F64" s="1"/>
  <c r="G63"/>
  <c r="E63"/>
  <c r="F63" s="1"/>
  <c r="G62"/>
  <c r="E62"/>
  <c r="F62" s="1"/>
  <c r="G61"/>
  <c r="F61"/>
  <c r="E61"/>
  <c r="G60"/>
  <c r="E60"/>
  <c r="F60" s="1"/>
  <c r="G59"/>
  <c r="E59"/>
  <c r="F59" s="1"/>
  <c r="G58"/>
  <c r="E58"/>
  <c r="F58" s="1"/>
  <c r="G57"/>
  <c r="F57"/>
  <c r="E57"/>
  <c r="G56"/>
  <c r="E56"/>
  <c r="F56" s="1"/>
  <c r="G55"/>
  <c r="E55"/>
  <c r="F55" s="1"/>
  <c r="G54"/>
  <c r="E54"/>
  <c r="F54" s="1"/>
  <c r="G53"/>
  <c r="F53"/>
  <c r="E53"/>
  <c r="G52"/>
  <c r="E52"/>
  <c r="F52" s="1"/>
  <c r="G51"/>
  <c r="E51"/>
  <c r="F51" s="1"/>
  <c r="G50"/>
  <c r="E50"/>
  <c r="F50" s="1"/>
  <c r="G49"/>
  <c r="F49"/>
  <c r="E49"/>
  <c r="G48"/>
  <c r="E48"/>
  <c r="F48" s="1"/>
  <c r="G47"/>
  <c r="E47"/>
  <c r="F47" s="1"/>
  <c r="G46"/>
  <c r="E46"/>
  <c r="F46" s="1"/>
  <c r="G45"/>
  <c r="F45"/>
  <c r="E45"/>
  <c r="G44"/>
  <c r="E44"/>
  <c r="F44" s="1"/>
  <c r="G43"/>
  <c r="E43"/>
  <c r="F43" s="1"/>
  <c r="G42"/>
  <c r="E42"/>
  <c r="F42" s="1"/>
  <c r="G41"/>
  <c r="F41"/>
  <c r="E41"/>
  <c r="G40"/>
  <c r="E40"/>
  <c r="F40" s="1"/>
  <c r="G39"/>
  <c r="E39"/>
  <c r="F39" s="1"/>
  <c r="G38"/>
  <c r="E38"/>
  <c r="F38" s="1"/>
  <c r="G37"/>
  <c r="F37"/>
  <c r="E37"/>
  <c r="G36"/>
  <c r="E36"/>
  <c r="F36" s="1"/>
  <c r="G35"/>
  <c r="E35"/>
  <c r="F35" s="1"/>
  <c r="G34"/>
  <c r="E34"/>
  <c r="F34" s="1"/>
  <c r="G33"/>
  <c r="F33"/>
  <c r="E33"/>
  <c r="G32"/>
  <c r="E32"/>
  <c r="F32" s="1"/>
  <c r="G31"/>
  <c r="E31"/>
  <c r="F31" s="1"/>
  <c r="T30"/>
  <c r="S34" s="1"/>
  <c r="S30"/>
  <c r="G30"/>
  <c r="E30"/>
  <c r="F30" s="1"/>
  <c r="G29"/>
  <c r="F29"/>
  <c r="E29"/>
  <c r="G28"/>
  <c r="E28"/>
  <c r="F28" s="1"/>
  <c r="G27"/>
  <c r="E27"/>
  <c r="F27" s="1"/>
  <c r="G26"/>
  <c r="E26"/>
  <c r="F26" s="1"/>
  <c r="G25"/>
  <c r="F25"/>
  <c r="E25"/>
  <c r="G24"/>
  <c r="E24"/>
  <c r="F24" s="1"/>
  <c r="G23"/>
  <c r="E23"/>
  <c r="F23" s="1"/>
  <c r="G22"/>
  <c r="E22"/>
  <c r="F22" s="1"/>
  <c r="G21"/>
  <c r="F21"/>
  <c r="E21"/>
  <c r="G20"/>
  <c r="E20"/>
  <c r="F20" s="1"/>
  <c r="G19"/>
  <c r="E19"/>
  <c r="F19" s="1"/>
  <c r="G18"/>
  <c r="E18"/>
  <c r="F18" s="1"/>
  <c r="G17"/>
  <c r="F17"/>
  <c r="E17"/>
  <c r="G16"/>
  <c r="E16"/>
  <c r="F16" s="1"/>
  <c r="G15"/>
  <c r="E15"/>
  <c r="F15" s="1"/>
  <c r="G14"/>
  <c r="E14"/>
  <c r="F14" s="1"/>
  <c r="G13"/>
  <c r="F13"/>
  <c r="E13"/>
  <c r="G12"/>
  <c r="E12"/>
  <c r="F12" s="1"/>
  <c r="G11"/>
  <c r="E11"/>
  <c r="F11" s="1"/>
  <c r="G10"/>
  <c r="E10"/>
  <c r="F10" s="1"/>
  <c r="G9"/>
  <c r="F9"/>
  <c r="E9"/>
  <c r="G8"/>
  <c r="E8"/>
  <c r="F8" s="1"/>
  <c r="G7"/>
  <c r="E7"/>
  <c r="F7" s="1"/>
  <c r="G6"/>
  <c r="E6"/>
  <c r="F6" s="1"/>
  <c r="G5"/>
  <c r="F5"/>
  <c r="E5"/>
  <c r="G4"/>
  <c r="E4"/>
  <c r="F4" s="1"/>
  <c r="G3"/>
  <c r="E3"/>
  <c r="F3" s="1"/>
  <c r="G2"/>
  <c r="E195" i="9"/>
  <c r="E194"/>
  <c r="E193"/>
  <c r="E192"/>
  <c r="E191"/>
  <c r="E190"/>
  <c r="E189"/>
  <c r="E188"/>
  <c r="E187"/>
  <c r="E186"/>
  <c r="E185"/>
  <c r="E184"/>
  <c r="E183"/>
  <c r="E182"/>
  <c r="E181"/>
  <c r="E180"/>
  <c r="E179"/>
  <c r="E178"/>
  <c r="E177"/>
  <c r="E176"/>
  <c r="E175"/>
  <c r="E174"/>
  <c r="E173"/>
  <c r="E172"/>
  <c r="E171"/>
  <c r="E170"/>
  <c r="E169"/>
  <c r="E168"/>
  <c r="E167"/>
  <c r="E166"/>
  <c r="E165"/>
  <c r="E164"/>
  <c r="E163"/>
  <c r="E162"/>
  <c r="E161"/>
  <c r="E160"/>
  <c r="E159"/>
  <c r="E158"/>
  <c r="E157"/>
  <c r="E156"/>
  <c r="E155"/>
  <c r="E154"/>
  <c r="E153"/>
  <c r="E152"/>
  <c r="E151"/>
  <c r="E150"/>
  <c r="E149"/>
  <c r="E148"/>
  <c r="E147"/>
  <c r="E146"/>
  <c r="E145"/>
  <c r="E144"/>
  <c r="E143"/>
  <c r="E142"/>
  <c r="E141"/>
  <c r="E140"/>
  <c r="E139"/>
  <c r="E138"/>
  <c r="E137"/>
  <c r="E136"/>
  <c r="E135"/>
  <c r="E134"/>
  <c r="E133"/>
  <c r="E132"/>
  <c r="E131"/>
  <c r="E130"/>
  <c r="E129"/>
  <c r="E128"/>
  <c r="E127"/>
  <c r="E126"/>
  <c r="E125"/>
  <c r="E124"/>
  <c r="E123"/>
  <c r="E122"/>
  <c r="E121"/>
  <c r="E120"/>
  <c r="E119"/>
  <c r="E118"/>
  <c r="E117"/>
  <c r="E116"/>
  <c r="E115"/>
  <c r="E114"/>
  <c r="E113"/>
  <c r="E112"/>
  <c r="E111"/>
  <c r="E110"/>
  <c r="E109"/>
  <c r="E108"/>
  <c r="E107"/>
  <c r="E106"/>
  <c r="E105"/>
  <c r="E104"/>
  <c r="E103"/>
  <c r="E102"/>
  <c r="E101"/>
  <c r="E100"/>
  <c r="E99"/>
  <c r="E98"/>
  <c r="E97"/>
  <c r="E96"/>
  <c r="E95"/>
  <c r="E94"/>
  <c r="E93"/>
  <c r="E92"/>
  <c r="E91"/>
  <c r="E90"/>
  <c r="E89"/>
  <c r="E88"/>
  <c r="E87"/>
  <c r="E86"/>
  <c r="E85"/>
  <c r="E84"/>
  <c r="E83"/>
  <c r="E82"/>
  <c r="E81"/>
  <c r="E80"/>
  <c r="E79"/>
  <c r="E78"/>
  <c r="E77"/>
  <c r="E76"/>
  <c r="E75"/>
  <c r="E74"/>
  <c r="E73"/>
  <c r="E72"/>
  <c r="E71"/>
  <c r="E70"/>
  <c r="E69"/>
  <c r="E68"/>
  <c r="E67"/>
  <c r="E66"/>
  <c r="E65"/>
  <c r="E64"/>
  <c r="E63"/>
  <c r="E62"/>
  <c r="E61"/>
  <c r="E60"/>
  <c r="E59"/>
  <c r="E58"/>
  <c r="E57"/>
  <c r="E56"/>
  <c r="E55"/>
  <c r="E54"/>
  <c r="E53"/>
  <c r="E52"/>
  <c r="E51"/>
  <c r="E50"/>
  <c r="E49"/>
  <c r="E48"/>
  <c r="E47"/>
  <c r="E46"/>
  <c r="E45"/>
  <c r="E44"/>
  <c r="E43"/>
  <c r="E42"/>
  <c r="E41"/>
  <c r="E40"/>
  <c r="E39"/>
  <c r="E38"/>
  <c r="E37"/>
  <c r="E36"/>
  <c r="E35"/>
  <c r="E34"/>
  <c r="E33"/>
  <c r="E32"/>
  <c r="E31"/>
  <c r="E30"/>
  <c r="E29"/>
  <c r="E28"/>
  <c r="E27"/>
  <c r="E26"/>
  <c r="E25"/>
  <c r="E24"/>
  <c r="E23"/>
  <c r="E22"/>
  <c r="E21"/>
  <c r="E20"/>
  <c r="E19"/>
  <c r="E18"/>
  <c r="E17"/>
  <c r="E16"/>
  <c r="E15"/>
  <c r="E14"/>
  <c r="E13"/>
  <c r="E12"/>
  <c r="E11"/>
  <c r="E10"/>
  <c r="E9"/>
  <c r="E8"/>
  <c r="E7"/>
  <c r="E6"/>
  <c r="E5"/>
  <c r="E4"/>
  <c r="E3"/>
  <c r="I2"/>
  <c r="H2"/>
  <c r="G3" s="1"/>
  <c r="G2"/>
  <c r="E2"/>
  <c r="J2" s="1"/>
  <c r="E176" i="8"/>
  <c r="E175"/>
  <c r="E174"/>
  <c r="E173"/>
  <c r="E172"/>
  <c r="E171"/>
  <c r="E170"/>
  <c r="E169"/>
  <c r="E168"/>
  <c r="E167"/>
  <c r="E166"/>
  <c r="E165"/>
  <c r="E164"/>
  <c r="E163"/>
  <c r="E162"/>
  <c r="E161"/>
  <c r="E160"/>
  <c r="E159"/>
  <c r="E158"/>
  <c r="E157"/>
  <c r="E156"/>
  <c r="E155"/>
  <c r="E154"/>
  <c r="E153"/>
  <c r="E152"/>
  <c r="E151"/>
  <c r="E150"/>
  <c r="E149"/>
  <c r="E148"/>
  <c r="E147"/>
  <c r="E146"/>
  <c r="E145"/>
  <c r="E144"/>
  <c r="E143"/>
  <c r="E142"/>
  <c r="E141"/>
  <c r="E140"/>
  <c r="E139"/>
  <c r="E138"/>
  <c r="E137"/>
  <c r="E136"/>
  <c r="E135"/>
  <c r="E134"/>
  <c r="E133"/>
  <c r="E132"/>
  <c r="E131"/>
  <c r="E130"/>
  <c r="E129"/>
  <c r="E128"/>
  <c r="E127"/>
  <c r="E126"/>
  <c r="E125"/>
  <c r="E124"/>
  <c r="E123"/>
  <c r="E122"/>
  <c r="E121"/>
  <c r="E120"/>
  <c r="E119"/>
  <c r="E118"/>
  <c r="E117"/>
  <c r="E116"/>
  <c r="E115"/>
  <c r="E114"/>
  <c r="E113"/>
  <c r="E112"/>
  <c r="E111"/>
  <c r="E110"/>
  <c r="E109"/>
  <c r="E108"/>
  <c r="E107"/>
  <c r="E106"/>
  <c r="E105"/>
  <c r="E104"/>
  <c r="E103"/>
  <c r="E102"/>
  <c r="E101"/>
  <c r="E100"/>
  <c r="E99"/>
  <c r="E98"/>
  <c r="E97"/>
  <c r="E96"/>
  <c r="E95"/>
  <c r="E94"/>
  <c r="E93"/>
  <c r="E92"/>
  <c r="E91"/>
  <c r="E90"/>
  <c r="E89"/>
  <c r="E88"/>
  <c r="E87"/>
  <c r="E86"/>
  <c r="E85"/>
  <c r="E84"/>
  <c r="E83"/>
  <c r="E82"/>
  <c r="E81"/>
  <c r="E80"/>
  <c r="E79"/>
  <c r="E78"/>
  <c r="E77"/>
  <c r="E76"/>
  <c r="E75"/>
  <c r="E74"/>
  <c r="E73"/>
  <c r="E72"/>
  <c r="E71"/>
  <c r="E70"/>
  <c r="E69"/>
  <c r="E68"/>
  <c r="E67"/>
  <c r="E66"/>
  <c r="E65"/>
  <c r="E64"/>
  <c r="E63"/>
  <c r="E62"/>
  <c r="E61"/>
  <c r="E60"/>
  <c r="E59"/>
  <c r="E58"/>
  <c r="E57"/>
  <c r="E56"/>
  <c r="E55"/>
  <c r="E54"/>
  <c r="E53"/>
  <c r="E52"/>
  <c r="E51"/>
  <c r="E50"/>
  <c r="E49"/>
  <c r="E48"/>
  <c r="E47"/>
  <c r="E46"/>
  <c r="E45"/>
  <c r="E44"/>
  <c r="E43"/>
  <c r="E42"/>
  <c r="E41"/>
  <c r="E40"/>
  <c r="E39"/>
  <c r="E38"/>
  <c r="E37"/>
  <c r="E36"/>
  <c r="E35"/>
  <c r="E34"/>
  <c r="E33"/>
  <c r="E32"/>
  <c r="E31"/>
  <c r="E30"/>
  <c r="E29"/>
  <c r="E28"/>
  <c r="E27"/>
  <c r="E26"/>
  <c r="E25"/>
  <c r="E24"/>
  <c r="E23"/>
  <c r="E22"/>
  <c r="E21"/>
  <c r="E20"/>
  <c r="E19"/>
  <c r="E18"/>
  <c r="E17"/>
  <c r="E16"/>
  <c r="E15"/>
  <c r="E14"/>
  <c r="E13"/>
  <c r="E12"/>
  <c r="E11"/>
  <c r="E10"/>
  <c r="E9"/>
  <c r="E8"/>
  <c r="E7"/>
  <c r="E6"/>
  <c r="E5"/>
  <c r="E4"/>
  <c r="J3"/>
  <c r="K3" s="1"/>
  <c r="I3"/>
  <c r="E3"/>
  <c r="E2"/>
  <c r="M196" i="7"/>
  <c r="G196"/>
  <c r="H196" s="1"/>
  <c r="I196" s="1"/>
  <c r="J196" s="1"/>
  <c r="E196"/>
  <c r="M195"/>
  <c r="G195"/>
  <c r="H195" s="1"/>
  <c r="I195" s="1"/>
  <c r="J195" s="1"/>
  <c r="E195"/>
  <c r="M194"/>
  <c r="G194"/>
  <c r="H194" s="1"/>
  <c r="I194" s="1"/>
  <c r="J194" s="1"/>
  <c r="E194"/>
  <c r="M193"/>
  <c r="G193"/>
  <c r="H193" s="1"/>
  <c r="I193" s="1"/>
  <c r="J193" s="1"/>
  <c r="E193"/>
  <c r="M192"/>
  <c r="G192"/>
  <c r="H192" s="1"/>
  <c r="I192" s="1"/>
  <c r="J192" s="1"/>
  <c r="E192"/>
  <c r="M191"/>
  <c r="G191"/>
  <c r="H191" s="1"/>
  <c r="I191" s="1"/>
  <c r="J191" s="1"/>
  <c r="E191"/>
  <c r="M190"/>
  <c r="G190"/>
  <c r="H190" s="1"/>
  <c r="I190" s="1"/>
  <c r="J190" s="1"/>
  <c r="E190"/>
  <c r="M189"/>
  <c r="G189"/>
  <c r="H189" s="1"/>
  <c r="I189" s="1"/>
  <c r="J189" s="1"/>
  <c r="E189"/>
  <c r="M188"/>
  <c r="G188"/>
  <c r="H188" s="1"/>
  <c r="I188" s="1"/>
  <c r="J188" s="1"/>
  <c r="E188"/>
  <c r="M187"/>
  <c r="G187"/>
  <c r="H187" s="1"/>
  <c r="I187" s="1"/>
  <c r="J187" s="1"/>
  <c r="E187"/>
  <c r="M186"/>
  <c r="G186"/>
  <c r="H186" s="1"/>
  <c r="I186" s="1"/>
  <c r="J186" s="1"/>
  <c r="E186"/>
  <c r="M185"/>
  <c r="G185"/>
  <c r="H185" s="1"/>
  <c r="I185" s="1"/>
  <c r="J185" s="1"/>
  <c r="E185"/>
  <c r="M184"/>
  <c r="E184"/>
  <c r="G184" s="1"/>
  <c r="H184" s="1"/>
  <c r="I184" s="1"/>
  <c r="J184" s="1"/>
  <c r="M183"/>
  <c r="E183"/>
  <c r="G183" s="1"/>
  <c r="H183" s="1"/>
  <c r="I183" s="1"/>
  <c r="J183" s="1"/>
  <c r="M182"/>
  <c r="E182"/>
  <c r="G182" s="1"/>
  <c r="H182" s="1"/>
  <c r="I182" s="1"/>
  <c r="J182" s="1"/>
  <c r="M181"/>
  <c r="E181"/>
  <c r="G181" s="1"/>
  <c r="H181" s="1"/>
  <c r="I181" s="1"/>
  <c r="J181" s="1"/>
  <c r="M180"/>
  <c r="E180"/>
  <c r="G180" s="1"/>
  <c r="H180" s="1"/>
  <c r="I180" s="1"/>
  <c r="J180" s="1"/>
  <c r="M179"/>
  <c r="E179"/>
  <c r="G179" s="1"/>
  <c r="H179" s="1"/>
  <c r="I179" s="1"/>
  <c r="J179" s="1"/>
  <c r="M178"/>
  <c r="E178"/>
  <c r="G178" s="1"/>
  <c r="H178" s="1"/>
  <c r="I178" s="1"/>
  <c r="J178" s="1"/>
  <c r="M177"/>
  <c r="E177"/>
  <c r="G177" s="1"/>
  <c r="H177" s="1"/>
  <c r="I177" s="1"/>
  <c r="J177" s="1"/>
  <c r="M176"/>
  <c r="E176"/>
  <c r="G176" s="1"/>
  <c r="H176" s="1"/>
  <c r="I176" s="1"/>
  <c r="J176" s="1"/>
  <c r="M175"/>
  <c r="E175"/>
  <c r="G175" s="1"/>
  <c r="H175" s="1"/>
  <c r="I175" s="1"/>
  <c r="J175" s="1"/>
  <c r="M174"/>
  <c r="H174"/>
  <c r="I174" s="1"/>
  <c r="J174" s="1"/>
  <c r="E174"/>
  <c r="G174" s="1"/>
  <c r="M173"/>
  <c r="H173"/>
  <c r="I173" s="1"/>
  <c r="J173" s="1"/>
  <c r="E173"/>
  <c r="G173" s="1"/>
  <c r="M172"/>
  <c r="H172"/>
  <c r="I172" s="1"/>
  <c r="J172" s="1"/>
  <c r="E172"/>
  <c r="G172" s="1"/>
  <c r="M171"/>
  <c r="H171"/>
  <c r="I171" s="1"/>
  <c r="J171" s="1"/>
  <c r="E171"/>
  <c r="G171" s="1"/>
  <c r="M170"/>
  <c r="H170"/>
  <c r="I170" s="1"/>
  <c r="J170" s="1"/>
  <c r="E170"/>
  <c r="G170" s="1"/>
  <c r="M169"/>
  <c r="H169"/>
  <c r="I169" s="1"/>
  <c r="J169" s="1"/>
  <c r="E169"/>
  <c r="G169" s="1"/>
  <c r="M168"/>
  <c r="H168"/>
  <c r="I168" s="1"/>
  <c r="J168" s="1"/>
  <c r="E168"/>
  <c r="G168" s="1"/>
  <c r="M167"/>
  <c r="H167"/>
  <c r="I167" s="1"/>
  <c r="J167" s="1"/>
  <c r="E167"/>
  <c r="G167" s="1"/>
  <c r="M166"/>
  <c r="E166"/>
  <c r="G166" s="1"/>
  <c r="H166" s="1"/>
  <c r="I166" s="1"/>
  <c r="J166" s="1"/>
  <c r="M165"/>
  <c r="E165"/>
  <c r="G165" s="1"/>
  <c r="H165" s="1"/>
  <c r="I165" s="1"/>
  <c r="J165" s="1"/>
  <c r="M164"/>
  <c r="E164"/>
  <c r="G164" s="1"/>
  <c r="H164" s="1"/>
  <c r="I164" s="1"/>
  <c r="J164" s="1"/>
  <c r="M163"/>
  <c r="E163"/>
  <c r="G163" s="1"/>
  <c r="H163" s="1"/>
  <c r="I163" s="1"/>
  <c r="J163" s="1"/>
  <c r="M162"/>
  <c r="E162"/>
  <c r="G162" s="1"/>
  <c r="H162" s="1"/>
  <c r="I162" s="1"/>
  <c r="J162" s="1"/>
  <c r="M161"/>
  <c r="E161"/>
  <c r="G161" s="1"/>
  <c r="H161" s="1"/>
  <c r="I161" s="1"/>
  <c r="J161" s="1"/>
  <c r="M160"/>
  <c r="E160"/>
  <c r="G160" s="1"/>
  <c r="H160" s="1"/>
  <c r="I160" s="1"/>
  <c r="J160" s="1"/>
  <c r="M159"/>
  <c r="E159"/>
  <c r="G159" s="1"/>
  <c r="H159" s="1"/>
  <c r="I159" s="1"/>
  <c r="J159" s="1"/>
  <c r="M158"/>
  <c r="E158"/>
  <c r="G158" s="1"/>
  <c r="H158" s="1"/>
  <c r="I158" s="1"/>
  <c r="J158" s="1"/>
  <c r="M157"/>
  <c r="E157"/>
  <c r="G157" s="1"/>
  <c r="H157" s="1"/>
  <c r="I157" s="1"/>
  <c r="J157" s="1"/>
  <c r="M156"/>
  <c r="E156"/>
  <c r="G156" s="1"/>
  <c r="H156" s="1"/>
  <c r="I156" s="1"/>
  <c r="J156" s="1"/>
  <c r="M155"/>
  <c r="E155"/>
  <c r="G155" s="1"/>
  <c r="H155" s="1"/>
  <c r="I155" s="1"/>
  <c r="J155" s="1"/>
  <c r="M154"/>
  <c r="E154"/>
  <c r="G154" s="1"/>
  <c r="H154" s="1"/>
  <c r="I154" s="1"/>
  <c r="J154" s="1"/>
  <c r="M153"/>
  <c r="E153"/>
  <c r="G153" s="1"/>
  <c r="H153" s="1"/>
  <c r="I153" s="1"/>
  <c r="J153" s="1"/>
  <c r="M152"/>
  <c r="E152"/>
  <c r="G152" s="1"/>
  <c r="H152" s="1"/>
  <c r="I152" s="1"/>
  <c r="J152" s="1"/>
  <c r="M151"/>
  <c r="E151"/>
  <c r="G151" s="1"/>
  <c r="H151" s="1"/>
  <c r="I151" s="1"/>
  <c r="J151" s="1"/>
  <c r="M150"/>
  <c r="E150"/>
  <c r="G150" s="1"/>
  <c r="H150" s="1"/>
  <c r="I150" s="1"/>
  <c r="J150" s="1"/>
  <c r="M149"/>
  <c r="E149"/>
  <c r="G149" s="1"/>
  <c r="H149" s="1"/>
  <c r="I149" s="1"/>
  <c r="J149" s="1"/>
  <c r="M148"/>
  <c r="E148"/>
  <c r="G148" s="1"/>
  <c r="H148" s="1"/>
  <c r="I148" s="1"/>
  <c r="J148" s="1"/>
  <c r="M147"/>
  <c r="E147"/>
  <c r="G147" s="1"/>
  <c r="H147" s="1"/>
  <c r="I147" s="1"/>
  <c r="J147" s="1"/>
  <c r="M146"/>
  <c r="E146"/>
  <c r="G146" s="1"/>
  <c r="H146" s="1"/>
  <c r="I146" s="1"/>
  <c r="J146" s="1"/>
  <c r="M145"/>
  <c r="E145"/>
  <c r="G145" s="1"/>
  <c r="H145" s="1"/>
  <c r="I145" s="1"/>
  <c r="J145" s="1"/>
  <c r="M144"/>
  <c r="E144"/>
  <c r="G144" s="1"/>
  <c r="H144" s="1"/>
  <c r="I144" s="1"/>
  <c r="J144" s="1"/>
  <c r="M143"/>
  <c r="E143"/>
  <c r="G143" s="1"/>
  <c r="H143" s="1"/>
  <c r="I143" s="1"/>
  <c r="J143" s="1"/>
  <c r="M142"/>
  <c r="E142"/>
  <c r="G142" s="1"/>
  <c r="H142" s="1"/>
  <c r="I142" s="1"/>
  <c r="J142" s="1"/>
  <c r="M141"/>
  <c r="E141"/>
  <c r="G141" s="1"/>
  <c r="H141" s="1"/>
  <c r="I141" s="1"/>
  <c r="J141" s="1"/>
  <c r="M140"/>
  <c r="E140"/>
  <c r="G140" s="1"/>
  <c r="H140" s="1"/>
  <c r="I140" s="1"/>
  <c r="J140" s="1"/>
  <c r="M139"/>
  <c r="E139"/>
  <c r="G139" s="1"/>
  <c r="H139" s="1"/>
  <c r="I139" s="1"/>
  <c r="J139" s="1"/>
  <c r="M138"/>
  <c r="E138"/>
  <c r="G138" s="1"/>
  <c r="H138" s="1"/>
  <c r="I138" s="1"/>
  <c r="J138" s="1"/>
  <c r="M137"/>
  <c r="E137"/>
  <c r="G137" s="1"/>
  <c r="H137" s="1"/>
  <c r="I137" s="1"/>
  <c r="J137" s="1"/>
  <c r="M136"/>
  <c r="E136"/>
  <c r="G136" s="1"/>
  <c r="H136" s="1"/>
  <c r="I136" s="1"/>
  <c r="J136" s="1"/>
  <c r="M135"/>
  <c r="E135"/>
  <c r="G135" s="1"/>
  <c r="H135" s="1"/>
  <c r="I135" s="1"/>
  <c r="J135" s="1"/>
  <c r="M134"/>
  <c r="E134"/>
  <c r="G134" s="1"/>
  <c r="H134" s="1"/>
  <c r="I134" s="1"/>
  <c r="J134" s="1"/>
  <c r="M133"/>
  <c r="E133"/>
  <c r="G133" s="1"/>
  <c r="H133" s="1"/>
  <c r="I133" s="1"/>
  <c r="J133" s="1"/>
  <c r="M132"/>
  <c r="E132"/>
  <c r="G132" s="1"/>
  <c r="H132" s="1"/>
  <c r="I132" s="1"/>
  <c r="J132" s="1"/>
  <c r="M131"/>
  <c r="E131"/>
  <c r="G131" s="1"/>
  <c r="H131" s="1"/>
  <c r="I131" s="1"/>
  <c r="J131" s="1"/>
  <c r="M130"/>
  <c r="E130"/>
  <c r="G130" s="1"/>
  <c r="H130" s="1"/>
  <c r="I130" s="1"/>
  <c r="J130" s="1"/>
  <c r="M129"/>
  <c r="E129"/>
  <c r="G129" s="1"/>
  <c r="H129" s="1"/>
  <c r="I129" s="1"/>
  <c r="J129" s="1"/>
  <c r="M128"/>
  <c r="E128"/>
  <c r="G128" s="1"/>
  <c r="H128" s="1"/>
  <c r="I128" s="1"/>
  <c r="J128" s="1"/>
  <c r="M127"/>
  <c r="E127"/>
  <c r="G127" s="1"/>
  <c r="H127" s="1"/>
  <c r="I127" s="1"/>
  <c r="J127" s="1"/>
  <c r="M126"/>
  <c r="E126"/>
  <c r="G126" s="1"/>
  <c r="H126" s="1"/>
  <c r="I126" s="1"/>
  <c r="J126" s="1"/>
  <c r="M125"/>
  <c r="E125"/>
  <c r="G125" s="1"/>
  <c r="H125" s="1"/>
  <c r="I125" s="1"/>
  <c r="J125" s="1"/>
  <c r="M124"/>
  <c r="E124"/>
  <c r="G124" s="1"/>
  <c r="H124" s="1"/>
  <c r="I124" s="1"/>
  <c r="J124" s="1"/>
  <c r="M123"/>
  <c r="E123"/>
  <c r="G123" s="1"/>
  <c r="H123" s="1"/>
  <c r="I123" s="1"/>
  <c r="J123" s="1"/>
  <c r="M122"/>
  <c r="E122"/>
  <c r="G122" s="1"/>
  <c r="H122" s="1"/>
  <c r="I122" s="1"/>
  <c r="J122" s="1"/>
  <c r="M121"/>
  <c r="E121"/>
  <c r="G121" s="1"/>
  <c r="H121" s="1"/>
  <c r="I121" s="1"/>
  <c r="J121" s="1"/>
  <c r="M120"/>
  <c r="E120"/>
  <c r="G120" s="1"/>
  <c r="H120" s="1"/>
  <c r="I120" s="1"/>
  <c r="J120" s="1"/>
  <c r="M119"/>
  <c r="E119"/>
  <c r="G119" s="1"/>
  <c r="H119" s="1"/>
  <c r="I119" s="1"/>
  <c r="J119" s="1"/>
  <c r="M118"/>
  <c r="E118"/>
  <c r="G118" s="1"/>
  <c r="H118" s="1"/>
  <c r="I118" s="1"/>
  <c r="J118" s="1"/>
  <c r="M117"/>
  <c r="E117"/>
  <c r="G117" s="1"/>
  <c r="H117" s="1"/>
  <c r="I117" s="1"/>
  <c r="J117" s="1"/>
  <c r="M116"/>
  <c r="E116"/>
  <c r="G116" s="1"/>
  <c r="H116" s="1"/>
  <c r="I116" s="1"/>
  <c r="J116" s="1"/>
  <c r="M115"/>
  <c r="E115"/>
  <c r="G115" s="1"/>
  <c r="H115" s="1"/>
  <c r="I115" s="1"/>
  <c r="J115" s="1"/>
  <c r="M114"/>
  <c r="E114"/>
  <c r="G114" s="1"/>
  <c r="H114" s="1"/>
  <c r="I114" s="1"/>
  <c r="J114" s="1"/>
  <c r="M113"/>
  <c r="E113"/>
  <c r="G113" s="1"/>
  <c r="H113" s="1"/>
  <c r="I113" s="1"/>
  <c r="J113" s="1"/>
  <c r="M112"/>
  <c r="E112"/>
  <c r="G112" s="1"/>
  <c r="H112" s="1"/>
  <c r="I112" s="1"/>
  <c r="J112" s="1"/>
  <c r="M111"/>
  <c r="E111"/>
  <c r="G111" s="1"/>
  <c r="H111" s="1"/>
  <c r="I111" s="1"/>
  <c r="J111" s="1"/>
  <c r="M110"/>
  <c r="E110"/>
  <c r="G110" s="1"/>
  <c r="H110" s="1"/>
  <c r="I110" s="1"/>
  <c r="J110" s="1"/>
  <c r="M109"/>
  <c r="E109"/>
  <c r="G109" s="1"/>
  <c r="H109" s="1"/>
  <c r="I109" s="1"/>
  <c r="J109" s="1"/>
  <c r="M108"/>
  <c r="E108"/>
  <c r="G108" s="1"/>
  <c r="H108" s="1"/>
  <c r="I108" s="1"/>
  <c r="J108" s="1"/>
  <c r="M107"/>
  <c r="E107"/>
  <c r="G107" s="1"/>
  <c r="H107" s="1"/>
  <c r="I107" s="1"/>
  <c r="J107" s="1"/>
  <c r="M106"/>
  <c r="E106"/>
  <c r="G106" s="1"/>
  <c r="H106" s="1"/>
  <c r="I106" s="1"/>
  <c r="J106" s="1"/>
  <c r="M105"/>
  <c r="E105"/>
  <c r="G105" s="1"/>
  <c r="H105" s="1"/>
  <c r="I105" s="1"/>
  <c r="J105" s="1"/>
  <c r="M104"/>
  <c r="E104"/>
  <c r="G104" s="1"/>
  <c r="H104" s="1"/>
  <c r="I104" s="1"/>
  <c r="J104" s="1"/>
  <c r="M103"/>
  <c r="E103"/>
  <c r="G103" s="1"/>
  <c r="H103" s="1"/>
  <c r="I103" s="1"/>
  <c r="J103" s="1"/>
  <c r="M102"/>
  <c r="E102"/>
  <c r="G102" s="1"/>
  <c r="H102" s="1"/>
  <c r="I102" s="1"/>
  <c r="J102" s="1"/>
  <c r="M101"/>
  <c r="E101"/>
  <c r="G101" s="1"/>
  <c r="H101" s="1"/>
  <c r="I101" s="1"/>
  <c r="J101" s="1"/>
  <c r="M100"/>
  <c r="E100"/>
  <c r="G100" s="1"/>
  <c r="H100" s="1"/>
  <c r="I100" s="1"/>
  <c r="J100" s="1"/>
  <c r="M99"/>
  <c r="E99"/>
  <c r="G99" s="1"/>
  <c r="H99" s="1"/>
  <c r="I99" s="1"/>
  <c r="J99" s="1"/>
  <c r="M98"/>
  <c r="E98"/>
  <c r="G98" s="1"/>
  <c r="H98" s="1"/>
  <c r="I98" s="1"/>
  <c r="J98" s="1"/>
  <c r="M97"/>
  <c r="E97"/>
  <c r="G97" s="1"/>
  <c r="H97" s="1"/>
  <c r="I97" s="1"/>
  <c r="J97" s="1"/>
  <c r="M96"/>
  <c r="E96"/>
  <c r="G96" s="1"/>
  <c r="H96" s="1"/>
  <c r="I96" s="1"/>
  <c r="J96" s="1"/>
  <c r="M95"/>
  <c r="E95"/>
  <c r="G95" s="1"/>
  <c r="H95" s="1"/>
  <c r="I95" s="1"/>
  <c r="J95" s="1"/>
  <c r="M94"/>
  <c r="E94"/>
  <c r="G94" s="1"/>
  <c r="H94" s="1"/>
  <c r="I94" s="1"/>
  <c r="J94" s="1"/>
  <c r="M93"/>
  <c r="E93"/>
  <c r="G93" s="1"/>
  <c r="H93" s="1"/>
  <c r="I93" s="1"/>
  <c r="J93" s="1"/>
  <c r="M92"/>
  <c r="E92"/>
  <c r="G92" s="1"/>
  <c r="H92" s="1"/>
  <c r="I92" s="1"/>
  <c r="J92" s="1"/>
  <c r="M91"/>
  <c r="E91"/>
  <c r="G91" s="1"/>
  <c r="H91" s="1"/>
  <c r="I91" s="1"/>
  <c r="J91" s="1"/>
  <c r="M90"/>
  <c r="E90"/>
  <c r="G90" s="1"/>
  <c r="H90" s="1"/>
  <c r="I90" s="1"/>
  <c r="J90" s="1"/>
  <c r="M89"/>
  <c r="E89"/>
  <c r="G89" s="1"/>
  <c r="H89" s="1"/>
  <c r="I89" s="1"/>
  <c r="J89" s="1"/>
  <c r="M88"/>
  <c r="E88"/>
  <c r="G88" s="1"/>
  <c r="H88" s="1"/>
  <c r="I88" s="1"/>
  <c r="J88" s="1"/>
  <c r="M87"/>
  <c r="E87"/>
  <c r="G87" s="1"/>
  <c r="H87" s="1"/>
  <c r="I87" s="1"/>
  <c r="J87" s="1"/>
  <c r="M86"/>
  <c r="E86"/>
  <c r="G86" s="1"/>
  <c r="H86" s="1"/>
  <c r="I86" s="1"/>
  <c r="J86" s="1"/>
  <c r="M85"/>
  <c r="E85"/>
  <c r="G85" s="1"/>
  <c r="H85" s="1"/>
  <c r="I85" s="1"/>
  <c r="J85" s="1"/>
  <c r="M84"/>
  <c r="E84"/>
  <c r="G84" s="1"/>
  <c r="H84" s="1"/>
  <c r="I84" s="1"/>
  <c r="J84" s="1"/>
  <c r="M83"/>
  <c r="E83"/>
  <c r="G83" s="1"/>
  <c r="H83" s="1"/>
  <c r="I83" s="1"/>
  <c r="J83" s="1"/>
  <c r="M82"/>
  <c r="E82"/>
  <c r="G82" s="1"/>
  <c r="H82" s="1"/>
  <c r="I82" s="1"/>
  <c r="J82" s="1"/>
  <c r="M81"/>
  <c r="E81"/>
  <c r="G81" s="1"/>
  <c r="H81" s="1"/>
  <c r="I81" s="1"/>
  <c r="J81" s="1"/>
  <c r="M80"/>
  <c r="E80"/>
  <c r="G80" s="1"/>
  <c r="H80" s="1"/>
  <c r="I80" s="1"/>
  <c r="J80" s="1"/>
  <c r="M79"/>
  <c r="E79"/>
  <c r="G79" s="1"/>
  <c r="H79" s="1"/>
  <c r="I79" s="1"/>
  <c r="J79" s="1"/>
  <c r="M78"/>
  <c r="E78"/>
  <c r="G78" s="1"/>
  <c r="H78" s="1"/>
  <c r="I78" s="1"/>
  <c r="J78" s="1"/>
  <c r="M77"/>
  <c r="E77"/>
  <c r="G77" s="1"/>
  <c r="H77" s="1"/>
  <c r="I77" s="1"/>
  <c r="J77" s="1"/>
  <c r="M76"/>
  <c r="E76"/>
  <c r="G76" s="1"/>
  <c r="H76" s="1"/>
  <c r="I76" s="1"/>
  <c r="J76" s="1"/>
  <c r="M75"/>
  <c r="E75"/>
  <c r="G75" s="1"/>
  <c r="H75" s="1"/>
  <c r="I75" s="1"/>
  <c r="J75" s="1"/>
  <c r="M74"/>
  <c r="E74"/>
  <c r="G74" s="1"/>
  <c r="H74" s="1"/>
  <c r="I74" s="1"/>
  <c r="J74" s="1"/>
  <c r="M73"/>
  <c r="E73"/>
  <c r="G73" s="1"/>
  <c r="H73" s="1"/>
  <c r="I73" s="1"/>
  <c r="J73" s="1"/>
  <c r="M72"/>
  <c r="E72"/>
  <c r="G72" s="1"/>
  <c r="H72" s="1"/>
  <c r="I72" s="1"/>
  <c r="J72" s="1"/>
  <c r="M71"/>
  <c r="E71"/>
  <c r="G71" s="1"/>
  <c r="H71" s="1"/>
  <c r="I71" s="1"/>
  <c r="J71" s="1"/>
  <c r="M70"/>
  <c r="E70"/>
  <c r="G70" s="1"/>
  <c r="H70" s="1"/>
  <c r="I70" s="1"/>
  <c r="J70" s="1"/>
  <c r="M69"/>
  <c r="E69"/>
  <c r="G69" s="1"/>
  <c r="H69" s="1"/>
  <c r="I69" s="1"/>
  <c r="J69" s="1"/>
  <c r="M68"/>
  <c r="E68"/>
  <c r="G68" s="1"/>
  <c r="H68" s="1"/>
  <c r="I68" s="1"/>
  <c r="J68" s="1"/>
  <c r="M67"/>
  <c r="E67"/>
  <c r="G67" s="1"/>
  <c r="H67" s="1"/>
  <c r="I67" s="1"/>
  <c r="J67" s="1"/>
  <c r="M66"/>
  <c r="E66"/>
  <c r="G66" s="1"/>
  <c r="H66" s="1"/>
  <c r="I66" s="1"/>
  <c r="J66" s="1"/>
  <c r="M65"/>
  <c r="E65"/>
  <c r="G65" s="1"/>
  <c r="H65" s="1"/>
  <c r="I65" s="1"/>
  <c r="J65" s="1"/>
  <c r="M64"/>
  <c r="E64"/>
  <c r="G64" s="1"/>
  <c r="H64" s="1"/>
  <c r="I64" s="1"/>
  <c r="J64" s="1"/>
  <c r="M63"/>
  <c r="E63"/>
  <c r="G63" s="1"/>
  <c r="H63" s="1"/>
  <c r="I63" s="1"/>
  <c r="J63" s="1"/>
  <c r="M62"/>
  <c r="E62"/>
  <c r="G62" s="1"/>
  <c r="H62" s="1"/>
  <c r="I62" s="1"/>
  <c r="J62" s="1"/>
  <c r="M61"/>
  <c r="E61"/>
  <c r="G61" s="1"/>
  <c r="H61" s="1"/>
  <c r="I61" s="1"/>
  <c r="J61" s="1"/>
  <c r="M60"/>
  <c r="E60"/>
  <c r="G60" s="1"/>
  <c r="H60" s="1"/>
  <c r="I60" s="1"/>
  <c r="J60" s="1"/>
  <c r="M59"/>
  <c r="E59"/>
  <c r="G59" s="1"/>
  <c r="H59" s="1"/>
  <c r="I59" s="1"/>
  <c r="J59" s="1"/>
  <c r="M58"/>
  <c r="E58"/>
  <c r="G58" s="1"/>
  <c r="H58" s="1"/>
  <c r="I58" s="1"/>
  <c r="J58" s="1"/>
  <c r="M57"/>
  <c r="E57"/>
  <c r="G57" s="1"/>
  <c r="H57" s="1"/>
  <c r="I57" s="1"/>
  <c r="J57" s="1"/>
  <c r="M56"/>
  <c r="E56"/>
  <c r="G56" s="1"/>
  <c r="H56" s="1"/>
  <c r="I56" s="1"/>
  <c r="J56" s="1"/>
  <c r="M55"/>
  <c r="E55"/>
  <c r="G55" s="1"/>
  <c r="H55" s="1"/>
  <c r="I55" s="1"/>
  <c r="J55" s="1"/>
  <c r="M54"/>
  <c r="E54"/>
  <c r="G54" s="1"/>
  <c r="H54" s="1"/>
  <c r="I54" s="1"/>
  <c r="J54" s="1"/>
  <c r="M53"/>
  <c r="E53"/>
  <c r="G53" s="1"/>
  <c r="H53" s="1"/>
  <c r="I53" s="1"/>
  <c r="J53" s="1"/>
  <c r="M52"/>
  <c r="E52"/>
  <c r="G52" s="1"/>
  <c r="H52" s="1"/>
  <c r="I52" s="1"/>
  <c r="J52" s="1"/>
  <c r="M51"/>
  <c r="E51"/>
  <c r="G51" s="1"/>
  <c r="H51" s="1"/>
  <c r="I51" s="1"/>
  <c r="J51" s="1"/>
  <c r="M50"/>
  <c r="E50"/>
  <c r="G50" s="1"/>
  <c r="H50" s="1"/>
  <c r="I50" s="1"/>
  <c r="J50" s="1"/>
  <c r="M49"/>
  <c r="E49"/>
  <c r="G49" s="1"/>
  <c r="H49" s="1"/>
  <c r="I49" s="1"/>
  <c r="J49" s="1"/>
  <c r="M48"/>
  <c r="E48"/>
  <c r="G48" s="1"/>
  <c r="H48" s="1"/>
  <c r="I48" s="1"/>
  <c r="J48" s="1"/>
  <c r="M47"/>
  <c r="E47"/>
  <c r="G47" s="1"/>
  <c r="H47" s="1"/>
  <c r="I47" s="1"/>
  <c r="J47" s="1"/>
  <c r="M46"/>
  <c r="E46"/>
  <c r="G46" s="1"/>
  <c r="H46" s="1"/>
  <c r="I46" s="1"/>
  <c r="J46" s="1"/>
  <c r="M45"/>
  <c r="E45"/>
  <c r="G45" s="1"/>
  <c r="H45" s="1"/>
  <c r="I45" s="1"/>
  <c r="J45" s="1"/>
  <c r="M44"/>
  <c r="E44"/>
  <c r="G44" s="1"/>
  <c r="H44" s="1"/>
  <c r="I44" s="1"/>
  <c r="J44" s="1"/>
  <c r="M43"/>
  <c r="E43"/>
  <c r="G43" s="1"/>
  <c r="H43" s="1"/>
  <c r="I43" s="1"/>
  <c r="J43" s="1"/>
  <c r="M42"/>
  <c r="E42"/>
  <c r="G42" s="1"/>
  <c r="H42" s="1"/>
  <c r="I42" s="1"/>
  <c r="J42" s="1"/>
  <c r="M41"/>
  <c r="E41"/>
  <c r="G41" s="1"/>
  <c r="H41" s="1"/>
  <c r="I41" s="1"/>
  <c r="J41" s="1"/>
  <c r="M40"/>
  <c r="E40"/>
  <c r="G40" s="1"/>
  <c r="H40" s="1"/>
  <c r="I40" s="1"/>
  <c r="J40" s="1"/>
  <c r="M39"/>
  <c r="E39"/>
  <c r="G39" s="1"/>
  <c r="H39" s="1"/>
  <c r="I39" s="1"/>
  <c r="J39" s="1"/>
  <c r="M38"/>
  <c r="E38"/>
  <c r="G38" s="1"/>
  <c r="H38" s="1"/>
  <c r="I38" s="1"/>
  <c r="J38" s="1"/>
  <c r="M37"/>
  <c r="E37"/>
  <c r="G37" s="1"/>
  <c r="H37" s="1"/>
  <c r="I37" s="1"/>
  <c r="J37" s="1"/>
  <c r="M36"/>
  <c r="E36"/>
  <c r="G36" s="1"/>
  <c r="H36" s="1"/>
  <c r="I36" s="1"/>
  <c r="J36" s="1"/>
  <c r="M35"/>
  <c r="E35"/>
  <c r="G35" s="1"/>
  <c r="H35" s="1"/>
  <c r="I35" s="1"/>
  <c r="J35" s="1"/>
  <c r="M34"/>
  <c r="E34"/>
  <c r="G34" s="1"/>
  <c r="H34" s="1"/>
  <c r="I34" s="1"/>
  <c r="J34" s="1"/>
  <c r="M33"/>
  <c r="E33"/>
  <c r="G33" s="1"/>
  <c r="H33" s="1"/>
  <c r="I33" s="1"/>
  <c r="J33" s="1"/>
  <c r="M32"/>
  <c r="E32"/>
  <c r="G32" s="1"/>
  <c r="H32" s="1"/>
  <c r="I32" s="1"/>
  <c r="J32" s="1"/>
  <c r="M31"/>
  <c r="E31"/>
  <c r="G31" s="1"/>
  <c r="H31" s="1"/>
  <c r="I31" s="1"/>
  <c r="J31" s="1"/>
  <c r="M30"/>
  <c r="E30"/>
  <c r="G30" s="1"/>
  <c r="H30" s="1"/>
  <c r="I30" s="1"/>
  <c r="J30" s="1"/>
  <c r="M29"/>
  <c r="E29"/>
  <c r="G29" s="1"/>
  <c r="H29" s="1"/>
  <c r="I29" s="1"/>
  <c r="J29" s="1"/>
  <c r="M28"/>
  <c r="E28"/>
  <c r="G28" s="1"/>
  <c r="H28" s="1"/>
  <c r="I28" s="1"/>
  <c r="J28" s="1"/>
  <c r="M27"/>
  <c r="E27"/>
  <c r="G27" s="1"/>
  <c r="H27" s="1"/>
  <c r="I27" s="1"/>
  <c r="J27" s="1"/>
  <c r="M26"/>
  <c r="E26"/>
  <c r="G26" s="1"/>
  <c r="H26" s="1"/>
  <c r="I26" s="1"/>
  <c r="J26" s="1"/>
  <c r="M25"/>
  <c r="E25"/>
  <c r="G25" s="1"/>
  <c r="H25" s="1"/>
  <c r="I25" s="1"/>
  <c r="J25" s="1"/>
  <c r="M24"/>
  <c r="E24"/>
  <c r="G24" s="1"/>
  <c r="H24" s="1"/>
  <c r="I24" s="1"/>
  <c r="J24" s="1"/>
  <c r="M23"/>
  <c r="E23"/>
  <c r="G23" s="1"/>
  <c r="H23" s="1"/>
  <c r="I23" s="1"/>
  <c r="J23" s="1"/>
  <c r="M22"/>
  <c r="E22"/>
  <c r="G22" s="1"/>
  <c r="H22" s="1"/>
  <c r="I22" s="1"/>
  <c r="J22" s="1"/>
  <c r="M21"/>
  <c r="E21"/>
  <c r="G21" s="1"/>
  <c r="H21" s="1"/>
  <c r="I21" s="1"/>
  <c r="J21" s="1"/>
  <c r="M20"/>
  <c r="E20"/>
  <c r="G20" s="1"/>
  <c r="H20" s="1"/>
  <c r="I20" s="1"/>
  <c r="J20" s="1"/>
  <c r="M19"/>
  <c r="E19"/>
  <c r="G19" s="1"/>
  <c r="H19" s="1"/>
  <c r="I19" s="1"/>
  <c r="J19" s="1"/>
  <c r="M18"/>
  <c r="E18"/>
  <c r="G18" s="1"/>
  <c r="H18" s="1"/>
  <c r="I18" s="1"/>
  <c r="J18" s="1"/>
  <c r="M17"/>
  <c r="E17"/>
  <c r="G17" s="1"/>
  <c r="H17" s="1"/>
  <c r="I17" s="1"/>
  <c r="J17" s="1"/>
  <c r="M16"/>
  <c r="E16"/>
  <c r="G16" s="1"/>
  <c r="H16" s="1"/>
  <c r="I16" s="1"/>
  <c r="J16" s="1"/>
  <c r="M15"/>
  <c r="E15"/>
  <c r="G15" s="1"/>
  <c r="H15" s="1"/>
  <c r="I15" s="1"/>
  <c r="J15" s="1"/>
  <c r="M14"/>
  <c r="E14"/>
  <c r="G14" s="1"/>
  <c r="H14" s="1"/>
  <c r="I14" s="1"/>
  <c r="J14" s="1"/>
  <c r="M13"/>
  <c r="E13"/>
  <c r="G13" s="1"/>
  <c r="H13" s="1"/>
  <c r="I13" s="1"/>
  <c r="J13" s="1"/>
  <c r="M12"/>
  <c r="E12"/>
  <c r="G12" s="1"/>
  <c r="H12" s="1"/>
  <c r="I12" s="1"/>
  <c r="J12" s="1"/>
  <c r="M11"/>
  <c r="E11"/>
  <c r="G11" s="1"/>
  <c r="H11" s="1"/>
  <c r="I11" s="1"/>
  <c r="J11" s="1"/>
  <c r="M10"/>
  <c r="G10"/>
  <c r="H10" s="1"/>
  <c r="I10" s="1"/>
  <c r="J10" s="1"/>
  <c r="E10"/>
  <c r="M9"/>
  <c r="E9"/>
  <c r="G9" s="1"/>
  <c r="H9" s="1"/>
  <c r="I9" s="1"/>
  <c r="J9" s="1"/>
  <c r="M8"/>
  <c r="G8"/>
  <c r="H8" s="1"/>
  <c r="I8" s="1"/>
  <c r="J8" s="1"/>
  <c r="E8"/>
  <c r="M7"/>
  <c r="E7"/>
  <c r="G7" s="1"/>
  <c r="H7" s="1"/>
  <c r="I7" s="1"/>
  <c r="J7" s="1"/>
  <c r="M6"/>
  <c r="G6"/>
  <c r="H6" s="1"/>
  <c r="I6" s="1"/>
  <c r="J6" s="1"/>
  <c r="E6"/>
  <c r="M5"/>
  <c r="E5"/>
  <c r="G5" s="1"/>
  <c r="H5" s="1"/>
  <c r="I5" s="1"/>
  <c r="J5" s="1"/>
  <c r="V4"/>
  <c r="W4" s="1"/>
  <c r="X4" s="1"/>
  <c r="M4"/>
  <c r="E4"/>
  <c r="G4" s="1"/>
  <c r="H4" s="1"/>
  <c r="I4" s="1"/>
  <c r="J4" s="1"/>
  <c r="M3"/>
  <c r="E3"/>
  <c r="G3" s="1"/>
  <c r="H3" s="1"/>
  <c r="I3" s="1"/>
  <c r="J3" s="1"/>
  <c r="M2"/>
  <c r="E2"/>
  <c r="G2" s="1"/>
  <c r="H2" s="1"/>
  <c r="I2" s="1"/>
  <c r="J2" s="1"/>
  <c r="B1014" i="6"/>
  <c r="B1013"/>
  <c r="B1012"/>
  <c r="B1011"/>
  <c r="F198"/>
  <c r="C35" i="5"/>
  <c r="C34"/>
  <c r="C33"/>
  <c r="C32"/>
  <c r="D15"/>
  <c r="E15" s="1"/>
  <c r="U2" i="25" l="1"/>
  <c r="S2"/>
  <c r="T2" s="1"/>
  <c r="L198" i="11"/>
  <c r="F20" i="5"/>
  <c r="F18"/>
  <c r="F16"/>
  <c r="F21"/>
  <c r="F19"/>
  <c r="F17"/>
  <c r="F15"/>
  <c r="Y7" i="7"/>
  <c r="Y10"/>
  <c r="Y8"/>
  <c r="Y6"/>
  <c r="Y4"/>
  <c r="Y9"/>
  <c r="Y5"/>
  <c r="L9" i="8"/>
  <c r="L8"/>
  <c r="L7"/>
  <c r="L6"/>
  <c r="L5"/>
  <c r="L4"/>
  <c r="L3"/>
  <c r="J3" i="9"/>
  <c r="J5"/>
  <c r="J7"/>
  <c r="J9"/>
  <c r="J11"/>
  <c r="J13"/>
  <c r="J15"/>
  <c r="J17"/>
  <c r="J19"/>
  <c r="J21"/>
  <c r="J23"/>
  <c r="J25"/>
  <c r="J27"/>
  <c r="J29"/>
  <c r="J31"/>
  <c r="J33"/>
  <c r="J35"/>
  <c r="J37"/>
  <c r="J39"/>
  <c r="J41"/>
  <c r="J43"/>
  <c r="J4"/>
  <c r="J6"/>
  <c r="J8"/>
  <c r="J10"/>
  <c r="J12"/>
  <c r="J14"/>
  <c r="J16"/>
  <c r="J18"/>
  <c r="J20"/>
  <c r="J22"/>
  <c r="J24"/>
  <c r="J26"/>
  <c r="J28"/>
  <c r="J30"/>
  <c r="J32"/>
  <c r="J34"/>
  <c r="J36"/>
  <c r="J38"/>
  <c r="J40"/>
  <c r="J42"/>
  <c r="J44"/>
  <c r="X7" i="23"/>
  <c r="W7"/>
  <c r="X15"/>
  <c r="W15"/>
  <c r="X25"/>
  <c r="W25"/>
  <c r="X41"/>
  <c r="W41"/>
  <c r="X51"/>
  <c r="W51"/>
  <c r="X59"/>
  <c r="W59"/>
  <c r="X69"/>
  <c r="W69"/>
  <c r="X77"/>
  <c r="W77"/>
  <c r="X89"/>
  <c r="W89"/>
  <c r="X101"/>
  <c r="W101"/>
  <c r="X113"/>
  <c r="W113"/>
  <c r="X127"/>
  <c r="W127"/>
  <c r="X137"/>
  <c r="W137"/>
  <c r="X171"/>
  <c r="W171"/>
  <c r="N4"/>
  <c r="Q4" s="1"/>
  <c r="N6"/>
  <c r="Q6" s="1"/>
  <c r="N8"/>
  <c r="Q8" s="1"/>
  <c r="N10"/>
  <c r="Q10" s="1"/>
  <c r="N12"/>
  <c r="Q12" s="1"/>
  <c r="N14"/>
  <c r="Q14" s="1"/>
  <c r="N16"/>
  <c r="Q16" s="1"/>
  <c r="N18"/>
  <c r="Q18" s="1"/>
  <c r="N20"/>
  <c r="Q20" s="1"/>
  <c r="N22"/>
  <c r="Q22" s="1"/>
  <c r="N24"/>
  <c r="Q24" s="1"/>
  <c r="N26"/>
  <c r="Q26" s="1"/>
  <c r="N28"/>
  <c r="Q28" s="1"/>
  <c r="N30"/>
  <c r="Q30" s="1"/>
  <c r="N32"/>
  <c r="Q32" s="1"/>
  <c r="N34"/>
  <c r="Q34" s="1"/>
  <c r="N36"/>
  <c r="Q36" s="1"/>
  <c r="N38"/>
  <c r="Q38" s="1"/>
  <c r="N40"/>
  <c r="Q40" s="1"/>
  <c r="N42"/>
  <c r="Q42" s="1"/>
  <c r="N44"/>
  <c r="Q44" s="1"/>
  <c r="N46"/>
  <c r="Q46" s="1"/>
  <c r="N48"/>
  <c r="Q48" s="1"/>
  <c r="N50"/>
  <c r="Q50" s="1"/>
  <c r="N52"/>
  <c r="Q52" s="1"/>
  <c r="N54"/>
  <c r="Q54" s="1"/>
  <c r="N56"/>
  <c r="Q56" s="1"/>
  <c r="N58"/>
  <c r="Q58" s="1"/>
  <c r="N60"/>
  <c r="Q60" s="1"/>
  <c r="N62"/>
  <c r="Q62" s="1"/>
  <c r="N64"/>
  <c r="Q64" s="1"/>
  <c r="N66"/>
  <c r="Q66" s="1"/>
  <c r="N68"/>
  <c r="Q68" s="1"/>
  <c r="N70"/>
  <c r="Q70" s="1"/>
  <c r="N72"/>
  <c r="Q72" s="1"/>
  <c r="N74"/>
  <c r="Q74" s="1"/>
  <c r="N76"/>
  <c r="Q76" s="1"/>
  <c r="N78"/>
  <c r="Q78" s="1"/>
  <c r="N80"/>
  <c r="Q80" s="1"/>
  <c r="N82"/>
  <c r="Q82" s="1"/>
  <c r="N84"/>
  <c r="Q84" s="1"/>
  <c r="N86"/>
  <c r="Q86" s="1"/>
  <c r="N88"/>
  <c r="Q88" s="1"/>
  <c r="N90"/>
  <c r="Q90" s="1"/>
  <c r="N92"/>
  <c r="Q92" s="1"/>
  <c r="N94"/>
  <c r="Q94" s="1"/>
  <c r="N96"/>
  <c r="Q96" s="1"/>
  <c r="N98"/>
  <c r="Q98" s="1"/>
  <c r="N100"/>
  <c r="Q100" s="1"/>
  <c r="N102"/>
  <c r="Q102" s="1"/>
  <c r="N104"/>
  <c r="Q104" s="1"/>
  <c r="N106"/>
  <c r="Q106" s="1"/>
  <c r="N108"/>
  <c r="Q108" s="1"/>
  <c r="N110"/>
  <c r="Q110" s="1"/>
  <c r="N112"/>
  <c r="Q112" s="1"/>
  <c r="N114"/>
  <c r="Q114" s="1"/>
  <c r="N116"/>
  <c r="Q116" s="1"/>
  <c r="N118"/>
  <c r="Q118" s="1"/>
  <c r="N120"/>
  <c r="Q120" s="1"/>
  <c r="N122"/>
  <c r="Q122" s="1"/>
  <c r="N124"/>
  <c r="Q124" s="1"/>
  <c r="N126"/>
  <c r="Q126" s="1"/>
  <c r="N128"/>
  <c r="Q128" s="1"/>
  <c r="N130"/>
  <c r="Q130" s="1"/>
  <c r="N132"/>
  <c r="Q132" s="1"/>
  <c r="N134"/>
  <c r="Q134" s="1"/>
  <c r="N136"/>
  <c r="Q136" s="1"/>
  <c r="N138"/>
  <c r="Q138" s="1"/>
  <c r="N140"/>
  <c r="Q140" s="1"/>
  <c r="N142"/>
  <c r="Q142" s="1"/>
  <c r="N144"/>
  <c r="Q144" s="1"/>
  <c r="N146"/>
  <c r="Q146" s="1"/>
  <c r="N148"/>
  <c r="Q148" s="1"/>
  <c r="N150"/>
  <c r="Q150" s="1"/>
  <c r="N152"/>
  <c r="Q152" s="1"/>
  <c r="N154"/>
  <c r="Q154" s="1"/>
  <c r="N156"/>
  <c r="Q156" s="1"/>
  <c r="N158"/>
  <c r="Q158" s="1"/>
  <c r="N160"/>
  <c r="Q160" s="1"/>
  <c r="N162"/>
  <c r="Q162" s="1"/>
  <c r="N164"/>
  <c r="Q164" s="1"/>
  <c r="N166"/>
  <c r="Q166" s="1"/>
  <c r="N168"/>
  <c r="Q168" s="1"/>
  <c r="N170"/>
  <c r="Q170" s="1"/>
  <c r="N172"/>
  <c r="Q172" s="1"/>
  <c r="N174"/>
  <c r="Q174" s="1"/>
  <c r="N176"/>
  <c r="Q176" s="1"/>
  <c r="N178"/>
  <c r="Q178" s="1"/>
  <c r="N180"/>
  <c r="Q180" s="1"/>
  <c r="N182"/>
  <c r="Q182" s="1"/>
  <c r="N184"/>
  <c r="Q184" s="1"/>
  <c r="N186"/>
  <c r="Q186" s="1"/>
  <c r="N188"/>
  <c r="Q188" s="1"/>
  <c r="N190"/>
  <c r="Q190" s="1"/>
  <c r="N192"/>
  <c r="Q192" s="1"/>
  <c r="N194"/>
  <c r="Q194" s="1"/>
  <c r="N196"/>
  <c r="Q196" s="1"/>
  <c r="T34" i="10"/>
  <c r="X3" i="23"/>
  <c r="W3"/>
  <c r="X11"/>
  <c r="W11"/>
  <c r="X21"/>
  <c r="W21"/>
  <c r="X37"/>
  <c r="W37"/>
  <c r="X47"/>
  <c r="W47"/>
  <c r="X55"/>
  <c r="W55"/>
  <c r="X65"/>
  <c r="W65"/>
  <c r="X73"/>
  <c r="W73"/>
  <c r="X85"/>
  <c r="W85"/>
  <c r="X97"/>
  <c r="W97"/>
  <c r="X105"/>
  <c r="W105"/>
  <c r="X119"/>
  <c r="W119"/>
  <c r="X133"/>
  <c r="W133"/>
  <c r="X141"/>
  <c r="W141"/>
  <c r="X175"/>
  <c r="W175"/>
  <c r="N19"/>
  <c r="Q19" s="1"/>
  <c r="N15"/>
  <c r="Q15" s="1"/>
  <c r="N11"/>
  <c r="Q11" s="1"/>
  <c r="N7"/>
  <c r="Q7" s="1"/>
  <c r="N3"/>
  <c r="Q3" s="1"/>
  <c r="X2"/>
  <c r="X4"/>
  <c r="X6"/>
  <c r="X8"/>
  <c r="X10"/>
  <c r="X12"/>
  <c r="X14"/>
  <c r="X16"/>
  <c r="X18"/>
  <c r="W19"/>
  <c r="X20"/>
  <c r="X22"/>
  <c r="X24"/>
  <c r="X26"/>
  <c r="X28"/>
  <c r="W29"/>
  <c r="X30"/>
  <c r="W31"/>
  <c r="X32"/>
  <c r="W33"/>
  <c r="X34"/>
  <c r="W35"/>
  <c r="X36"/>
  <c r="X38"/>
  <c r="X40"/>
  <c r="X42"/>
  <c r="W43"/>
  <c r="X44"/>
  <c r="X46"/>
  <c r="X48"/>
  <c r="X50"/>
  <c r="X52"/>
  <c r="X54"/>
  <c r="X56"/>
  <c r="X58"/>
  <c r="X60"/>
  <c r="W61"/>
  <c r="X62"/>
  <c r="X64"/>
  <c r="X66"/>
  <c r="X68"/>
  <c r="X70"/>
  <c r="X72"/>
  <c r="X74"/>
  <c r="X76"/>
  <c r="X78"/>
  <c r="X80"/>
  <c r="W81"/>
  <c r="X82"/>
  <c r="W83"/>
  <c r="X84"/>
  <c r="X86"/>
  <c r="X88"/>
  <c r="X90"/>
  <c r="X92"/>
  <c r="W93"/>
  <c r="X94"/>
  <c r="W95"/>
  <c r="X96"/>
  <c r="X98"/>
  <c r="X100"/>
  <c r="X102"/>
  <c r="X104"/>
  <c r="X106"/>
  <c r="X108"/>
  <c r="W109"/>
  <c r="X110"/>
  <c r="W111"/>
  <c r="X112"/>
  <c r="X114"/>
  <c r="W115"/>
  <c r="X116"/>
  <c r="X118"/>
  <c r="X120"/>
  <c r="X122"/>
  <c r="W123"/>
  <c r="X124"/>
  <c r="W125"/>
  <c r="X126"/>
  <c r="X128"/>
  <c r="X130"/>
  <c r="W131"/>
  <c r="X132"/>
  <c r="X134"/>
  <c r="X136"/>
  <c r="X138"/>
  <c r="X140"/>
  <c r="X142"/>
  <c r="W143"/>
  <c r="X144"/>
  <c r="W145"/>
  <c r="X146"/>
  <c r="W147"/>
  <c r="X148"/>
  <c r="W149"/>
  <c r="X150"/>
  <c r="W151"/>
  <c r="X152"/>
  <c r="W153"/>
  <c r="X154"/>
  <c r="W155"/>
  <c r="X156"/>
  <c r="W157"/>
  <c r="X158"/>
  <c r="W159"/>
  <c r="X160"/>
  <c r="W161"/>
  <c r="X162"/>
  <c r="W163"/>
  <c r="X164"/>
  <c r="W165"/>
  <c r="X166"/>
  <c r="W167"/>
  <c r="X168"/>
  <c r="X170"/>
  <c r="X172"/>
  <c r="X174"/>
  <c r="X176"/>
  <c r="W177"/>
  <c r="X178"/>
  <c r="W179"/>
  <c r="X180"/>
  <c r="W181"/>
  <c r="X182"/>
  <c r="W183"/>
  <c r="X184"/>
  <c r="W185"/>
  <c r="X186"/>
  <c r="W187"/>
  <c r="X188"/>
  <c r="W189"/>
  <c r="X190"/>
  <c r="W191"/>
  <c r="X192"/>
  <c r="W193"/>
  <c r="X194"/>
  <c r="X196"/>
  <c r="T1022" i="3"/>
  <c r="T1021"/>
  <c r="W1018"/>
  <c r="W1020" s="1"/>
  <c r="W1017"/>
  <c r="D1015"/>
  <c r="T1014"/>
  <c r="D1014"/>
  <c r="G1013"/>
  <c r="D1013"/>
  <c r="G1012"/>
  <c r="D1012"/>
  <c r="Q1010"/>
  <c r="F1010"/>
  <c r="E1010"/>
  <c r="Q1009"/>
  <c r="F1009"/>
  <c r="E1009"/>
  <c r="Q1008"/>
  <c r="F1008"/>
  <c r="E1008"/>
  <c r="Q1007"/>
  <c r="F1007"/>
  <c r="E1007"/>
  <c r="Q1006"/>
  <c r="F1006"/>
  <c r="E1006"/>
  <c r="Q1005"/>
  <c r="F1005"/>
  <c r="E1005"/>
  <c r="Q1004"/>
  <c r="F1004"/>
  <c r="E1004"/>
  <c r="Q1003"/>
  <c r="F1003"/>
  <c r="E1003"/>
  <c r="Q1002"/>
  <c r="F1002"/>
  <c r="E1002"/>
  <c r="Q1001"/>
  <c r="F1001"/>
  <c r="E1001"/>
  <c r="Q1000"/>
  <c r="F1000"/>
  <c r="E1000"/>
  <c r="Q999"/>
  <c r="F999"/>
  <c r="E999"/>
  <c r="Q998"/>
  <c r="F998"/>
  <c r="E998"/>
  <c r="Q997"/>
  <c r="F997"/>
  <c r="E997"/>
  <c r="Q996"/>
  <c r="F996"/>
  <c r="E996"/>
  <c r="Q995"/>
  <c r="F995"/>
  <c r="E995"/>
  <c r="Q994"/>
  <c r="F994"/>
  <c r="E994"/>
  <c r="Q993"/>
  <c r="F993"/>
  <c r="E993"/>
  <c r="Q992"/>
  <c r="F992"/>
  <c r="E992"/>
  <c r="Q991"/>
  <c r="F991"/>
  <c r="E991"/>
  <c r="Q990"/>
  <c r="F990"/>
  <c r="E990"/>
  <c r="Q989"/>
  <c r="F989"/>
  <c r="E989"/>
  <c r="Q988"/>
  <c r="F988"/>
  <c r="E988"/>
  <c r="Q987"/>
  <c r="F987"/>
  <c r="E987"/>
  <c r="Q986"/>
  <c r="F986"/>
  <c r="E986"/>
  <c r="Q985"/>
  <c r="F985"/>
  <c r="E985"/>
  <c r="Q984"/>
  <c r="F984"/>
  <c r="E984"/>
  <c r="Q983"/>
  <c r="F983"/>
  <c r="E983"/>
  <c r="Q982"/>
  <c r="F982"/>
  <c r="E982"/>
  <c r="Q981"/>
  <c r="F981"/>
  <c r="E981"/>
  <c r="Q980"/>
  <c r="F980"/>
  <c r="E980"/>
  <c r="Q979"/>
  <c r="F979"/>
  <c r="E979"/>
  <c r="Q978"/>
  <c r="F978"/>
  <c r="E978"/>
  <c r="F977"/>
  <c r="E977"/>
  <c r="Q976"/>
  <c r="F976"/>
  <c r="E976"/>
  <c r="Q975"/>
  <c r="F975"/>
  <c r="E975"/>
  <c r="Q974"/>
  <c r="F974"/>
  <c r="E974"/>
  <c r="Q973"/>
  <c r="F973"/>
  <c r="E973"/>
  <c r="Q972"/>
  <c r="F972"/>
  <c r="E972"/>
  <c r="Q971"/>
  <c r="F971"/>
  <c r="E971"/>
  <c r="Q970"/>
  <c r="F970"/>
  <c r="E970"/>
  <c r="Q969"/>
  <c r="F969"/>
  <c r="E969"/>
  <c r="Q968"/>
  <c r="F968"/>
  <c r="E968"/>
  <c r="Q967"/>
  <c r="F967"/>
  <c r="E967"/>
  <c r="Q966"/>
  <c r="F966"/>
  <c r="E966"/>
  <c r="Q965"/>
  <c r="F965"/>
  <c r="E965"/>
  <c r="Q964"/>
  <c r="F964"/>
  <c r="E964"/>
  <c r="Q963"/>
  <c r="F963"/>
  <c r="C3" i="5" s="1"/>
  <c r="E963" i="3"/>
  <c r="Q962"/>
  <c r="F962"/>
  <c r="E962"/>
  <c r="Q961"/>
  <c r="T1017" s="1"/>
  <c r="F961"/>
  <c r="E961"/>
  <c r="Q960"/>
  <c r="F960"/>
  <c r="E960"/>
  <c r="Q959"/>
  <c r="F959"/>
  <c r="E959"/>
  <c r="Q958"/>
  <c r="F958"/>
  <c r="E958"/>
  <c r="Q957"/>
  <c r="F957"/>
  <c r="E957"/>
  <c r="Q956"/>
  <c r="F956"/>
  <c r="E956"/>
  <c r="Q955"/>
  <c r="F955"/>
  <c r="E955"/>
  <c r="Q954"/>
  <c r="F954"/>
  <c r="E954"/>
  <c r="Q953"/>
  <c r="F953"/>
  <c r="E953"/>
  <c r="Q952"/>
  <c r="F952"/>
  <c r="E952"/>
  <c r="Q951"/>
  <c r="F951"/>
  <c r="E951"/>
  <c r="Q950"/>
  <c r="F950"/>
  <c r="E950"/>
  <c r="Q949"/>
  <c r="F949"/>
  <c r="E949"/>
  <c r="Q948"/>
  <c r="F948"/>
  <c r="E948"/>
  <c r="Q947"/>
  <c r="Q1019" s="1"/>
  <c r="F947"/>
  <c r="E947"/>
  <c r="F946"/>
  <c r="E946"/>
  <c r="F945"/>
  <c r="E945"/>
  <c r="F944"/>
  <c r="E944"/>
  <c r="P943"/>
  <c r="F943"/>
  <c r="E943"/>
  <c r="F942"/>
  <c r="E942"/>
  <c r="F941"/>
  <c r="E941"/>
  <c r="F940"/>
  <c r="E940"/>
  <c r="F939"/>
  <c r="E939"/>
  <c r="F938"/>
  <c r="E938"/>
  <c r="F937"/>
  <c r="E937"/>
  <c r="F936"/>
  <c r="E936"/>
  <c r="F935"/>
  <c r="E935"/>
  <c r="F934"/>
  <c r="E934"/>
  <c r="F933"/>
  <c r="E933"/>
  <c r="F932"/>
  <c r="E932"/>
  <c r="F931"/>
  <c r="E931"/>
  <c r="F930"/>
  <c r="E930"/>
  <c r="F929"/>
  <c r="E929"/>
  <c r="F928"/>
  <c r="E928"/>
  <c r="F927"/>
  <c r="E927"/>
  <c r="F926"/>
  <c r="E926"/>
  <c r="F925"/>
  <c r="E925"/>
  <c r="F924"/>
  <c r="E924"/>
  <c r="F923"/>
  <c r="E923"/>
  <c r="F922"/>
  <c r="E922"/>
  <c r="F921"/>
  <c r="E921"/>
  <c r="F920"/>
  <c r="E920"/>
  <c r="F919"/>
  <c r="E919"/>
  <c r="F918"/>
  <c r="E918"/>
  <c r="F917"/>
  <c r="E917"/>
  <c r="F916"/>
  <c r="E916"/>
  <c r="F915"/>
  <c r="E915"/>
  <c r="F914"/>
  <c r="E914"/>
  <c r="F913"/>
  <c r="E913"/>
  <c r="F912"/>
  <c r="E912"/>
  <c r="F911"/>
  <c r="E911"/>
  <c r="F910"/>
  <c r="E910"/>
  <c r="F909"/>
  <c r="E909"/>
  <c r="F908"/>
  <c r="E908"/>
  <c r="F907"/>
  <c r="E907"/>
  <c r="F906"/>
  <c r="E906"/>
  <c r="F905"/>
  <c r="E905"/>
  <c r="F904"/>
  <c r="E904"/>
  <c r="F903"/>
  <c r="E903"/>
  <c r="F902"/>
  <c r="E902"/>
  <c r="F901"/>
  <c r="E901"/>
  <c r="F900"/>
  <c r="E900"/>
  <c r="F899"/>
  <c r="E899"/>
  <c r="F898"/>
  <c r="E898"/>
  <c r="F897"/>
  <c r="E897"/>
  <c r="F896"/>
  <c r="E896"/>
  <c r="F895"/>
  <c r="E895"/>
  <c r="F894"/>
  <c r="E894"/>
  <c r="F893"/>
  <c r="E893"/>
  <c r="F892"/>
  <c r="E892"/>
  <c r="F891"/>
  <c r="E891"/>
  <c r="F890"/>
  <c r="E890"/>
  <c r="F889"/>
  <c r="E889"/>
  <c r="F888"/>
  <c r="E888"/>
  <c r="F887"/>
  <c r="E887"/>
  <c r="F886"/>
  <c r="E886"/>
  <c r="F885"/>
  <c r="E885"/>
  <c r="F884"/>
  <c r="E884"/>
  <c r="F883"/>
  <c r="E883"/>
  <c r="F882"/>
  <c r="E882"/>
  <c r="F881"/>
  <c r="E881"/>
  <c r="F880"/>
  <c r="E880"/>
  <c r="F879"/>
  <c r="E879"/>
  <c r="F878"/>
  <c r="E878"/>
  <c r="F877"/>
  <c r="E877"/>
  <c r="F876"/>
  <c r="E876"/>
  <c r="F875"/>
  <c r="E875"/>
  <c r="F874"/>
  <c r="E874"/>
  <c r="F873"/>
  <c r="E873"/>
  <c r="F872"/>
  <c r="E872"/>
  <c r="F871"/>
  <c r="E871"/>
  <c r="F870"/>
  <c r="E870"/>
  <c r="F869"/>
  <c r="E869"/>
  <c r="F868"/>
  <c r="E868"/>
  <c r="F867"/>
  <c r="E867"/>
  <c r="F866"/>
  <c r="E866"/>
  <c r="F865"/>
  <c r="E865"/>
  <c r="F864"/>
  <c r="E864"/>
  <c r="F863"/>
  <c r="E863"/>
  <c r="F862"/>
  <c r="E862"/>
  <c r="F861"/>
  <c r="E861"/>
  <c r="F860"/>
  <c r="E860"/>
  <c r="F859"/>
  <c r="E859"/>
  <c r="F858"/>
  <c r="E858"/>
  <c r="F857"/>
  <c r="E857"/>
  <c r="F856"/>
  <c r="E856"/>
  <c r="F855"/>
  <c r="E855"/>
  <c r="F854"/>
  <c r="E854"/>
  <c r="F853"/>
  <c r="E853"/>
  <c r="F852"/>
  <c r="E852"/>
  <c r="F851"/>
  <c r="E851"/>
  <c r="F850"/>
  <c r="E850"/>
  <c r="F849"/>
  <c r="E849"/>
  <c r="F848"/>
  <c r="E848"/>
  <c r="F847"/>
  <c r="E847"/>
  <c r="F846"/>
  <c r="E846"/>
  <c r="F845"/>
  <c r="E845"/>
  <c r="F844"/>
  <c r="E844"/>
  <c r="F843"/>
  <c r="E843"/>
  <c r="F842"/>
  <c r="E842"/>
  <c r="F841"/>
  <c r="E841"/>
  <c r="F840"/>
  <c r="E840"/>
  <c r="F839"/>
  <c r="E839"/>
  <c r="F838"/>
  <c r="E838"/>
  <c r="F837"/>
  <c r="E837"/>
  <c r="F836"/>
  <c r="E836"/>
  <c r="F835"/>
  <c r="E835"/>
  <c r="F834"/>
  <c r="E834"/>
  <c r="F833"/>
  <c r="E833"/>
  <c r="F832"/>
  <c r="E832"/>
  <c r="F831"/>
  <c r="E831"/>
  <c r="F830"/>
  <c r="E830"/>
  <c r="F829"/>
  <c r="E829"/>
  <c r="F828"/>
  <c r="E828"/>
  <c r="F827"/>
  <c r="E827"/>
  <c r="F826"/>
  <c r="E826"/>
  <c r="F825"/>
  <c r="E825"/>
  <c r="F824"/>
  <c r="E824"/>
  <c r="F823"/>
  <c r="E823"/>
  <c r="F822"/>
  <c r="E822"/>
  <c r="F821"/>
  <c r="E821"/>
  <c r="F820"/>
  <c r="E820"/>
  <c r="F819"/>
  <c r="E819"/>
  <c r="F818"/>
  <c r="E818"/>
  <c r="F817"/>
  <c r="E817"/>
  <c r="F816"/>
  <c r="E816"/>
  <c r="F815"/>
  <c r="E815"/>
  <c r="F814"/>
  <c r="E814"/>
  <c r="F813"/>
  <c r="E813"/>
  <c r="F812"/>
  <c r="E812"/>
  <c r="F811"/>
  <c r="E811"/>
  <c r="F810"/>
  <c r="E810"/>
  <c r="F809"/>
  <c r="E809"/>
  <c r="F808"/>
  <c r="E808"/>
  <c r="F807"/>
  <c r="E807"/>
  <c r="F806"/>
  <c r="E806"/>
  <c r="F805"/>
  <c r="E805"/>
  <c r="F804"/>
  <c r="E804"/>
  <c r="F803"/>
  <c r="E803"/>
  <c r="F802"/>
  <c r="E802"/>
  <c r="F801"/>
  <c r="E801"/>
  <c r="F800"/>
  <c r="E800"/>
  <c r="F799"/>
  <c r="E799"/>
  <c r="F798"/>
  <c r="E798"/>
  <c r="F797"/>
  <c r="E797"/>
  <c r="F796"/>
  <c r="E796"/>
  <c r="F795"/>
  <c r="E795"/>
  <c r="F794"/>
  <c r="E794"/>
  <c r="F793"/>
  <c r="E793"/>
  <c r="F792"/>
  <c r="E792"/>
  <c r="F791"/>
  <c r="E791"/>
  <c r="F790"/>
  <c r="E790"/>
  <c r="F789"/>
  <c r="E789"/>
  <c r="F788"/>
  <c r="E788"/>
  <c r="F787"/>
  <c r="E787"/>
  <c r="F786"/>
  <c r="E786"/>
  <c r="F785"/>
  <c r="E785"/>
  <c r="F784"/>
  <c r="E784"/>
  <c r="F783"/>
  <c r="E783"/>
  <c r="F782"/>
  <c r="E782"/>
  <c r="F781"/>
  <c r="E781"/>
  <c r="F780"/>
  <c r="E780"/>
  <c r="F779"/>
  <c r="E779"/>
  <c r="F778"/>
  <c r="E778"/>
  <c r="F777"/>
  <c r="E777"/>
  <c r="F776"/>
  <c r="E776"/>
  <c r="F775"/>
  <c r="E775"/>
  <c r="F774"/>
  <c r="E774"/>
  <c r="F773"/>
  <c r="E773"/>
  <c r="F772"/>
  <c r="E772"/>
  <c r="F771"/>
  <c r="E771"/>
  <c r="F770"/>
  <c r="E770"/>
  <c r="F769"/>
  <c r="E769"/>
  <c r="F768"/>
  <c r="E768"/>
  <c r="F767"/>
  <c r="E767"/>
  <c r="F766"/>
  <c r="E766"/>
  <c r="F765"/>
  <c r="E765"/>
  <c r="F764"/>
  <c r="E764"/>
  <c r="F763"/>
  <c r="E763"/>
  <c r="F762"/>
  <c r="E762"/>
  <c r="F761"/>
  <c r="E761"/>
  <c r="F760"/>
  <c r="E760"/>
  <c r="F759"/>
  <c r="E759"/>
  <c r="F758"/>
  <c r="E758"/>
  <c r="F757"/>
  <c r="E757"/>
  <c r="F756"/>
  <c r="E756"/>
  <c r="F755"/>
  <c r="E755"/>
  <c r="F754"/>
  <c r="E754"/>
  <c r="F753"/>
  <c r="E753"/>
  <c r="F752"/>
  <c r="E752"/>
  <c r="F751"/>
  <c r="E751"/>
  <c r="F750"/>
  <c r="E750"/>
  <c r="F749"/>
  <c r="E749"/>
  <c r="F748"/>
  <c r="E748"/>
  <c r="F747"/>
  <c r="E747"/>
  <c r="F746"/>
  <c r="E746"/>
  <c r="F745"/>
  <c r="E745"/>
  <c r="F744"/>
  <c r="E744"/>
  <c r="F743"/>
  <c r="E743"/>
  <c r="F742"/>
  <c r="E742"/>
  <c r="F741"/>
  <c r="E741"/>
  <c r="F740"/>
  <c r="E740"/>
  <c r="F739"/>
  <c r="E739"/>
  <c r="F738"/>
  <c r="E738"/>
  <c r="F737"/>
  <c r="E737"/>
  <c r="F736"/>
  <c r="E736"/>
  <c r="F735"/>
  <c r="E735"/>
  <c r="F734"/>
  <c r="E734"/>
  <c r="F733"/>
  <c r="E733"/>
  <c r="F732"/>
  <c r="E732"/>
  <c r="F731"/>
  <c r="E731"/>
  <c r="F730"/>
  <c r="E730"/>
  <c r="F729"/>
  <c r="E729"/>
  <c r="F728"/>
  <c r="E728"/>
  <c r="F727"/>
  <c r="E727"/>
  <c r="F726"/>
  <c r="E726"/>
  <c r="F725"/>
  <c r="E725"/>
  <c r="F724"/>
  <c r="E724"/>
  <c r="F723"/>
  <c r="E723"/>
  <c r="F722"/>
  <c r="E722"/>
  <c r="F721"/>
  <c r="E721"/>
  <c r="F720"/>
  <c r="E720"/>
  <c r="F719"/>
  <c r="E719"/>
  <c r="F718"/>
  <c r="E718"/>
  <c r="F717"/>
  <c r="E717"/>
  <c r="F716"/>
  <c r="E716"/>
  <c r="F715"/>
  <c r="E715"/>
  <c r="F714"/>
  <c r="E714"/>
  <c r="F713"/>
  <c r="E713"/>
  <c r="F712"/>
  <c r="E712"/>
  <c r="F711"/>
  <c r="E711"/>
  <c r="F710"/>
  <c r="E710"/>
  <c r="F709"/>
  <c r="E709"/>
  <c r="F708"/>
  <c r="E708"/>
  <c r="F707"/>
  <c r="E707"/>
  <c r="F706"/>
  <c r="E706"/>
  <c r="F705"/>
  <c r="E705"/>
  <c r="F704"/>
  <c r="E704"/>
  <c r="F703"/>
  <c r="E703"/>
  <c r="F702"/>
  <c r="E702"/>
  <c r="F701"/>
  <c r="E701"/>
  <c r="F700"/>
  <c r="E700"/>
  <c r="F699"/>
  <c r="E699"/>
  <c r="F698"/>
  <c r="E698"/>
  <c r="F697"/>
  <c r="E697"/>
  <c r="F696"/>
  <c r="E696"/>
  <c r="F695"/>
  <c r="E695"/>
  <c r="F694"/>
  <c r="E694"/>
  <c r="F693"/>
  <c r="E693"/>
  <c r="F692"/>
  <c r="E692"/>
  <c r="F691"/>
  <c r="E691"/>
  <c r="F690"/>
  <c r="E690"/>
  <c r="F689"/>
  <c r="E689"/>
  <c r="F688"/>
  <c r="E688"/>
  <c r="F687"/>
  <c r="E687"/>
  <c r="F686"/>
  <c r="E686"/>
  <c r="F685"/>
  <c r="E685"/>
  <c r="F684"/>
  <c r="E684"/>
  <c r="F683"/>
  <c r="E683"/>
  <c r="F682"/>
  <c r="E682"/>
  <c r="F681"/>
  <c r="E681"/>
  <c r="F680"/>
  <c r="E680"/>
  <c r="F679"/>
  <c r="E679"/>
  <c r="F678"/>
  <c r="E678"/>
  <c r="F677"/>
  <c r="E677"/>
  <c r="F676"/>
  <c r="E676"/>
  <c r="F675"/>
  <c r="E675"/>
  <c r="F674"/>
  <c r="E674"/>
  <c r="F673"/>
  <c r="E673"/>
  <c r="F672"/>
  <c r="E672"/>
  <c r="F671"/>
  <c r="E671"/>
  <c r="F670"/>
  <c r="E670"/>
  <c r="F669"/>
  <c r="E669"/>
  <c r="F668"/>
  <c r="E668"/>
  <c r="F667"/>
  <c r="E667"/>
  <c r="F666"/>
  <c r="E666"/>
  <c r="F665"/>
  <c r="E665"/>
  <c r="F664"/>
  <c r="E664"/>
  <c r="F663"/>
  <c r="E663"/>
  <c r="F662"/>
  <c r="E662"/>
  <c r="F661"/>
  <c r="E661"/>
  <c r="F660"/>
  <c r="E660"/>
  <c r="F659"/>
  <c r="E659"/>
  <c r="F658"/>
  <c r="E658"/>
  <c r="F657"/>
  <c r="E657"/>
  <c r="F656"/>
  <c r="E656"/>
  <c r="F655"/>
  <c r="E655"/>
  <c r="F654"/>
  <c r="E654"/>
  <c r="F653"/>
  <c r="E653"/>
  <c r="F652"/>
  <c r="E652"/>
  <c r="F651"/>
  <c r="E651"/>
  <c r="F650"/>
  <c r="E650"/>
  <c r="F649"/>
  <c r="E649"/>
  <c r="F648"/>
  <c r="E648"/>
  <c r="F647"/>
  <c r="E647"/>
  <c r="F646"/>
  <c r="E646"/>
  <c r="F645"/>
  <c r="E645"/>
  <c r="F644"/>
  <c r="E644"/>
  <c r="F643"/>
  <c r="E643"/>
  <c r="F642"/>
  <c r="E642"/>
  <c r="F641"/>
  <c r="E641"/>
  <c r="F640"/>
  <c r="E640"/>
  <c r="F639"/>
  <c r="E639"/>
  <c r="F638"/>
  <c r="E638"/>
  <c r="F637"/>
  <c r="E637"/>
  <c r="F636"/>
  <c r="E636"/>
  <c r="F635"/>
  <c r="E635"/>
  <c r="F634"/>
  <c r="E634"/>
  <c r="F633"/>
  <c r="E633"/>
  <c r="F632"/>
  <c r="E632"/>
  <c r="F631"/>
  <c r="E631"/>
  <c r="F630"/>
  <c r="E630"/>
  <c r="F629"/>
  <c r="E629"/>
  <c r="F628"/>
  <c r="E628"/>
  <c r="F627"/>
  <c r="E627"/>
  <c r="F626"/>
  <c r="E626"/>
  <c r="F625"/>
  <c r="E625"/>
  <c r="F624"/>
  <c r="E624"/>
  <c r="F623"/>
  <c r="E623"/>
  <c r="F622"/>
  <c r="E622"/>
  <c r="F621"/>
  <c r="E621"/>
  <c r="F620"/>
  <c r="E620"/>
  <c r="F619"/>
  <c r="E619"/>
  <c r="F618"/>
  <c r="E618"/>
  <c r="F617"/>
  <c r="E617"/>
  <c r="F616"/>
  <c r="E616"/>
  <c r="F615"/>
  <c r="E615"/>
  <c r="F614"/>
  <c r="E614"/>
  <c r="F613"/>
  <c r="E613"/>
  <c r="F612"/>
  <c r="E612"/>
  <c r="F611"/>
  <c r="E611"/>
  <c r="F610"/>
  <c r="E610"/>
  <c r="F609"/>
  <c r="E609"/>
  <c r="F608"/>
  <c r="E608"/>
  <c r="F607"/>
  <c r="E607"/>
  <c r="F606"/>
  <c r="E606"/>
  <c r="F605"/>
  <c r="E605"/>
  <c r="F604"/>
  <c r="E604"/>
  <c r="F603"/>
  <c r="E603"/>
  <c r="F602"/>
  <c r="E602"/>
  <c r="F601"/>
  <c r="E601"/>
  <c r="F600"/>
  <c r="E600"/>
  <c r="F599"/>
  <c r="E599"/>
  <c r="F598"/>
  <c r="E598"/>
  <c r="F597"/>
  <c r="E597"/>
  <c r="F596"/>
  <c r="E596"/>
  <c r="F595"/>
  <c r="E595"/>
  <c r="F594"/>
  <c r="E594"/>
  <c r="F593"/>
  <c r="E593"/>
  <c r="F592"/>
  <c r="E592"/>
  <c r="F591"/>
  <c r="E591"/>
  <c r="F590"/>
  <c r="E590"/>
  <c r="F589"/>
  <c r="E589"/>
  <c r="F588"/>
  <c r="E588"/>
  <c r="F587"/>
  <c r="E587"/>
  <c r="F586"/>
  <c r="E586"/>
  <c r="F585"/>
  <c r="E585"/>
  <c r="F584"/>
  <c r="E584"/>
  <c r="F583"/>
  <c r="E583"/>
  <c r="F582"/>
  <c r="E582"/>
  <c r="F581"/>
  <c r="E581"/>
  <c r="F580"/>
  <c r="E580"/>
  <c r="F579"/>
  <c r="E579"/>
  <c r="F578"/>
  <c r="E578"/>
  <c r="F577"/>
  <c r="E577"/>
  <c r="F576"/>
  <c r="E576"/>
  <c r="F575"/>
  <c r="E575"/>
  <c r="F574"/>
  <c r="E574"/>
  <c r="F573"/>
  <c r="E573"/>
  <c r="F572"/>
  <c r="E572"/>
  <c r="F571"/>
  <c r="E571"/>
  <c r="F570"/>
  <c r="E570"/>
  <c r="F569"/>
  <c r="E569"/>
  <c r="F568"/>
  <c r="E568"/>
  <c r="F567"/>
  <c r="E567"/>
  <c r="F566"/>
  <c r="E566"/>
  <c r="F565"/>
  <c r="E565"/>
  <c r="F564"/>
  <c r="E564"/>
  <c r="F563"/>
  <c r="E563"/>
  <c r="F562"/>
  <c r="E562"/>
  <c r="F561"/>
  <c r="E561"/>
  <c r="F560"/>
  <c r="E560"/>
  <c r="F559"/>
  <c r="E559"/>
  <c r="F558"/>
  <c r="E558"/>
  <c r="F557"/>
  <c r="E557"/>
  <c r="F556"/>
  <c r="E556"/>
  <c r="F555"/>
  <c r="E555"/>
  <c r="F554"/>
  <c r="E554"/>
  <c r="F553"/>
  <c r="E553"/>
  <c r="F552"/>
  <c r="E552"/>
  <c r="F551"/>
  <c r="E551"/>
  <c r="F550"/>
  <c r="E550"/>
  <c r="F549"/>
  <c r="E549"/>
  <c r="F548"/>
  <c r="E548"/>
  <c r="F547"/>
  <c r="E547"/>
  <c r="F546"/>
  <c r="E546"/>
  <c r="F545"/>
  <c r="E545"/>
  <c r="F544"/>
  <c r="E544"/>
  <c r="F543"/>
  <c r="E543"/>
  <c r="F542"/>
  <c r="E542"/>
  <c r="F541"/>
  <c r="E541"/>
  <c r="F540"/>
  <c r="E540"/>
  <c r="F539"/>
  <c r="E539"/>
  <c r="F538"/>
  <c r="E538"/>
  <c r="F537"/>
  <c r="E537"/>
  <c r="F536"/>
  <c r="E536"/>
  <c r="F535"/>
  <c r="E535"/>
  <c r="F534"/>
  <c r="E534"/>
  <c r="F533"/>
  <c r="E533"/>
  <c r="F532"/>
  <c r="E532"/>
  <c r="F531"/>
  <c r="E531"/>
  <c r="F530"/>
  <c r="E530"/>
  <c r="F529"/>
  <c r="E529"/>
  <c r="F528"/>
  <c r="E528"/>
  <c r="F527"/>
  <c r="E527"/>
  <c r="F526"/>
  <c r="E526"/>
  <c r="F525"/>
  <c r="E525"/>
  <c r="F524"/>
  <c r="E524"/>
  <c r="F523"/>
  <c r="E523"/>
  <c r="F522"/>
  <c r="E522"/>
  <c r="F521"/>
  <c r="E521"/>
  <c r="F520"/>
  <c r="E520"/>
  <c r="F519"/>
  <c r="E519"/>
  <c r="F518"/>
  <c r="E518"/>
  <c r="F517"/>
  <c r="E517"/>
  <c r="F516"/>
  <c r="E516"/>
  <c r="F515"/>
  <c r="E515"/>
  <c r="F514"/>
  <c r="E514"/>
  <c r="F513"/>
  <c r="E513"/>
  <c r="F512"/>
  <c r="E512"/>
  <c r="F511"/>
  <c r="E511"/>
  <c r="F510"/>
  <c r="E510"/>
  <c r="F509"/>
  <c r="E509"/>
  <c r="F508"/>
  <c r="E508"/>
  <c r="F507"/>
  <c r="E507"/>
  <c r="F506"/>
  <c r="E506"/>
  <c r="F505"/>
  <c r="E505"/>
  <c r="F504"/>
  <c r="E504"/>
  <c r="F503"/>
  <c r="E503"/>
  <c r="F502"/>
  <c r="E502"/>
  <c r="F501"/>
  <c r="E501"/>
  <c r="F500"/>
  <c r="E500"/>
  <c r="F499"/>
  <c r="E499"/>
  <c r="F498"/>
  <c r="E498"/>
  <c r="F497"/>
  <c r="E497"/>
  <c r="F496"/>
  <c r="E496"/>
  <c r="F495"/>
  <c r="E495"/>
  <c r="F494"/>
  <c r="E494"/>
  <c r="F493"/>
  <c r="E493"/>
  <c r="F492"/>
  <c r="E492"/>
  <c r="F491"/>
  <c r="E491"/>
  <c r="F490"/>
  <c r="E490"/>
  <c r="F489"/>
  <c r="E489"/>
  <c r="F488"/>
  <c r="E488"/>
  <c r="F487"/>
  <c r="E487"/>
  <c r="F486"/>
  <c r="E486"/>
  <c r="F485"/>
  <c r="E485"/>
  <c r="F484"/>
  <c r="E484"/>
  <c r="F483"/>
  <c r="E483"/>
  <c r="F482"/>
  <c r="E482"/>
  <c r="F481"/>
  <c r="E481"/>
  <c r="F480"/>
  <c r="E480"/>
  <c r="F479"/>
  <c r="E479"/>
  <c r="F478"/>
  <c r="E478"/>
  <c r="F477"/>
  <c r="E477"/>
  <c r="F476"/>
  <c r="E476"/>
  <c r="F475"/>
  <c r="E475"/>
  <c r="F474"/>
  <c r="E474"/>
  <c r="F473"/>
  <c r="E473"/>
  <c r="F472"/>
  <c r="E472"/>
  <c r="F471"/>
  <c r="E471"/>
  <c r="F470"/>
  <c r="E470"/>
  <c r="F469"/>
  <c r="E469"/>
  <c r="F468"/>
  <c r="E468"/>
  <c r="F467"/>
  <c r="E467"/>
  <c r="F466"/>
  <c r="E466"/>
  <c r="F465"/>
  <c r="E465"/>
  <c r="F464"/>
  <c r="E464"/>
  <c r="F463"/>
  <c r="E463"/>
  <c r="F462"/>
  <c r="E462"/>
  <c r="F461"/>
  <c r="E461"/>
  <c r="F460"/>
  <c r="E460"/>
  <c r="F459"/>
  <c r="E459"/>
  <c r="F458"/>
  <c r="E458"/>
  <c r="F457"/>
  <c r="E457"/>
  <c r="F456"/>
  <c r="E456"/>
  <c r="F455"/>
  <c r="E455"/>
  <c r="F454"/>
  <c r="E454"/>
  <c r="F453"/>
  <c r="E453"/>
  <c r="F452"/>
  <c r="E452"/>
  <c r="F451"/>
  <c r="E451"/>
  <c r="F450"/>
  <c r="E450"/>
  <c r="F449"/>
  <c r="E449"/>
  <c r="F448"/>
  <c r="E448"/>
  <c r="F447"/>
  <c r="E447"/>
  <c r="F446"/>
  <c r="E446"/>
  <c r="F445"/>
  <c r="E445"/>
  <c r="F444"/>
  <c r="E444"/>
  <c r="F443"/>
  <c r="E443"/>
  <c r="F442"/>
  <c r="E442"/>
  <c r="F441"/>
  <c r="E441"/>
  <c r="F440"/>
  <c r="E440"/>
  <c r="F439"/>
  <c r="E439"/>
  <c r="F438"/>
  <c r="E438"/>
  <c r="F437"/>
  <c r="E437"/>
  <c r="F436"/>
  <c r="E436"/>
  <c r="F435"/>
  <c r="E435"/>
  <c r="F434"/>
  <c r="E434"/>
  <c r="F433"/>
  <c r="E433"/>
  <c r="F432"/>
  <c r="E432"/>
  <c r="F431"/>
  <c r="E431"/>
  <c r="F430"/>
  <c r="E430"/>
  <c r="F429"/>
  <c r="E429"/>
  <c r="F428"/>
  <c r="E428"/>
  <c r="F427"/>
  <c r="E427"/>
  <c r="F426"/>
  <c r="E426"/>
  <c r="F425"/>
  <c r="E425"/>
  <c r="F424"/>
  <c r="E424"/>
  <c r="F423"/>
  <c r="E423"/>
  <c r="F422"/>
  <c r="E422"/>
  <c r="F421"/>
  <c r="E421"/>
  <c r="F420"/>
  <c r="E420"/>
  <c r="F419"/>
  <c r="E419"/>
  <c r="F418"/>
  <c r="E418"/>
  <c r="F417"/>
  <c r="E417"/>
  <c r="F416"/>
  <c r="E416"/>
  <c r="F415"/>
  <c r="E415"/>
  <c r="F414"/>
  <c r="E414"/>
  <c r="F413"/>
  <c r="E413"/>
  <c r="F412"/>
  <c r="E412"/>
  <c r="F411"/>
  <c r="E411"/>
  <c r="F410"/>
  <c r="E410"/>
  <c r="F409"/>
  <c r="E409"/>
  <c r="F408"/>
  <c r="E408"/>
  <c r="F407"/>
  <c r="E407"/>
  <c r="F406"/>
  <c r="E406"/>
  <c r="F405"/>
  <c r="E405"/>
  <c r="F404"/>
  <c r="E404"/>
  <c r="F403"/>
  <c r="E403"/>
  <c r="F402"/>
  <c r="E402"/>
  <c r="F401"/>
  <c r="E401"/>
  <c r="F400"/>
  <c r="E400"/>
  <c r="F399"/>
  <c r="E399"/>
  <c r="F398"/>
  <c r="E398"/>
  <c r="F397"/>
  <c r="E397"/>
  <c r="F396"/>
  <c r="E396"/>
  <c r="F395"/>
  <c r="E395"/>
  <c r="F394"/>
  <c r="E394"/>
  <c r="F393"/>
  <c r="E393"/>
  <c r="F392"/>
  <c r="E392"/>
  <c r="F391"/>
  <c r="E391"/>
  <c r="F390"/>
  <c r="E390"/>
  <c r="F389"/>
  <c r="E389"/>
  <c r="F388"/>
  <c r="E388"/>
  <c r="F387"/>
  <c r="E387"/>
  <c r="F386"/>
  <c r="E386"/>
  <c r="F385"/>
  <c r="E385"/>
  <c r="F384"/>
  <c r="E384"/>
  <c r="F383"/>
  <c r="E383"/>
  <c r="F382"/>
  <c r="E382"/>
  <c r="F381"/>
  <c r="E381"/>
  <c r="F380"/>
  <c r="E380"/>
  <c r="F379"/>
  <c r="E379"/>
  <c r="F378"/>
  <c r="E378"/>
  <c r="F377"/>
  <c r="E377"/>
  <c r="F376"/>
  <c r="E376"/>
  <c r="F375"/>
  <c r="E375"/>
  <c r="F374"/>
  <c r="E374"/>
  <c r="F373"/>
  <c r="E373"/>
  <c r="F372"/>
  <c r="E372"/>
  <c r="F371"/>
  <c r="E371"/>
  <c r="F370"/>
  <c r="E370"/>
  <c r="F369"/>
  <c r="E369"/>
  <c r="F368"/>
  <c r="E368"/>
  <c r="F367"/>
  <c r="E367"/>
  <c r="F366"/>
  <c r="E366"/>
  <c r="F365"/>
  <c r="E365"/>
  <c r="F364"/>
  <c r="E364"/>
  <c r="F363"/>
  <c r="E363"/>
  <c r="F362"/>
  <c r="E362"/>
  <c r="F361"/>
  <c r="E361"/>
  <c r="F360"/>
  <c r="E360"/>
  <c r="F359"/>
  <c r="E359"/>
  <c r="F358"/>
  <c r="E358"/>
  <c r="F357"/>
  <c r="E357"/>
  <c r="F356"/>
  <c r="E356"/>
  <c r="F355"/>
  <c r="E355"/>
  <c r="F354"/>
  <c r="E354"/>
  <c r="F353"/>
  <c r="E353"/>
  <c r="F352"/>
  <c r="E352"/>
  <c r="F351"/>
  <c r="E351"/>
  <c r="F350"/>
  <c r="E350"/>
  <c r="F349"/>
  <c r="E349"/>
  <c r="F348"/>
  <c r="E348"/>
  <c r="F347"/>
  <c r="E347"/>
  <c r="F346"/>
  <c r="E346"/>
  <c r="F345"/>
  <c r="E345"/>
  <c r="F344"/>
  <c r="E344"/>
  <c r="F343"/>
  <c r="E343"/>
  <c r="F342"/>
  <c r="E342"/>
  <c r="F341"/>
  <c r="E341"/>
  <c r="F340"/>
  <c r="E340"/>
  <c r="F339"/>
  <c r="E339"/>
  <c r="F338"/>
  <c r="E338"/>
  <c r="F337"/>
  <c r="E337"/>
  <c r="F336"/>
  <c r="E336"/>
  <c r="F335"/>
  <c r="E335"/>
  <c r="F334"/>
  <c r="E334"/>
  <c r="F333"/>
  <c r="E333"/>
  <c r="F332"/>
  <c r="E332"/>
  <c r="F331"/>
  <c r="E331"/>
  <c r="F330"/>
  <c r="E330"/>
  <c r="F329"/>
  <c r="E329"/>
  <c r="F328"/>
  <c r="E328"/>
  <c r="F327"/>
  <c r="E327"/>
  <c r="F326"/>
  <c r="E326"/>
  <c r="F325"/>
  <c r="E325"/>
  <c r="F324"/>
  <c r="E324"/>
  <c r="F323"/>
  <c r="E323"/>
  <c r="F322"/>
  <c r="E322"/>
  <c r="F321"/>
  <c r="E321"/>
  <c r="F320"/>
  <c r="E320"/>
  <c r="F319"/>
  <c r="E319"/>
  <c r="F318"/>
  <c r="E318"/>
  <c r="F317"/>
  <c r="E317"/>
  <c r="F316"/>
  <c r="E316"/>
  <c r="F315"/>
  <c r="E315"/>
  <c r="F314"/>
  <c r="E314"/>
  <c r="F313"/>
  <c r="E313"/>
  <c r="F312"/>
  <c r="E312"/>
  <c r="F311"/>
  <c r="E311"/>
  <c r="F310"/>
  <c r="E310"/>
  <c r="F309"/>
  <c r="E309"/>
  <c r="F308"/>
  <c r="E308"/>
  <c r="F307"/>
  <c r="E307"/>
  <c r="F306"/>
  <c r="E306"/>
  <c r="F305"/>
  <c r="E305"/>
  <c r="F304"/>
  <c r="E304"/>
  <c r="F303"/>
  <c r="E303"/>
  <c r="F302"/>
  <c r="E302"/>
  <c r="F301"/>
  <c r="E301"/>
  <c r="F300"/>
  <c r="E300"/>
  <c r="F299"/>
  <c r="E299"/>
  <c r="F298"/>
  <c r="E298"/>
  <c r="F297"/>
  <c r="E297"/>
  <c r="F296"/>
  <c r="E296"/>
  <c r="F295"/>
  <c r="E295"/>
  <c r="F294"/>
  <c r="E294"/>
  <c r="F293"/>
  <c r="E293"/>
  <c r="F292"/>
  <c r="E292"/>
  <c r="F291"/>
  <c r="E291"/>
  <c r="F290"/>
  <c r="E290"/>
  <c r="F289"/>
  <c r="E289"/>
  <c r="F288"/>
  <c r="E288"/>
  <c r="F287"/>
  <c r="E287"/>
  <c r="F286"/>
  <c r="E286"/>
  <c r="F285"/>
  <c r="E285"/>
  <c r="F284"/>
  <c r="E284"/>
  <c r="F283"/>
  <c r="E283"/>
  <c r="F282"/>
  <c r="E282"/>
  <c r="F281"/>
  <c r="E281"/>
  <c r="F280"/>
  <c r="E280"/>
  <c r="F279"/>
  <c r="E279"/>
  <c r="F278"/>
  <c r="E278"/>
  <c r="F277"/>
  <c r="E277"/>
  <c r="F276"/>
  <c r="E276"/>
  <c r="F275"/>
  <c r="E275"/>
  <c r="F274"/>
  <c r="E274"/>
  <c r="F273"/>
  <c r="E273"/>
  <c r="F272"/>
  <c r="E272"/>
  <c r="F271"/>
  <c r="E271"/>
  <c r="F270"/>
  <c r="E270"/>
  <c r="F269"/>
  <c r="E269"/>
  <c r="F268"/>
  <c r="E268"/>
  <c r="F267"/>
  <c r="E267"/>
  <c r="F266"/>
  <c r="E266"/>
  <c r="F265"/>
  <c r="E265"/>
  <c r="F264"/>
  <c r="E264"/>
  <c r="F263"/>
  <c r="E263"/>
  <c r="F262"/>
  <c r="E262"/>
  <c r="F261"/>
  <c r="E261"/>
  <c r="F260"/>
  <c r="E260"/>
  <c r="F259"/>
  <c r="E259"/>
  <c r="F258"/>
  <c r="E258"/>
  <c r="F257"/>
  <c r="E257"/>
  <c r="F256"/>
  <c r="E256"/>
  <c r="F255"/>
  <c r="E255"/>
  <c r="F254"/>
  <c r="E254"/>
  <c r="F253"/>
  <c r="E253"/>
  <c r="F252"/>
  <c r="E252"/>
  <c r="F251"/>
  <c r="E251"/>
  <c r="F250"/>
  <c r="E250"/>
  <c r="F249"/>
  <c r="E249"/>
  <c r="F248"/>
  <c r="E248"/>
  <c r="F247"/>
  <c r="E247"/>
  <c r="F246"/>
  <c r="E246"/>
  <c r="F245"/>
  <c r="E245"/>
  <c r="F244"/>
  <c r="E244"/>
  <c r="F243"/>
  <c r="E243"/>
  <c r="F242"/>
  <c r="E242"/>
  <c r="F241"/>
  <c r="E241"/>
  <c r="F240"/>
  <c r="E240"/>
  <c r="F239"/>
  <c r="E239"/>
  <c r="F238"/>
  <c r="E238"/>
  <c r="F237"/>
  <c r="E237"/>
  <c r="F236"/>
  <c r="E236"/>
  <c r="F235"/>
  <c r="E235"/>
  <c r="F234"/>
  <c r="E234"/>
  <c r="F233"/>
  <c r="E233"/>
  <c r="F232"/>
  <c r="E232"/>
  <c r="F231"/>
  <c r="E231"/>
  <c r="F230"/>
  <c r="E230"/>
  <c r="F229"/>
  <c r="E229"/>
  <c r="F228"/>
  <c r="E228"/>
  <c r="F227"/>
  <c r="E227"/>
  <c r="F226"/>
  <c r="E226"/>
  <c r="F225"/>
  <c r="E225"/>
  <c r="F224"/>
  <c r="E224"/>
  <c r="F223"/>
  <c r="E223"/>
  <c r="F222"/>
  <c r="E222"/>
  <c r="F221"/>
  <c r="E221"/>
  <c r="F220"/>
  <c r="E220"/>
  <c r="F219"/>
  <c r="E219"/>
  <c r="F218"/>
  <c r="E218"/>
  <c r="F217"/>
  <c r="E217"/>
  <c r="F216"/>
  <c r="E216"/>
  <c r="F215"/>
  <c r="E215"/>
  <c r="F214"/>
  <c r="E214"/>
  <c r="F213"/>
  <c r="E213"/>
  <c r="F212"/>
  <c r="E212"/>
  <c r="F211"/>
  <c r="E211"/>
  <c r="F210"/>
  <c r="E210"/>
  <c r="F209"/>
  <c r="E209"/>
  <c r="F208"/>
  <c r="E208"/>
  <c r="F207"/>
  <c r="E207"/>
  <c r="F206"/>
  <c r="E206"/>
  <c r="F205"/>
  <c r="E205"/>
  <c r="F204"/>
  <c r="E204"/>
  <c r="F203"/>
  <c r="E203"/>
  <c r="F202"/>
  <c r="E202"/>
  <c r="F201"/>
  <c r="E201"/>
  <c r="F200"/>
  <c r="E200"/>
  <c r="F199"/>
  <c r="E199"/>
  <c r="F198"/>
  <c r="E198"/>
  <c r="F197"/>
  <c r="E197"/>
  <c r="F196"/>
  <c r="E196"/>
  <c r="F195"/>
  <c r="E195"/>
  <c r="F194"/>
  <c r="E194"/>
  <c r="F193"/>
  <c r="E193"/>
  <c r="F192"/>
  <c r="E192"/>
  <c r="F191"/>
  <c r="E191"/>
  <c r="F190"/>
  <c r="E190"/>
  <c r="F189"/>
  <c r="E189"/>
  <c r="F188"/>
  <c r="E188"/>
  <c r="F187"/>
  <c r="E187"/>
  <c r="F186"/>
  <c r="E186"/>
  <c r="F185"/>
  <c r="E185"/>
  <c r="F184"/>
  <c r="E184"/>
  <c r="F183"/>
  <c r="E183"/>
  <c r="F182"/>
  <c r="E182"/>
  <c r="F181"/>
  <c r="E181"/>
  <c r="F180"/>
  <c r="E180"/>
  <c r="F179"/>
  <c r="E179"/>
  <c r="F178"/>
  <c r="E178"/>
  <c r="F177"/>
  <c r="E177"/>
  <c r="F176"/>
  <c r="E176"/>
  <c r="F175"/>
  <c r="E175"/>
  <c r="F174"/>
  <c r="E174"/>
  <c r="F173"/>
  <c r="E173"/>
  <c r="F172"/>
  <c r="E172"/>
  <c r="F171"/>
  <c r="E171"/>
  <c r="F170"/>
  <c r="E170"/>
  <c r="F169"/>
  <c r="E169"/>
  <c r="F168"/>
  <c r="E168"/>
  <c r="F167"/>
  <c r="E167"/>
  <c r="F166"/>
  <c r="E166"/>
  <c r="F165"/>
  <c r="E165"/>
  <c r="F164"/>
  <c r="E164"/>
  <c r="F163"/>
  <c r="E163"/>
  <c r="F162"/>
  <c r="E162"/>
  <c r="F161"/>
  <c r="E161"/>
  <c r="F160"/>
  <c r="E160"/>
  <c r="F159"/>
  <c r="E159"/>
  <c r="F158"/>
  <c r="E158"/>
  <c r="F157"/>
  <c r="E157"/>
  <c r="F156"/>
  <c r="E156"/>
  <c r="F155"/>
  <c r="E155"/>
  <c r="F154"/>
  <c r="E154"/>
  <c r="F153"/>
  <c r="E153"/>
  <c r="F152"/>
  <c r="E152"/>
  <c r="F151"/>
  <c r="E151"/>
  <c r="F150"/>
  <c r="E150"/>
  <c r="F149"/>
  <c r="E149"/>
  <c r="F148"/>
  <c r="E148"/>
  <c r="F147"/>
  <c r="E147"/>
  <c r="F146"/>
  <c r="E146"/>
  <c r="F145"/>
  <c r="E145"/>
  <c r="F144"/>
  <c r="E144"/>
  <c r="F143"/>
  <c r="E143"/>
  <c r="F142"/>
  <c r="E142"/>
  <c r="F141"/>
  <c r="E141"/>
  <c r="F140"/>
  <c r="E140"/>
  <c r="F139"/>
  <c r="E139"/>
  <c r="F138"/>
  <c r="E138"/>
  <c r="F137"/>
  <c r="E137"/>
  <c r="F136"/>
  <c r="E136"/>
  <c r="F135"/>
  <c r="E135"/>
  <c r="F134"/>
  <c r="E134"/>
  <c r="F133"/>
  <c r="E133"/>
  <c r="F132"/>
  <c r="E132"/>
  <c r="F131"/>
  <c r="E131"/>
  <c r="F130"/>
  <c r="E130"/>
  <c r="F129"/>
  <c r="E129"/>
  <c r="F128"/>
  <c r="E128"/>
  <c r="F127"/>
  <c r="E127"/>
  <c r="F126"/>
  <c r="E126"/>
  <c r="F125"/>
  <c r="E125"/>
  <c r="F124"/>
  <c r="E124"/>
  <c r="F123"/>
  <c r="E123"/>
  <c r="F122"/>
  <c r="E122"/>
  <c r="F121"/>
  <c r="E121"/>
  <c r="F120"/>
  <c r="E120"/>
  <c r="F119"/>
  <c r="E119"/>
  <c r="F118"/>
  <c r="E118"/>
  <c r="F117"/>
  <c r="E117"/>
  <c r="F116"/>
  <c r="E116"/>
  <c r="F115"/>
  <c r="E115"/>
  <c r="F114"/>
  <c r="E114"/>
  <c r="F113"/>
  <c r="E113"/>
  <c r="F112"/>
  <c r="E112"/>
  <c r="F111"/>
  <c r="E111"/>
  <c r="F110"/>
  <c r="E110"/>
  <c r="F109"/>
  <c r="E109"/>
  <c r="F108"/>
  <c r="E108"/>
  <c r="F107"/>
  <c r="E107"/>
  <c r="F106"/>
  <c r="E106"/>
  <c r="F105"/>
  <c r="E105"/>
  <c r="F104"/>
  <c r="E104"/>
  <c r="F103"/>
  <c r="E103"/>
  <c r="F102"/>
  <c r="E102"/>
  <c r="F101"/>
  <c r="E101"/>
  <c r="F100"/>
  <c r="E100"/>
  <c r="F99"/>
  <c r="E99"/>
  <c r="F98"/>
  <c r="E98"/>
  <c r="F97"/>
  <c r="E97"/>
  <c r="F96"/>
  <c r="E96"/>
  <c r="F95"/>
  <c r="E95"/>
  <c r="F94"/>
  <c r="E94"/>
  <c r="F93"/>
  <c r="E93"/>
  <c r="F92"/>
  <c r="E92"/>
  <c r="F91"/>
  <c r="E91"/>
  <c r="F90"/>
  <c r="E90"/>
  <c r="F89"/>
  <c r="E89"/>
  <c r="F88"/>
  <c r="E88"/>
  <c r="F87"/>
  <c r="E87"/>
  <c r="F86"/>
  <c r="E86"/>
  <c r="F85"/>
  <c r="E85"/>
  <c r="F84"/>
  <c r="E84"/>
  <c r="F83"/>
  <c r="E83"/>
  <c r="F82"/>
  <c r="E82"/>
  <c r="F81"/>
  <c r="E81"/>
  <c r="F80"/>
  <c r="E80"/>
  <c r="F79"/>
  <c r="E79"/>
  <c r="F78"/>
  <c r="E78"/>
  <c r="F77"/>
  <c r="E77"/>
  <c r="F76"/>
  <c r="E76"/>
  <c r="F75"/>
  <c r="E75"/>
  <c r="F74"/>
  <c r="E74"/>
  <c r="F73"/>
  <c r="E73"/>
  <c r="F72"/>
  <c r="E72"/>
  <c r="F71"/>
  <c r="E71"/>
  <c r="F70"/>
  <c r="E70"/>
  <c r="F69"/>
  <c r="E69"/>
  <c r="F68"/>
  <c r="E68"/>
  <c r="F67"/>
  <c r="E67"/>
  <c r="F66"/>
  <c r="E66"/>
  <c r="F65"/>
  <c r="E65"/>
  <c r="F64"/>
  <c r="E64"/>
  <c r="F63"/>
  <c r="E63"/>
  <c r="F62"/>
  <c r="E62"/>
  <c r="F61"/>
  <c r="E61"/>
  <c r="F60"/>
  <c r="E60"/>
  <c r="F59"/>
  <c r="E59"/>
  <c r="F58"/>
  <c r="E58"/>
  <c r="F57"/>
  <c r="E57"/>
  <c r="F56"/>
  <c r="E56"/>
  <c r="F55"/>
  <c r="E55"/>
  <c r="F54"/>
  <c r="E54"/>
  <c r="F53"/>
  <c r="E53"/>
  <c r="F52"/>
  <c r="E52"/>
  <c r="F51"/>
  <c r="E51"/>
  <c r="F50"/>
  <c r="E50"/>
  <c r="F49"/>
  <c r="E49"/>
  <c r="F48"/>
  <c r="E48"/>
  <c r="F47"/>
  <c r="E47"/>
  <c r="F46"/>
  <c r="E46"/>
  <c r="F45"/>
  <c r="E45"/>
  <c r="F44"/>
  <c r="E44"/>
  <c r="F43"/>
  <c r="E43"/>
  <c r="F42"/>
  <c r="E42"/>
  <c r="F41"/>
  <c r="E41"/>
  <c r="F40"/>
  <c r="E40"/>
  <c r="F39"/>
  <c r="E39"/>
  <c r="F38"/>
  <c r="E38"/>
  <c r="F37"/>
  <c r="E37"/>
  <c r="F36"/>
  <c r="E36"/>
  <c r="F35"/>
  <c r="E35"/>
  <c r="F34"/>
  <c r="E34"/>
  <c r="F33"/>
  <c r="E33"/>
  <c r="F32"/>
  <c r="E32"/>
  <c r="F31"/>
  <c r="E31"/>
  <c r="F30"/>
  <c r="E30"/>
  <c r="F29"/>
  <c r="E29"/>
  <c r="F28"/>
  <c r="E28"/>
  <c r="F27"/>
  <c r="E27"/>
  <c r="F26"/>
  <c r="E26"/>
  <c r="F25"/>
  <c r="E25"/>
  <c r="F24"/>
  <c r="E24"/>
  <c r="F23"/>
  <c r="E23"/>
  <c r="F22"/>
  <c r="E22"/>
  <c r="F21"/>
  <c r="E21"/>
  <c r="F20"/>
  <c r="E20"/>
  <c r="F19"/>
  <c r="E19"/>
  <c r="F18"/>
  <c r="E18"/>
  <c r="F17"/>
  <c r="E17"/>
  <c r="F16"/>
  <c r="E16"/>
  <c r="F15"/>
  <c r="E15"/>
  <c r="F14"/>
  <c r="E14"/>
  <c r="F13"/>
  <c r="E13"/>
  <c r="F12"/>
  <c r="E12"/>
  <c r="F11"/>
  <c r="E11"/>
  <c r="F10"/>
  <c r="E10"/>
  <c r="F9"/>
  <c r="E9"/>
  <c r="F8"/>
  <c r="E8"/>
  <c r="F7"/>
  <c r="E7"/>
  <c r="F6"/>
  <c r="E6"/>
  <c r="F5"/>
  <c r="E5"/>
  <c r="F4"/>
  <c r="E4"/>
  <c r="F3"/>
  <c r="E3"/>
  <c r="D3" i="5"/>
  <c r="E3" s="1"/>
  <c r="B28" i="4" l="1"/>
  <c r="B26"/>
  <c r="B24"/>
  <c r="B22"/>
  <c r="B20"/>
  <c r="B18"/>
  <c r="B16"/>
  <c r="B14"/>
  <c r="B12"/>
  <c r="B10"/>
  <c r="B8"/>
  <c r="B6"/>
  <c r="B4"/>
  <c r="B2"/>
  <c r="B29"/>
  <c r="B27"/>
  <c r="B25"/>
  <c r="B23"/>
  <c r="B21"/>
  <c r="B19"/>
  <c r="B17"/>
  <c r="B15"/>
  <c r="B13"/>
  <c r="B11"/>
  <c r="B9"/>
  <c r="B7"/>
  <c r="B5"/>
  <c r="B3"/>
  <c r="B1"/>
  <c r="F1013" i="3"/>
  <c r="F1012"/>
  <c r="Q1015"/>
  <c r="Q1016"/>
  <c r="Q1021" s="1"/>
  <c r="Q1013"/>
  <c r="Q1014"/>
  <c r="F3" i="5"/>
  <c r="F7"/>
  <c r="F5"/>
  <c r="F6"/>
  <c r="F8"/>
  <c r="F9"/>
  <c r="F4"/>
  <c r="T1024" i="3" l="1"/>
  <c r="T1025" s="1"/>
  <c r="Q1022"/>
  <c r="T1011" l="1"/>
  <c r="W1021" s="1"/>
  <c r="T1010"/>
  <c r="W1009"/>
  <c r="T1008"/>
  <c r="W1007"/>
  <c r="T1006"/>
  <c r="W1005"/>
  <c r="T1004"/>
  <c r="T958"/>
  <c r="T957"/>
  <c r="T956"/>
  <c r="W945"/>
  <c r="T939"/>
  <c r="T935"/>
  <c r="T931"/>
  <c r="T927"/>
  <c r="T923"/>
  <c r="T919"/>
  <c r="T915"/>
  <c r="T911"/>
  <c r="T907"/>
  <c r="T903"/>
  <c r="T899"/>
  <c r="T895"/>
  <c r="T891"/>
  <c r="T887"/>
  <c r="T883"/>
  <c r="T879"/>
  <c r="T875"/>
  <c r="T871"/>
  <c r="T867"/>
  <c r="T863"/>
  <c r="T859"/>
  <c r="T855"/>
  <c r="T851"/>
  <c r="T847"/>
  <c r="T843"/>
  <c r="T839"/>
  <c r="T835"/>
  <c r="T831"/>
  <c r="T827"/>
  <c r="T823"/>
  <c r="T819"/>
  <c r="T815"/>
  <c r="T811"/>
  <c r="T807"/>
  <c r="T803"/>
  <c r="T799"/>
  <c r="T795"/>
  <c r="T791"/>
  <c r="T787"/>
  <c r="T783"/>
  <c r="T779"/>
  <c r="T775"/>
  <c r="T771"/>
  <c r="T767"/>
  <c r="T763"/>
  <c r="T759"/>
  <c r="T755"/>
  <c r="T751"/>
  <c r="T747"/>
  <c r="T743"/>
  <c r="T739"/>
  <c r="T735"/>
  <c r="T731"/>
  <c r="T727"/>
  <c r="T723"/>
  <c r="T719"/>
  <c r="T715"/>
  <c r="T711"/>
  <c r="T707"/>
  <c r="T703"/>
  <c r="T699"/>
  <c r="T695"/>
  <c r="T691"/>
  <c r="T687"/>
  <c r="T683"/>
  <c r="T679"/>
  <c r="T675"/>
  <c r="T671"/>
  <c r="T667"/>
  <c r="T661"/>
  <c r="T659"/>
  <c r="T653"/>
  <c r="T651"/>
  <c r="T645"/>
  <c r="T643"/>
  <c r="T637"/>
  <c r="T635"/>
  <c r="W1011"/>
  <c r="W1010"/>
  <c r="T1009"/>
  <c r="W1008"/>
  <c r="T1007"/>
  <c r="W1006"/>
  <c r="T1005"/>
  <c r="W1004"/>
  <c r="T960"/>
  <c r="T954"/>
  <c r="T953"/>
  <c r="T952"/>
  <c r="T951"/>
  <c r="T950"/>
  <c r="T949"/>
  <c r="T948"/>
  <c r="T947"/>
  <c r="T945"/>
  <c r="W939"/>
  <c r="W935"/>
  <c r="W931"/>
  <c r="W927"/>
  <c r="W923"/>
  <c r="W919"/>
  <c r="W915"/>
  <c r="W911"/>
  <c r="W907"/>
  <c r="W903"/>
  <c r="W899"/>
  <c r="W895"/>
  <c r="W891"/>
  <c r="W887"/>
  <c r="W883"/>
  <c r="W879"/>
  <c r="W875"/>
  <c r="W871"/>
  <c r="W867"/>
  <c r="W863"/>
  <c r="W859"/>
  <c r="W855"/>
  <c r="W851"/>
  <c r="W847"/>
  <c r="W843"/>
  <c r="W839"/>
  <c r="W835"/>
  <c r="W831"/>
  <c r="W827"/>
  <c r="W823"/>
  <c r="W819"/>
  <c r="W815"/>
  <c r="W811"/>
  <c r="W807"/>
  <c r="W803"/>
  <c r="W799"/>
  <c r="W795"/>
  <c r="W791"/>
  <c r="W787"/>
  <c r="W783"/>
  <c r="W779"/>
  <c r="W775"/>
  <c r="W771"/>
  <c r="W767"/>
  <c r="W763"/>
  <c r="W759"/>
  <c r="W755"/>
  <c r="W751"/>
  <c r="W747"/>
  <c r="W743"/>
  <c r="W739"/>
  <c r="W735"/>
  <c r="W731"/>
  <c r="W727"/>
  <c r="W723"/>
  <c r="W719"/>
  <c r="W715"/>
  <c r="W711"/>
  <c r="W707"/>
  <c r="W703"/>
  <c r="W699"/>
  <c r="W695"/>
  <c r="W691"/>
  <c r="W687"/>
  <c r="W683"/>
  <c r="W679"/>
  <c r="W675"/>
  <c r="W671"/>
  <c r="W667"/>
  <c r="W661"/>
  <c r="W653"/>
  <c r="W645"/>
  <c r="W637"/>
  <c r="W629"/>
  <c r="W625"/>
  <c r="W621"/>
  <c r="W617"/>
  <c r="W613"/>
  <c r="W609"/>
  <c r="W605"/>
  <c r="W601"/>
  <c r="W597"/>
  <c r="W593"/>
  <c r="W589"/>
  <c r="W585"/>
  <c r="W581"/>
  <c r="W577"/>
  <c r="W573"/>
  <c r="W569"/>
  <c r="W565"/>
  <c r="W561"/>
  <c r="W557"/>
  <c r="W553"/>
  <c r="W549"/>
  <c r="W545"/>
  <c r="W541"/>
  <c r="W537"/>
  <c r="W533"/>
  <c r="W529"/>
  <c r="W525"/>
  <c r="W521"/>
  <c r="W517"/>
  <c r="W513"/>
  <c r="W509"/>
  <c r="W505"/>
  <c r="W501"/>
  <c r="W497"/>
  <c r="W493"/>
  <c r="W489"/>
  <c r="W485"/>
  <c r="W481"/>
  <c r="W477"/>
  <c r="W473"/>
  <c r="W469"/>
  <c r="W465"/>
  <c r="W461"/>
  <c r="W457"/>
  <c r="W453"/>
  <c r="W449"/>
  <c r="W445"/>
  <c r="W441"/>
  <c r="W437"/>
  <c r="W433"/>
  <c r="W429"/>
  <c r="W425"/>
  <c r="W421"/>
  <c r="W417"/>
  <c r="W413"/>
  <c r="W409"/>
  <c r="W405"/>
  <c r="W401"/>
  <c r="W397"/>
  <c r="W393"/>
  <c r="W389"/>
  <c r="W385"/>
  <c r="W381"/>
  <c r="W377"/>
  <c r="W373"/>
  <c r="W369"/>
  <c r="W365"/>
  <c r="W361"/>
  <c r="W357"/>
  <c r="W353"/>
  <c r="W349"/>
  <c r="W345"/>
  <c r="W341"/>
  <c r="W337"/>
  <c r="W333"/>
  <c r="W329"/>
  <c r="W325"/>
  <c r="W321"/>
  <c r="W317"/>
  <c r="W659"/>
  <c r="W651"/>
  <c r="W643"/>
  <c r="W635"/>
  <c r="T629"/>
  <c r="T625"/>
  <c r="T621"/>
  <c r="T617"/>
  <c r="T613"/>
  <c r="T609"/>
  <c r="T605"/>
  <c r="T601"/>
  <c r="T597"/>
  <c r="T593"/>
  <c r="T589"/>
  <c r="T585"/>
  <c r="T581"/>
  <c r="T577"/>
  <c r="T573"/>
  <c r="T569"/>
  <c r="T565"/>
  <c r="T561"/>
  <c r="T557"/>
  <c r="T553"/>
  <c r="T549"/>
  <c r="T545"/>
  <c r="T541"/>
  <c r="T537"/>
  <c r="T533"/>
  <c r="T529"/>
  <c r="T525"/>
  <c r="T521"/>
  <c r="T517"/>
  <c r="T513"/>
  <c r="T509"/>
  <c r="T505"/>
  <c r="T501"/>
  <c r="T497"/>
  <c r="T493"/>
  <c r="T489"/>
  <c r="T485"/>
  <c r="T481"/>
  <c r="T477"/>
  <c r="T473"/>
  <c r="T469"/>
  <c r="T465"/>
  <c r="T461"/>
  <c r="T457"/>
  <c r="T453"/>
  <c r="T449"/>
  <c r="T445"/>
  <c r="T441"/>
  <c r="T437"/>
  <c r="T433"/>
  <c r="T429"/>
  <c r="T425"/>
  <c r="T421"/>
  <c r="T417"/>
  <c r="T413"/>
  <c r="T409"/>
  <c r="T405"/>
  <c r="T401"/>
  <c r="T397"/>
  <c r="T393"/>
  <c r="T389"/>
  <c r="T385"/>
  <c r="T381"/>
  <c r="T377"/>
  <c r="T373"/>
  <c r="T369"/>
  <c r="T365"/>
  <c r="T361"/>
  <c r="T357"/>
  <c r="T353"/>
  <c r="T349"/>
  <c r="T345"/>
  <c r="T341"/>
  <c r="T337"/>
  <c r="T333"/>
  <c r="T329"/>
  <c r="T325"/>
  <c r="T321"/>
  <c r="T317"/>
  <c r="T311"/>
  <c r="T309"/>
  <c r="W311"/>
  <c r="W305"/>
  <c r="W301"/>
  <c r="W297"/>
  <c r="W293"/>
  <c r="W289"/>
  <c r="W285"/>
  <c r="W281"/>
  <c r="W277"/>
  <c r="W273"/>
  <c r="W269"/>
  <c r="W265"/>
  <c r="W261"/>
  <c r="W257"/>
  <c r="W253"/>
  <c r="W249"/>
  <c r="W245"/>
  <c r="W241"/>
  <c r="W237"/>
  <c r="W233"/>
  <c r="W229"/>
  <c r="W225"/>
  <c r="W221"/>
  <c r="W217"/>
  <c r="W213"/>
  <c r="W209"/>
  <c r="W205"/>
  <c r="W201"/>
  <c r="W197"/>
  <c r="W193"/>
  <c r="W189"/>
  <c r="W185"/>
  <c r="W181"/>
  <c r="W177"/>
  <c r="W173"/>
  <c r="W169"/>
  <c r="W165"/>
  <c r="W161"/>
  <c r="W157"/>
  <c r="W153"/>
  <c r="W149"/>
  <c r="W145"/>
  <c r="W141"/>
  <c r="W137"/>
  <c r="W133"/>
  <c r="W129"/>
  <c r="W125"/>
  <c r="W121"/>
  <c r="W117"/>
  <c r="W113"/>
  <c r="W109"/>
  <c r="W105"/>
  <c r="W101"/>
  <c r="W97"/>
  <c r="W93"/>
  <c r="W89"/>
  <c r="W85"/>
  <c r="W81"/>
  <c r="W77"/>
  <c r="W73"/>
  <c r="W70"/>
  <c r="W66"/>
  <c r="W62"/>
  <c r="W58"/>
  <c r="W54"/>
  <c r="W50"/>
  <c r="W46"/>
  <c r="W42"/>
  <c r="W38"/>
  <c r="W34"/>
  <c r="W30"/>
  <c r="W26"/>
  <c r="W22"/>
  <c r="W18"/>
  <c r="W14"/>
  <c r="T6"/>
  <c r="T3"/>
  <c r="W3"/>
  <c r="T312"/>
  <c r="T308"/>
  <c r="W304"/>
  <c r="W300"/>
  <c r="W296"/>
  <c r="W292"/>
  <c r="W288"/>
  <c r="W284"/>
  <c r="W280"/>
  <c r="W276"/>
  <c r="W272"/>
  <c r="W268"/>
  <c r="W264"/>
  <c r="W260"/>
  <c r="W256"/>
  <c r="W252"/>
  <c r="W248"/>
  <c r="W244"/>
  <c r="W240"/>
  <c r="W236"/>
  <c r="W232"/>
  <c r="W228"/>
  <c r="W224"/>
  <c r="W220"/>
  <c r="W216"/>
  <c r="W212"/>
  <c r="W208"/>
  <c r="W204"/>
  <c r="W200"/>
  <c r="W196"/>
  <c r="W192"/>
  <c r="W188"/>
  <c r="W184"/>
  <c r="W180"/>
  <c r="W176"/>
  <c r="W172"/>
  <c r="W168"/>
  <c r="W164"/>
  <c r="W160"/>
  <c r="W156"/>
  <c r="W152"/>
  <c r="W148"/>
  <c r="W144"/>
  <c r="W140"/>
  <c r="W136"/>
  <c r="W132"/>
  <c r="W128"/>
  <c r="W124"/>
  <c r="W120"/>
  <c r="W116"/>
  <c r="W112"/>
  <c r="W108"/>
  <c r="W104"/>
  <c r="W100"/>
  <c r="W96"/>
  <c r="W92"/>
  <c r="W88"/>
  <c r="W84"/>
  <c r="W80"/>
  <c r="W76"/>
  <c r="T70"/>
  <c r="T66"/>
  <c r="T62"/>
  <c r="T58"/>
  <c r="T54"/>
  <c r="T50"/>
  <c r="T46"/>
  <c r="T42"/>
  <c r="T38"/>
  <c r="T34"/>
  <c r="T30"/>
  <c r="T26"/>
  <c r="T22"/>
  <c r="T18"/>
  <c r="T14"/>
  <c r="W6"/>
  <c r="Q10"/>
  <c r="T10" s="1"/>
  <c r="Q945"/>
  <c r="Q943"/>
  <c r="W943" s="1"/>
  <c r="Q942"/>
  <c r="W942" s="1"/>
  <c r="Q940"/>
  <c r="Q938"/>
  <c r="W938" s="1"/>
  <c r="Q936"/>
  <c r="Q934"/>
  <c r="W934" s="1"/>
  <c r="Q932"/>
  <c r="Q930"/>
  <c r="W930" s="1"/>
  <c r="Q928"/>
  <c r="Q926"/>
  <c r="W926" s="1"/>
  <c r="Q924"/>
  <c r="Q922"/>
  <c r="W922" s="1"/>
  <c r="Q920"/>
  <c r="Q918"/>
  <c r="W918" s="1"/>
  <c r="Q916"/>
  <c r="Q914"/>
  <c r="W914" s="1"/>
  <c r="Q912"/>
  <c r="Q910"/>
  <c r="W910" s="1"/>
  <c r="Q908"/>
  <c r="Q906"/>
  <c r="W906" s="1"/>
  <c r="Q904"/>
  <c r="Q902"/>
  <c r="W902" s="1"/>
  <c r="Q900"/>
  <c r="Q898"/>
  <c r="W898" s="1"/>
  <c r="Q896"/>
  <c r="Q894"/>
  <c r="W894" s="1"/>
  <c r="Q892"/>
  <c r="Q890"/>
  <c r="W890" s="1"/>
  <c r="Q888"/>
  <c r="Q886"/>
  <c r="W886" s="1"/>
  <c r="Q884"/>
  <c r="Q882"/>
  <c r="W882" s="1"/>
  <c r="Q880"/>
  <c r="Q878"/>
  <c r="W878" s="1"/>
  <c r="Q876"/>
  <c r="Q874"/>
  <c r="W874" s="1"/>
  <c r="Q872"/>
  <c r="Q870"/>
  <c r="W870" s="1"/>
  <c r="Q868"/>
  <c r="Q866"/>
  <c r="W866" s="1"/>
  <c r="Q864"/>
  <c r="Q862"/>
  <c r="W862" s="1"/>
  <c r="Q860"/>
  <c r="Q858"/>
  <c r="W858" s="1"/>
  <c r="Q856"/>
  <c r="Q854"/>
  <c r="W854" s="1"/>
  <c r="Q852"/>
  <c r="Q850"/>
  <c r="W850" s="1"/>
  <c r="Q848"/>
  <c r="Q846"/>
  <c r="W846" s="1"/>
  <c r="Q844"/>
  <c r="Q842"/>
  <c r="W842" s="1"/>
  <c r="Q840"/>
  <c r="Q838"/>
  <c r="W838" s="1"/>
  <c r="Q836"/>
  <c r="Q834"/>
  <c r="W834" s="1"/>
  <c r="Q832"/>
  <c r="Q830"/>
  <c r="W830" s="1"/>
  <c r="Q828"/>
  <c r="Q826"/>
  <c r="W826" s="1"/>
  <c r="Q824"/>
  <c r="Q822"/>
  <c r="W822" s="1"/>
  <c r="Q820"/>
  <c r="Q818"/>
  <c r="W818" s="1"/>
  <c r="Q816"/>
  <c r="Q814"/>
  <c r="W814" s="1"/>
  <c r="Q812"/>
  <c r="Q810"/>
  <c r="W810" s="1"/>
  <c r="Q808"/>
  <c r="Q806"/>
  <c r="W806" s="1"/>
  <c r="Q804"/>
  <c r="Q802"/>
  <c r="W802" s="1"/>
  <c r="Q800"/>
  <c r="Q798"/>
  <c r="W798" s="1"/>
  <c r="Q796"/>
  <c r="Q794"/>
  <c r="W794" s="1"/>
  <c r="Q792"/>
  <c r="Q790"/>
  <c r="W790" s="1"/>
  <c r="Q788"/>
  <c r="Q786"/>
  <c r="W786" s="1"/>
  <c r="Q784"/>
  <c r="Q782"/>
  <c r="W782" s="1"/>
  <c r="Q780"/>
  <c r="Q778"/>
  <c r="W778" s="1"/>
  <c r="Q776"/>
  <c r="Q774"/>
  <c r="W774" s="1"/>
  <c r="Q772"/>
  <c r="Q770"/>
  <c r="W770" s="1"/>
  <c r="Q768"/>
  <c r="Q766"/>
  <c r="W766" s="1"/>
  <c r="Q764"/>
  <c r="Q762"/>
  <c r="W762" s="1"/>
  <c r="Q760"/>
  <c r="Q758"/>
  <c r="W758" s="1"/>
  <c r="Q756"/>
  <c r="Q754"/>
  <c r="W754" s="1"/>
  <c r="Q752"/>
  <c r="Q750"/>
  <c r="W750" s="1"/>
  <c r="Q748"/>
  <c r="Q746"/>
  <c r="W746" s="1"/>
  <c r="Q744"/>
  <c r="Q742"/>
  <c r="W742" s="1"/>
  <c r="Q740"/>
  <c r="Q738"/>
  <c r="W738" s="1"/>
  <c r="Q736"/>
  <c r="Q734"/>
  <c r="W734" s="1"/>
  <c r="Q732"/>
  <c r="Q730"/>
  <c r="W730" s="1"/>
  <c r="Q728"/>
  <c r="Q726"/>
  <c r="W726" s="1"/>
  <c r="Q724"/>
  <c r="Q722"/>
  <c r="W722" s="1"/>
  <c r="Q720"/>
  <c r="Q718"/>
  <c r="W718" s="1"/>
  <c r="Q716"/>
  <c r="Q714"/>
  <c r="W714" s="1"/>
  <c r="Q712"/>
  <c r="Q710"/>
  <c r="W710" s="1"/>
  <c r="Q708"/>
  <c r="Q706"/>
  <c r="W706" s="1"/>
  <c r="Q704"/>
  <c r="Q702"/>
  <c r="W702" s="1"/>
  <c r="Q700"/>
  <c r="Q698"/>
  <c r="W698" s="1"/>
  <c r="Q696"/>
  <c r="Q694"/>
  <c r="W694" s="1"/>
  <c r="Q692"/>
  <c r="Q690"/>
  <c r="W690" s="1"/>
  <c r="Q688"/>
  <c r="Q686"/>
  <c r="W686" s="1"/>
  <c r="Q684"/>
  <c r="Q682"/>
  <c r="W682" s="1"/>
  <c r="Q680"/>
  <c r="Q678"/>
  <c r="W678" s="1"/>
  <c r="Q676"/>
  <c r="Q674"/>
  <c r="W674" s="1"/>
  <c r="Q672"/>
  <c r="Q670"/>
  <c r="W670" s="1"/>
  <c r="Q668"/>
  <c r="Q666"/>
  <c r="W666" s="1"/>
  <c r="Q664"/>
  <c r="Q662"/>
  <c r="W662" s="1"/>
  <c r="Q660"/>
  <c r="Q658"/>
  <c r="W658" s="1"/>
  <c r="Q656"/>
  <c r="Q654"/>
  <c r="W654" s="1"/>
  <c r="Q652"/>
  <c r="Q650"/>
  <c r="W650" s="1"/>
  <c r="Q648"/>
  <c r="Q646"/>
  <c r="W646" s="1"/>
  <c r="Q644"/>
  <c r="Q642"/>
  <c r="W642" s="1"/>
  <c r="Q640"/>
  <c r="Q638"/>
  <c r="W638" s="1"/>
  <c r="Q636"/>
  <c r="Q634"/>
  <c r="W634" s="1"/>
  <c r="Q632"/>
  <c r="Q630"/>
  <c r="W630" s="1"/>
  <c r="Q946"/>
  <c r="Q944"/>
  <c r="T944" s="1"/>
  <c r="Q941"/>
  <c r="T941" s="1"/>
  <c r="Q939"/>
  <c r="Q937"/>
  <c r="T937" s="1"/>
  <c r="Q935"/>
  <c r="Q933"/>
  <c r="T933" s="1"/>
  <c r="Q931"/>
  <c r="Q929"/>
  <c r="T929" s="1"/>
  <c r="Q927"/>
  <c r="Q925"/>
  <c r="T925" s="1"/>
  <c r="Q923"/>
  <c r="Q921"/>
  <c r="T921" s="1"/>
  <c r="Q919"/>
  <c r="Q917"/>
  <c r="T917" s="1"/>
  <c r="Q915"/>
  <c r="Q913"/>
  <c r="T913" s="1"/>
  <c r="Q911"/>
  <c r="Q909"/>
  <c r="T909" s="1"/>
  <c r="Q907"/>
  <c r="Q905"/>
  <c r="T905" s="1"/>
  <c r="Q903"/>
  <c r="Q901"/>
  <c r="T901" s="1"/>
  <c r="Q899"/>
  <c r="Q897"/>
  <c r="T897" s="1"/>
  <c r="Q895"/>
  <c r="Q893"/>
  <c r="T893" s="1"/>
  <c r="Q891"/>
  <c r="Q889"/>
  <c r="T889" s="1"/>
  <c r="Q887"/>
  <c r="Q885"/>
  <c r="T885" s="1"/>
  <c r="Q883"/>
  <c r="Q881"/>
  <c r="T881" s="1"/>
  <c r="Q879"/>
  <c r="Q877"/>
  <c r="T877" s="1"/>
  <c r="Q875"/>
  <c r="Q873"/>
  <c r="T873" s="1"/>
  <c r="Q871"/>
  <c r="Q869"/>
  <c r="T869" s="1"/>
  <c r="Q867"/>
  <c r="Q865"/>
  <c r="T865" s="1"/>
  <c r="Q863"/>
  <c r="Q861"/>
  <c r="T861" s="1"/>
  <c r="Q859"/>
  <c r="Q857"/>
  <c r="T857" s="1"/>
  <c r="Q855"/>
  <c r="Q853"/>
  <c r="T853" s="1"/>
  <c r="Q851"/>
  <c r="Q849"/>
  <c r="T849" s="1"/>
  <c r="Q847"/>
  <c r="Q845"/>
  <c r="T845" s="1"/>
  <c r="Q843"/>
  <c r="Q841"/>
  <c r="T841" s="1"/>
  <c r="Q839"/>
  <c r="Q837"/>
  <c r="T837" s="1"/>
  <c r="Q835"/>
  <c r="Q833"/>
  <c r="T833" s="1"/>
  <c r="Q831"/>
  <c r="Q829"/>
  <c r="T829" s="1"/>
  <c r="Q827"/>
  <c r="Q825"/>
  <c r="T825" s="1"/>
  <c r="Q823"/>
  <c r="Q821"/>
  <c r="T821" s="1"/>
  <c r="Q819"/>
  <c r="Q817"/>
  <c r="T817" s="1"/>
  <c r="Q815"/>
  <c r="Q813"/>
  <c r="T813" s="1"/>
  <c r="Q811"/>
  <c r="Q809"/>
  <c r="T809" s="1"/>
  <c r="Q807"/>
  <c r="Q805"/>
  <c r="T805" s="1"/>
  <c r="Q803"/>
  <c r="Q801"/>
  <c r="T801" s="1"/>
  <c r="Q799"/>
  <c r="Q797"/>
  <c r="T797" s="1"/>
  <c r="Q795"/>
  <c r="Q793"/>
  <c r="T793" s="1"/>
  <c r="Q791"/>
  <c r="Q789"/>
  <c r="T789" s="1"/>
  <c r="Q787"/>
  <c r="Q785"/>
  <c r="T785" s="1"/>
  <c r="Q783"/>
  <c r="Q781"/>
  <c r="T781" s="1"/>
  <c r="Q779"/>
  <c r="Q777"/>
  <c r="T777" s="1"/>
  <c r="Q775"/>
  <c r="Q773"/>
  <c r="T773" s="1"/>
  <c r="Q771"/>
  <c r="Q769"/>
  <c r="T769" s="1"/>
  <c r="Q767"/>
  <c r="Q765"/>
  <c r="T765" s="1"/>
  <c r="Q763"/>
  <c r="Q761"/>
  <c r="T761" s="1"/>
  <c r="Q759"/>
  <c r="Q757"/>
  <c r="T757" s="1"/>
  <c r="Q755"/>
  <c r="Q753"/>
  <c r="T753" s="1"/>
  <c r="Q751"/>
  <c r="Q749"/>
  <c r="T749" s="1"/>
  <c r="Q747"/>
  <c r="Q745"/>
  <c r="T745" s="1"/>
  <c r="Q743"/>
  <c r="Q741"/>
  <c r="T741" s="1"/>
  <c r="Q739"/>
  <c r="Q737"/>
  <c r="T737" s="1"/>
  <c r="Q735"/>
  <c r="Q733"/>
  <c r="T733" s="1"/>
  <c r="Q731"/>
  <c r="Q729"/>
  <c r="T729" s="1"/>
  <c r="Q727"/>
  <c r="Q725"/>
  <c r="T725" s="1"/>
  <c r="Q723"/>
  <c r="Q721"/>
  <c r="T721" s="1"/>
  <c r="Q719"/>
  <c r="Q717"/>
  <c r="T717" s="1"/>
  <c r="Q715"/>
  <c r="Q713"/>
  <c r="T713" s="1"/>
  <c r="Q711"/>
  <c r="Q709"/>
  <c r="T709" s="1"/>
  <c r="Q707"/>
  <c r="Q705"/>
  <c r="T705" s="1"/>
  <c r="Q703"/>
  <c r="Q701"/>
  <c r="T701" s="1"/>
  <c r="Q699"/>
  <c r="Q697"/>
  <c r="T697" s="1"/>
  <c r="Q695"/>
  <c r="Q693"/>
  <c r="T693" s="1"/>
  <c r="Q691"/>
  <c r="Q689"/>
  <c r="T689" s="1"/>
  <c r="Q687"/>
  <c r="Q685"/>
  <c r="T685" s="1"/>
  <c r="Q683"/>
  <c r="Q681"/>
  <c r="T681" s="1"/>
  <c r="Q679"/>
  <c r="Q677"/>
  <c r="T677" s="1"/>
  <c r="Q675"/>
  <c r="Q673"/>
  <c r="T673" s="1"/>
  <c r="Q671"/>
  <c r="Q669"/>
  <c r="T669" s="1"/>
  <c r="Q667"/>
  <c r="Q663"/>
  <c r="T663" s="1"/>
  <c r="Q659"/>
  <c r="Q655"/>
  <c r="T655" s="1"/>
  <c r="Q651"/>
  <c r="Q647"/>
  <c r="T647" s="1"/>
  <c r="Q643"/>
  <c r="Q639"/>
  <c r="T639" s="1"/>
  <c r="Q635"/>
  <c r="Q631"/>
  <c r="T631" s="1"/>
  <c r="Q629"/>
  <c r="Q627"/>
  <c r="W627" s="1"/>
  <c r="Q625"/>
  <c r="Q623"/>
  <c r="W623" s="1"/>
  <c r="Q621"/>
  <c r="Q619"/>
  <c r="W619" s="1"/>
  <c r="Q617"/>
  <c r="Q615"/>
  <c r="W615" s="1"/>
  <c r="Q613"/>
  <c r="Q611"/>
  <c r="W611" s="1"/>
  <c r="Q609"/>
  <c r="Q607"/>
  <c r="W607" s="1"/>
  <c r="Q605"/>
  <c r="Q603"/>
  <c r="W603" s="1"/>
  <c r="Q601"/>
  <c r="Q599"/>
  <c r="W599" s="1"/>
  <c r="Q597"/>
  <c r="Q595"/>
  <c r="W595" s="1"/>
  <c r="Q593"/>
  <c r="Q591"/>
  <c r="W591" s="1"/>
  <c r="Q589"/>
  <c r="Q587"/>
  <c r="W587" s="1"/>
  <c r="Q585"/>
  <c r="Q583"/>
  <c r="W583" s="1"/>
  <c r="Q581"/>
  <c r="Q579"/>
  <c r="W579" s="1"/>
  <c r="Q577"/>
  <c r="Q575"/>
  <c r="W575" s="1"/>
  <c r="Q573"/>
  <c r="Q571"/>
  <c r="W571" s="1"/>
  <c r="Q569"/>
  <c r="Q567"/>
  <c r="W567" s="1"/>
  <c r="Q565"/>
  <c r="Q563"/>
  <c r="W563" s="1"/>
  <c r="Q561"/>
  <c r="Q559"/>
  <c r="W559" s="1"/>
  <c r="Q557"/>
  <c r="Q555"/>
  <c r="W555" s="1"/>
  <c r="Q553"/>
  <c r="Q551"/>
  <c r="W551" s="1"/>
  <c r="Q549"/>
  <c r="Q547"/>
  <c r="W547" s="1"/>
  <c r="Q545"/>
  <c r="Q543"/>
  <c r="W543" s="1"/>
  <c r="Q541"/>
  <c r="Q539"/>
  <c r="W539" s="1"/>
  <c r="Q537"/>
  <c r="Q535"/>
  <c r="W535" s="1"/>
  <c r="Q533"/>
  <c r="Q531"/>
  <c r="W531" s="1"/>
  <c r="Q529"/>
  <c r="Q527"/>
  <c r="W527" s="1"/>
  <c r="Q525"/>
  <c r="Q523"/>
  <c r="W523" s="1"/>
  <c r="Q521"/>
  <c r="Q519"/>
  <c r="W519" s="1"/>
  <c r="Q517"/>
  <c r="Q515"/>
  <c r="W515" s="1"/>
  <c r="Q513"/>
  <c r="Q511"/>
  <c r="W511" s="1"/>
  <c r="Q509"/>
  <c r="Q507"/>
  <c r="W507" s="1"/>
  <c r="Q505"/>
  <c r="Q503"/>
  <c r="W503" s="1"/>
  <c r="Q501"/>
  <c r="Q499"/>
  <c r="W499" s="1"/>
  <c r="Q497"/>
  <c r="Q495"/>
  <c r="W495" s="1"/>
  <c r="Q493"/>
  <c r="Q491"/>
  <c r="W491" s="1"/>
  <c r="Q489"/>
  <c r="Q487"/>
  <c r="W487" s="1"/>
  <c r="Q485"/>
  <c r="Q483"/>
  <c r="W483" s="1"/>
  <c r="Q481"/>
  <c r="Q479"/>
  <c r="W479" s="1"/>
  <c r="Q477"/>
  <c r="Q475"/>
  <c r="W475" s="1"/>
  <c r="Q473"/>
  <c r="Q471"/>
  <c r="W471" s="1"/>
  <c r="Q469"/>
  <c r="Q467"/>
  <c r="W467" s="1"/>
  <c r="Q465"/>
  <c r="Q463"/>
  <c r="W463" s="1"/>
  <c r="Q461"/>
  <c r="Q459"/>
  <c r="W459" s="1"/>
  <c r="Q457"/>
  <c r="Q455"/>
  <c r="W455" s="1"/>
  <c r="Q453"/>
  <c r="Q451"/>
  <c r="W451" s="1"/>
  <c r="Q449"/>
  <c r="Q447"/>
  <c r="W447" s="1"/>
  <c r="Q445"/>
  <c r="Q443"/>
  <c r="W443" s="1"/>
  <c r="Q441"/>
  <c r="Q439"/>
  <c r="W439" s="1"/>
  <c r="Q437"/>
  <c r="Q435"/>
  <c r="W435" s="1"/>
  <c r="Q433"/>
  <c r="Q431"/>
  <c r="W431" s="1"/>
  <c r="Q429"/>
  <c r="Q427"/>
  <c r="W427" s="1"/>
  <c r="Q425"/>
  <c r="Q423"/>
  <c r="W423" s="1"/>
  <c r="Q421"/>
  <c r="Q419"/>
  <c r="W419" s="1"/>
  <c r="Q417"/>
  <c r="Q415"/>
  <c r="W415" s="1"/>
  <c r="Q413"/>
  <c r="Q411"/>
  <c r="W411" s="1"/>
  <c r="Q409"/>
  <c r="Q407"/>
  <c r="W407" s="1"/>
  <c r="Q405"/>
  <c r="Q403"/>
  <c r="W403" s="1"/>
  <c r="Q401"/>
  <c r="Q399"/>
  <c r="W399" s="1"/>
  <c r="Q397"/>
  <c r="Q395"/>
  <c r="W395" s="1"/>
  <c r="Q393"/>
  <c r="Q391"/>
  <c r="W391" s="1"/>
  <c r="Q389"/>
  <c r="Q387"/>
  <c r="W387" s="1"/>
  <c r="Q385"/>
  <c r="Q383"/>
  <c r="W383" s="1"/>
  <c r="Q381"/>
  <c r="Q379"/>
  <c r="W379" s="1"/>
  <c r="Q377"/>
  <c r="Q375"/>
  <c r="W375" s="1"/>
  <c r="Q373"/>
  <c r="Q371"/>
  <c r="W371" s="1"/>
  <c r="Q369"/>
  <c r="Q367"/>
  <c r="W367" s="1"/>
  <c r="Q365"/>
  <c r="Q363"/>
  <c r="W363" s="1"/>
  <c r="Q361"/>
  <c r="Q359"/>
  <c r="W359" s="1"/>
  <c r="Q357"/>
  <c r="Q355"/>
  <c r="W355" s="1"/>
  <c r="Q353"/>
  <c r="Q351"/>
  <c r="W351" s="1"/>
  <c r="Q349"/>
  <c r="Q347"/>
  <c r="W347" s="1"/>
  <c r="Q345"/>
  <c r="Q343"/>
  <c r="W343" s="1"/>
  <c r="Q341"/>
  <c r="Q339"/>
  <c r="W339" s="1"/>
  <c r="Q337"/>
  <c r="Q335"/>
  <c r="W335" s="1"/>
  <c r="Q333"/>
  <c r="Q331"/>
  <c r="W331" s="1"/>
  <c r="Q329"/>
  <c r="Q327"/>
  <c r="W327" s="1"/>
  <c r="Q325"/>
  <c r="Q323"/>
  <c r="W323" s="1"/>
  <c r="Q321"/>
  <c r="Q319"/>
  <c r="W319" s="1"/>
  <c r="Q317"/>
  <c r="Q665"/>
  <c r="T665" s="1"/>
  <c r="Q661"/>
  <c r="Q657"/>
  <c r="T657" s="1"/>
  <c r="Q653"/>
  <c r="Q649"/>
  <c r="T649" s="1"/>
  <c r="Q645"/>
  <c r="Q641"/>
  <c r="T641" s="1"/>
  <c r="Q637"/>
  <c r="Q633"/>
  <c r="T633" s="1"/>
  <c r="Q628"/>
  <c r="T628" s="1"/>
  <c r="Q626"/>
  <c r="Q624"/>
  <c r="T624" s="1"/>
  <c r="Q622"/>
  <c r="Q620"/>
  <c r="T620" s="1"/>
  <c r="Q618"/>
  <c r="Q616"/>
  <c r="T616" s="1"/>
  <c r="Q614"/>
  <c r="Q612"/>
  <c r="T612" s="1"/>
  <c r="Q610"/>
  <c r="Q608"/>
  <c r="T608" s="1"/>
  <c r="Q606"/>
  <c r="Q604"/>
  <c r="T604" s="1"/>
  <c r="Q602"/>
  <c r="Q600"/>
  <c r="T600" s="1"/>
  <c r="Q598"/>
  <c r="Q596"/>
  <c r="T596" s="1"/>
  <c r="Q594"/>
  <c r="Q592"/>
  <c r="T592" s="1"/>
  <c r="Q590"/>
  <c r="Q588"/>
  <c r="T588" s="1"/>
  <c r="Q586"/>
  <c r="Q584"/>
  <c r="T584" s="1"/>
  <c r="Q582"/>
  <c r="Q580"/>
  <c r="T580" s="1"/>
  <c r="Q578"/>
  <c r="Q576"/>
  <c r="T576" s="1"/>
  <c r="Q574"/>
  <c r="Q572"/>
  <c r="T572" s="1"/>
  <c r="Q570"/>
  <c r="Q568"/>
  <c r="T568" s="1"/>
  <c r="Q566"/>
  <c r="Q564"/>
  <c r="T564" s="1"/>
  <c r="Q562"/>
  <c r="Q560"/>
  <c r="T560" s="1"/>
  <c r="Q558"/>
  <c r="Q556"/>
  <c r="T556" s="1"/>
  <c r="Q554"/>
  <c r="Q552"/>
  <c r="T552" s="1"/>
  <c r="Q550"/>
  <c r="Q548"/>
  <c r="T548" s="1"/>
  <c r="Q546"/>
  <c r="Q544"/>
  <c r="T544" s="1"/>
  <c r="Q542"/>
  <c r="Q540"/>
  <c r="T540" s="1"/>
  <c r="Q538"/>
  <c r="Q536"/>
  <c r="T536" s="1"/>
  <c r="Q534"/>
  <c r="Q532"/>
  <c r="T532" s="1"/>
  <c r="Q530"/>
  <c r="Q528"/>
  <c r="T528" s="1"/>
  <c r="Q526"/>
  <c r="Q524"/>
  <c r="T524" s="1"/>
  <c r="Q522"/>
  <c r="Q520"/>
  <c r="T520" s="1"/>
  <c r="Q518"/>
  <c r="Q516"/>
  <c r="T516" s="1"/>
  <c r="Q514"/>
  <c r="Q512"/>
  <c r="T512" s="1"/>
  <c r="Q510"/>
  <c r="Q508"/>
  <c r="T508" s="1"/>
  <c r="Q506"/>
  <c r="Q504"/>
  <c r="T504" s="1"/>
  <c r="Q502"/>
  <c r="Q500"/>
  <c r="T500" s="1"/>
  <c r="Q498"/>
  <c r="Q496"/>
  <c r="T496" s="1"/>
  <c r="Q494"/>
  <c r="Q492"/>
  <c r="T492" s="1"/>
  <c r="Q490"/>
  <c r="Q488"/>
  <c r="T488" s="1"/>
  <c r="Q486"/>
  <c r="Q484"/>
  <c r="T484" s="1"/>
  <c r="Q482"/>
  <c r="Q480"/>
  <c r="T480" s="1"/>
  <c r="Q478"/>
  <c r="Q476"/>
  <c r="T476" s="1"/>
  <c r="Q474"/>
  <c r="Q472"/>
  <c r="T472" s="1"/>
  <c r="Q470"/>
  <c r="Q468"/>
  <c r="T468" s="1"/>
  <c r="Q466"/>
  <c r="Q464"/>
  <c r="T464" s="1"/>
  <c r="Q462"/>
  <c r="Q460"/>
  <c r="T460" s="1"/>
  <c r="Q458"/>
  <c r="Q456"/>
  <c r="T456" s="1"/>
  <c r="Q454"/>
  <c r="Q452"/>
  <c r="T452" s="1"/>
  <c r="Q450"/>
  <c r="Q448"/>
  <c r="T448" s="1"/>
  <c r="Q446"/>
  <c r="Q444"/>
  <c r="T444" s="1"/>
  <c r="Q442"/>
  <c r="Q440"/>
  <c r="T440" s="1"/>
  <c r="Q438"/>
  <c r="Q436"/>
  <c r="T436" s="1"/>
  <c r="Q434"/>
  <c r="Q432"/>
  <c r="T432" s="1"/>
  <c r="Q430"/>
  <c r="Q428"/>
  <c r="T428" s="1"/>
  <c r="Q426"/>
  <c r="Q424"/>
  <c r="T424" s="1"/>
  <c r="Q422"/>
  <c r="Q420"/>
  <c r="T420" s="1"/>
  <c r="Q418"/>
  <c r="Q416"/>
  <c r="T416" s="1"/>
  <c r="Q414"/>
  <c r="Q412"/>
  <c r="T412" s="1"/>
  <c r="Q410"/>
  <c r="Q408"/>
  <c r="T408" s="1"/>
  <c r="Q406"/>
  <c r="Q404"/>
  <c r="T404" s="1"/>
  <c r="Q402"/>
  <c r="Q400"/>
  <c r="T400" s="1"/>
  <c r="Q398"/>
  <c r="Q396"/>
  <c r="T396" s="1"/>
  <c r="Q394"/>
  <c r="Q392"/>
  <c r="T392" s="1"/>
  <c r="Q390"/>
  <c r="Q388"/>
  <c r="T388" s="1"/>
  <c r="Q386"/>
  <c r="Q384"/>
  <c r="T384" s="1"/>
  <c r="Q382"/>
  <c r="Q380"/>
  <c r="T380" s="1"/>
  <c r="Q378"/>
  <c r="Q376"/>
  <c r="T376" s="1"/>
  <c r="Q374"/>
  <c r="Q372"/>
  <c r="T372" s="1"/>
  <c r="Q370"/>
  <c r="Q368"/>
  <c r="T368" s="1"/>
  <c r="Q366"/>
  <c r="Q364"/>
  <c r="T364" s="1"/>
  <c r="Q362"/>
  <c r="Q360"/>
  <c r="T360" s="1"/>
  <c r="Q358"/>
  <c r="Q356"/>
  <c r="T356" s="1"/>
  <c r="Q354"/>
  <c r="Q352"/>
  <c r="T352" s="1"/>
  <c r="Q350"/>
  <c r="Q348"/>
  <c r="T348" s="1"/>
  <c r="Q346"/>
  <c r="Q344"/>
  <c r="T344" s="1"/>
  <c r="Q342"/>
  <c r="Q340"/>
  <c r="T340" s="1"/>
  <c r="Q338"/>
  <c r="Q336"/>
  <c r="T336" s="1"/>
  <c r="Q334"/>
  <c r="Q332"/>
  <c r="T332" s="1"/>
  <c r="Q330"/>
  <c r="Q328"/>
  <c r="T328" s="1"/>
  <c r="Q326"/>
  <c r="Q324"/>
  <c r="T324" s="1"/>
  <c r="Q322"/>
  <c r="Q320"/>
  <c r="T320" s="1"/>
  <c r="Q318"/>
  <c r="Q316"/>
  <c r="T316" s="1"/>
  <c r="Q314"/>
  <c r="Q312"/>
  <c r="W312" s="1"/>
  <c r="Q310"/>
  <c r="Q308"/>
  <c r="W308" s="1"/>
  <c r="Q313"/>
  <c r="W313" s="1"/>
  <c r="Q309"/>
  <c r="W309" s="1"/>
  <c r="Q307"/>
  <c r="T307" s="1"/>
  <c r="Q305"/>
  <c r="T305" s="1"/>
  <c r="Q303"/>
  <c r="T303" s="1"/>
  <c r="Q301"/>
  <c r="T301" s="1"/>
  <c r="Q299"/>
  <c r="T299" s="1"/>
  <c r="Q297"/>
  <c r="T297" s="1"/>
  <c r="Q295"/>
  <c r="T295" s="1"/>
  <c r="Q293"/>
  <c r="T293" s="1"/>
  <c r="Q291"/>
  <c r="T291" s="1"/>
  <c r="Q289"/>
  <c r="T289" s="1"/>
  <c r="Q287"/>
  <c r="T287" s="1"/>
  <c r="Q285"/>
  <c r="T285" s="1"/>
  <c r="Q283"/>
  <c r="T283" s="1"/>
  <c r="Q281"/>
  <c r="T281" s="1"/>
  <c r="Q279"/>
  <c r="T279" s="1"/>
  <c r="Q277"/>
  <c r="T277" s="1"/>
  <c r="Q275"/>
  <c r="T275" s="1"/>
  <c r="Q273"/>
  <c r="T273" s="1"/>
  <c r="Q271"/>
  <c r="T271" s="1"/>
  <c r="Q269"/>
  <c r="T269" s="1"/>
  <c r="Q267"/>
  <c r="T267" s="1"/>
  <c r="Q265"/>
  <c r="T265" s="1"/>
  <c r="Q263"/>
  <c r="T263" s="1"/>
  <c r="Q261"/>
  <c r="T261" s="1"/>
  <c r="Q259"/>
  <c r="T259" s="1"/>
  <c r="Q257"/>
  <c r="T257" s="1"/>
  <c r="Q255"/>
  <c r="T255" s="1"/>
  <c r="Q253"/>
  <c r="T253" s="1"/>
  <c r="Q251"/>
  <c r="T251" s="1"/>
  <c r="Q249"/>
  <c r="T249" s="1"/>
  <c r="Q247"/>
  <c r="T247" s="1"/>
  <c r="Q245"/>
  <c r="T245" s="1"/>
  <c r="Q243"/>
  <c r="T243" s="1"/>
  <c r="Q241"/>
  <c r="T241" s="1"/>
  <c r="Q239"/>
  <c r="T239" s="1"/>
  <c r="Q237"/>
  <c r="T237" s="1"/>
  <c r="Q235"/>
  <c r="T235" s="1"/>
  <c r="Q233"/>
  <c r="T233" s="1"/>
  <c r="Q231"/>
  <c r="T231" s="1"/>
  <c r="Q229"/>
  <c r="T229" s="1"/>
  <c r="Q227"/>
  <c r="T227" s="1"/>
  <c r="Q225"/>
  <c r="T225" s="1"/>
  <c r="Q223"/>
  <c r="T223" s="1"/>
  <c r="Q221"/>
  <c r="T221" s="1"/>
  <c r="Q219"/>
  <c r="T219" s="1"/>
  <c r="Q217"/>
  <c r="T217" s="1"/>
  <c r="Q215"/>
  <c r="T215" s="1"/>
  <c r="Q213"/>
  <c r="T213" s="1"/>
  <c r="Q211"/>
  <c r="T211" s="1"/>
  <c r="Q209"/>
  <c r="T209" s="1"/>
  <c r="Q207"/>
  <c r="T207" s="1"/>
  <c r="Q205"/>
  <c r="T205" s="1"/>
  <c r="Q203"/>
  <c r="T203" s="1"/>
  <c r="Q201"/>
  <c r="T201" s="1"/>
  <c r="Q199"/>
  <c r="T199" s="1"/>
  <c r="Q197"/>
  <c r="T197" s="1"/>
  <c r="Q195"/>
  <c r="T195" s="1"/>
  <c r="Q193"/>
  <c r="T193" s="1"/>
  <c r="Q191"/>
  <c r="T191" s="1"/>
  <c r="Q189"/>
  <c r="T189" s="1"/>
  <c r="Q187"/>
  <c r="T187" s="1"/>
  <c r="Q185"/>
  <c r="T185" s="1"/>
  <c r="Q183"/>
  <c r="T183" s="1"/>
  <c r="Q181"/>
  <c r="T181" s="1"/>
  <c r="Q179"/>
  <c r="T179" s="1"/>
  <c r="Q177"/>
  <c r="T177" s="1"/>
  <c r="Q175"/>
  <c r="T175" s="1"/>
  <c r="Q173"/>
  <c r="T173" s="1"/>
  <c r="Q171"/>
  <c r="T171" s="1"/>
  <c r="Q169"/>
  <c r="T169" s="1"/>
  <c r="Q167"/>
  <c r="T167" s="1"/>
  <c r="Q165"/>
  <c r="T165" s="1"/>
  <c r="Q163"/>
  <c r="T163" s="1"/>
  <c r="Q161"/>
  <c r="T161" s="1"/>
  <c r="Q159"/>
  <c r="T159" s="1"/>
  <c r="Q157"/>
  <c r="T157" s="1"/>
  <c r="Q155"/>
  <c r="T155" s="1"/>
  <c r="Q153"/>
  <c r="T153" s="1"/>
  <c r="Q151"/>
  <c r="T151" s="1"/>
  <c r="Q149"/>
  <c r="T149" s="1"/>
  <c r="Q147"/>
  <c r="T147" s="1"/>
  <c r="Q145"/>
  <c r="T145" s="1"/>
  <c r="Q143"/>
  <c r="T143" s="1"/>
  <c r="Q141"/>
  <c r="T141" s="1"/>
  <c r="Q139"/>
  <c r="T139" s="1"/>
  <c r="Q137"/>
  <c r="T137" s="1"/>
  <c r="Q135"/>
  <c r="T135" s="1"/>
  <c r="Q133"/>
  <c r="T133" s="1"/>
  <c r="Q131"/>
  <c r="T131" s="1"/>
  <c r="Q129"/>
  <c r="T129" s="1"/>
  <c r="Q127"/>
  <c r="T127" s="1"/>
  <c r="Q125"/>
  <c r="T125" s="1"/>
  <c r="Q123"/>
  <c r="T123" s="1"/>
  <c r="Q121"/>
  <c r="T121" s="1"/>
  <c r="Q119"/>
  <c r="T119" s="1"/>
  <c r="Q117"/>
  <c r="T117" s="1"/>
  <c r="Q115"/>
  <c r="T115" s="1"/>
  <c r="Q113"/>
  <c r="T113" s="1"/>
  <c r="Q111"/>
  <c r="T111" s="1"/>
  <c r="Q109"/>
  <c r="T109" s="1"/>
  <c r="Q107"/>
  <c r="T107" s="1"/>
  <c r="Q105"/>
  <c r="T105" s="1"/>
  <c r="Q103"/>
  <c r="T103" s="1"/>
  <c r="Q101"/>
  <c r="T101" s="1"/>
  <c r="Q99"/>
  <c r="T99" s="1"/>
  <c r="Q97"/>
  <c r="T97" s="1"/>
  <c r="Q95"/>
  <c r="T95" s="1"/>
  <c r="Q93"/>
  <c r="T93" s="1"/>
  <c r="Q91"/>
  <c r="T91" s="1"/>
  <c r="Q89"/>
  <c r="T89" s="1"/>
  <c r="Q87"/>
  <c r="T87" s="1"/>
  <c r="Q85"/>
  <c r="T85" s="1"/>
  <c r="Q83"/>
  <c r="T83" s="1"/>
  <c r="Q81"/>
  <c r="T81" s="1"/>
  <c r="Q79"/>
  <c r="T79" s="1"/>
  <c r="Q77"/>
  <c r="T77" s="1"/>
  <c r="Q75"/>
  <c r="T75" s="1"/>
  <c r="Q73"/>
  <c r="T73" s="1"/>
  <c r="Q72"/>
  <c r="T72" s="1"/>
  <c r="Q70"/>
  <c r="Q68"/>
  <c r="W68" s="1"/>
  <c r="Q66"/>
  <c r="Q64"/>
  <c r="W64" s="1"/>
  <c r="Q62"/>
  <c r="Q60"/>
  <c r="W60" s="1"/>
  <c r="Q58"/>
  <c r="Q56"/>
  <c r="W56" s="1"/>
  <c r="Q54"/>
  <c r="Q52"/>
  <c r="W52" s="1"/>
  <c r="Q50"/>
  <c r="Q48"/>
  <c r="W48" s="1"/>
  <c r="Q46"/>
  <c r="Q44"/>
  <c r="W44" s="1"/>
  <c r="Q42"/>
  <c r="Q40"/>
  <c r="W40" s="1"/>
  <c r="Q38"/>
  <c r="Q36"/>
  <c r="W36" s="1"/>
  <c r="Q34"/>
  <c r="Q32"/>
  <c r="W32" s="1"/>
  <c r="Q30"/>
  <c r="Q28"/>
  <c r="W28" s="1"/>
  <c r="Q26"/>
  <c r="Q24"/>
  <c r="W24" s="1"/>
  <c r="Q22"/>
  <c r="Q20"/>
  <c r="W20" s="1"/>
  <c r="Q18"/>
  <c r="Q16"/>
  <c r="W16" s="1"/>
  <c r="Q14"/>
  <c r="Q12"/>
  <c r="W12" s="1"/>
  <c r="Q9"/>
  <c r="W9" s="1"/>
  <c r="Q7"/>
  <c r="Q5"/>
  <c r="W5" s="1"/>
  <c r="Q4"/>
  <c r="Q3"/>
  <c r="Q315"/>
  <c r="T315" s="1"/>
  <c r="Q311"/>
  <c r="Q306"/>
  <c r="T306" s="1"/>
  <c r="Q304"/>
  <c r="T304" s="1"/>
  <c r="Q302"/>
  <c r="T302" s="1"/>
  <c r="Q300"/>
  <c r="T300" s="1"/>
  <c r="Q298"/>
  <c r="T298" s="1"/>
  <c r="Q296"/>
  <c r="T296" s="1"/>
  <c r="Q294"/>
  <c r="T294" s="1"/>
  <c r="Q292"/>
  <c r="T292" s="1"/>
  <c r="Q290"/>
  <c r="T290" s="1"/>
  <c r="Q288"/>
  <c r="T288" s="1"/>
  <c r="Q286"/>
  <c r="T286" s="1"/>
  <c r="Q284"/>
  <c r="T284" s="1"/>
  <c r="Q282"/>
  <c r="T282" s="1"/>
  <c r="Q280"/>
  <c r="T280" s="1"/>
  <c r="Q278"/>
  <c r="T278" s="1"/>
  <c r="Q276"/>
  <c r="T276" s="1"/>
  <c r="Q274"/>
  <c r="T274" s="1"/>
  <c r="Q272"/>
  <c r="T272" s="1"/>
  <c r="Q270"/>
  <c r="T270" s="1"/>
  <c r="Q268"/>
  <c r="T268" s="1"/>
  <c r="Q266"/>
  <c r="T266" s="1"/>
  <c r="Q264"/>
  <c r="T264" s="1"/>
  <c r="Q262"/>
  <c r="T262" s="1"/>
  <c r="Q260"/>
  <c r="T260" s="1"/>
  <c r="Q258"/>
  <c r="T258" s="1"/>
  <c r="Q256"/>
  <c r="T256" s="1"/>
  <c r="Q254"/>
  <c r="T254" s="1"/>
  <c r="Q252"/>
  <c r="T252" s="1"/>
  <c r="Q250"/>
  <c r="T250" s="1"/>
  <c r="Q248"/>
  <c r="T248" s="1"/>
  <c r="Q246"/>
  <c r="T246" s="1"/>
  <c r="Q244"/>
  <c r="T244" s="1"/>
  <c r="Q242"/>
  <c r="T242" s="1"/>
  <c r="Q240"/>
  <c r="T240" s="1"/>
  <c r="Q238"/>
  <c r="T238" s="1"/>
  <c r="Q236"/>
  <c r="T236" s="1"/>
  <c r="Q234"/>
  <c r="T234" s="1"/>
  <c r="Q232"/>
  <c r="T232" s="1"/>
  <c r="Q230"/>
  <c r="T230" s="1"/>
  <c r="Q228"/>
  <c r="T228" s="1"/>
  <c r="Q226"/>
  <c r="T226" s="1"/>
  <c r="Q224"/>
  <c r="T224" s="1"/>
  <c r="Q222"/>
  <c r="T222" s="1"/>
  <c r="Q220"/>
  <c r="T220" s="1"/>
  <c r="Q218"/>
  <c r="T218" s="1"/>
  <c r="Q216"/>
  <c r="T216" s="1"/>
  <c r="Q214"/>
  <c r="T214" s="1"/>
  <c r="Q212"/>
  <c r="T212" s="1"/>
  <c r="Q210"/>
  <c r="T210" s="1"/>
  <c r="Q208"/>
  <c r="T208" s="1"/>
  <c r="Q206"/>
  <c r="T206" s="1"/>
  <c r="Q204"/>
  <c r="T204" s="1"/>
  <c r="Q202"/>
  <c r="T202" s="1"/>
  <c r="Q200"/>
  <c r="T200" s="1"/>
  <c r="Q198"/>
  <c r="T198" s="1"/>
  <c r="Q196"/>
  <c r="T196" s="1"/>
  <c r="Q194"/>
  <c r="T194" s="1"/>
  <c r="Q192"/>
  <c r="T192" s="1"/>
  <c r="Q190"/>
  <c r="T190" s="1"/>
  <c r="Q188"/>
  <c r="T188" s="1"/>
  <c r="Q186"/>
  <c r="T186" s="1"/>
  <c r="Q184"/>
  <c r="T184" s="1"/>
  <c r="Q182"/>
  <c r="T182" s="1"/>
  <c r="Q180"/>
  <c r="T180" s="1"/>
  <c r="Q178"/>
  <c r="T178" s="1"/>
  <c r="Q176"/>
  <c r="T176" s="1"/>
  <c r="Q174"/>
  <c r="T174" s="1"/>
  <c r="Q172"/>
  <c r="T172" s="1"/>
  <c r="Q170"/>
  <c r="T170" s="1"/>
  <c r="Q168"/>
  <c r="T168" s="1"/>
  <c r="Q166"/>
  <c r="T166" s="1"/>
  <c r="Q164"/>
  <c r="T164" s="1"/>
  <c r="Q162"/>
  <c r="T162" s="1"/>
  <c r="Q160"/>
  <c r="T160" s="1"/>
  <c r="Q158"/>
  <c r="T158" s="1"/>
  <c r="Q156"/>
  <c r="T156" s="1"/>
  <c r="Q154"/>
  <c r="T154" s="1"/>
  <c r="Q152"/>
  <c r="T152" s="1"/>
  <c r="Q150"/>
  <c r="T150" s="1"/>
  <c r="Q148"/>
  <c r="T148" s="1"/>
  <c r="Q146"/>
  <c r="T146" s="1"/>
  <c r="Q144"/>
  <c r="T144" s="1"/>
  <c r="Q142"/>
  <c r="T142" s="1"/>
  <c r="Q140"/>
  <c r="T140" s="1"/>
  <c r="Q138"/>
  <c r="T138" s="1"/>
  <c r="Q136"/>
  <c r="T136" s="1"/>
  <c r="Q134"/>
  <c r="T134" s="1"/>
  <c r="Q132"/>
  <c r="T132" s="1"/>
  <c r="Q130"/>
  <c r="T130" s="1"/>
  <c r="Q128"/>
  <c r="T128" s="1"/>
  <c r="Q126"/>
  <c r="T126" s="1"/>
  <c r="Q124"/>
  <c r="T124" s="1"/>
  <c r="Q122"/>
  <c r="T122" s="1"/>
  <c r="Q120"/>
  <c r="T120" s="1"/>
  <c r="Q118"/>
  <c r="T118" s="1"/>
  <c r="Q116"/>
  <c r="T116" s="1"/>
  <c r="Q114"/>
  <c r="T114" s="1"/>
  <c r="Q112"/>
  <c r="T112" s="1"/>
  <c r="Q110"/>
  <c r="T110" s="1"/>
  <c r="Q108"/>
  <c r="T108" s="1"/>
  <c r="Q106"/>
  <c r="T106" s="1"/>
  <c r="Q104"/>
  <c r="T104" s="1"/>
  <c r="Q102"/>
  <c r="T102" s="1"/>
  <c r="Q100"/>
  <c r="T100" s="1"/>
  <c r="Q98"/>
  <c r="T98" s="1"/>
  <c r="Q96"/>
  <c r="T96" s="1"/>
  <c r="Q94"/>
  <c r="T94" s="1"/>
  <c r="Q92"/>
  <c r="T92" s="1"/>
  <c r="Q90"/>
  <c r="T90" s="1"/>
  <c r="Q88"/>
  <c r="T88" s="1"/>
  <c r="Q86"/>
  <c r="T86" s="1"/>
  <c r="Q84"/>
  <c r="T84" s="1"/>
  <c r="Q82"/>
  <c r="T82" s="1"/>
  <c r="Q80"/>
  <c r="T80" s="1"/>
  <c r="Q78"/>
  <c r="T78" s="1"/>
  <c r="Q76"/>
  <c r="T76" s="1"/>
  <c r="Q74"/>
  <c r="T74" s="1"/>
  <c r="Q71"/>
  <c r="T71" s="1"/>
  <c r="Q69"/>
  <c r="Q67"/>
  <c r="T67" s="1"/>
  <c r="Q65"/>
  <c r="Q63"/>
  <c r="T63" s="1"/>
  <c r="Q61"/>
  <c r="Q59"/>
  <c r="T59" s="1"/>
  <c r="Q57"/>
  <c r="Q55"/>
  <c r="T55" s="1"/>
  <c r="Q53"/>
  <c r="Q51"/>
  <c r="T51" s="1"/>
  <c r="Q49"/>
  <c r="Q47"/>
  <c r="T47" s="1"/>
  <c r="Q45"/>
  <c r="Q43"/>
  <c r="T43" s="1"/>
  <c r="Q41"/>
  <c r="Q39"/>
  <c r="T39" s="1"/>
  <c r="Q37"/>
  <c r="Q35"/>
  <c r="T35" s="1"/>
  <c r="Q33"/>
  <c r="Q31"/>
  <c r="T31" s="1"/>
  <c r="Q29"/>
  <c r="Q27"/>
  <c r="T27" s="1"/>
  <c r="Q25"/>
  <c r="Q23"/>
  <c r="T23" s="1"/>
  <c r="Q21"/>
  <c r="Q19"/>
  <c r="T19" s="1"/>
  <c r="Q17"/>
  <c r="Q15"/>
  <c r="T15" s="1"/>
  <c r="Q13"/>
  <c r="Q11"/>
  <c r="T11" s="1"/>
  <c r="Q8"/>
  <c r="T8" s="1"/>
  <c r="Q6"/>
  <c r="T13" l="1"/>
  <c r="W13"/>
  <c r="T17"/>
  <c r="W17"/>
  <c r="T21"/>
  <c r="W21"/>
  <c r="T25"/>
  <c r="W25"/>
  <c r="T29"/>
  <c r="W29"/>
  <c r="T33"/>
  <c r="W33"/>
  <c r="T37"/>
  <c r="W37"/>
  <c r="T41"/>
  <c r="W41"/>
  <c r="T45"/>
  <c r="W45"/>
  <c r="T49"/>
  <c r="W49"/>
  <c r="T53"/>
  <c r="W53"/>
  <c r="T57"/>
  <c r="W57"/>
  <c r="T61"/>
  <c r="W61"/>
  <c r="T65"/>
  <c r="W65"/>
  <c r="T69"/>
  <c r="W69"/>
  <c r="T4"/>
  <c r="W4"/>
  <c r="W7"/>
  <c r="T7"/>
  <c r="W310"/>
  <c r="T310"/>
  <c r="W314"/>
  <c r="T314"/>
  <c r="T318"/>
  <c r="W318"/>
  <c r="T322"/>
  <c r="W322"/>
  <c r="T326"/>
  <c r="W326"/>
  <c r="T330"/>
  <c r="W330"/>
  <c r="T334"/>
  <c r="W334"/>
  <c r="T338"/>
  <c r="W338"/>
  <c r="T342"/>
  <c r="W342"/>
  <c r="T346"/>
  <c r="W346"/>
  <c r="T350"/>
  <c r="W350"/>
  <c r="T354"/>
  <c r="W354"/>
  <c r="T358"/>
  <c r="W358"/>
  <c r="T362"/>
  <c r="W362"/>
  <c r="T366"/>
  <c r="W366"/>
  <c r="T370"/>
  <c r="W370"/>
  <c r="T374"/>
  <c r="W374"/>
  <c r="T378"/>
  <c r="W378"/>
  <c r="T382"/>
  <c r="W382"/>
  <c r="T386"/>
  <c r="W386"/>
  <c r="T390"/>
  <c r="W390"/>
  <c r="T394"/>
  <c r="W394"/>
  <c r="T398"/>
  <c r="W398"/>
  <c r="T402"/>
  <c r="W402"/>
  <c r="T406"/>
  <c r="W406"/>
  <c r="T410"/>
  <c r="W410"/>
  <c r="T414"/>
  <c r="W414"/>
  <c r="T418"/>
  <c r="W418"/>
  <c r="T422"/>
  <c r="W422"/>
  <c r="T426"/>
  <c r="W426"/>
  <c r="T430"/>
  <c r="W430"/>
  <c r="T434"/>
  <c r="W434"/>
  <c r="T438"/>
  <c r="W438"/>
  <c r="T442"/>
  <c r="W442"/>
  <c r="T446"/>
  <c r="W446"/>
  <c r="T450"/>
  <c r="W450"/>
  <c r="T454"/>
  <c r="W454"/>
  <c r="T458"/>
  <c r="W458"/>
  <c r="T462"/>
  <c r="W462"/>
  <c r="T466"/>
  <c r="W466"/>
  <c r="T470"/>
  <c r="W470"/>
  <c r="T474"/>
  <c r="W474"/>
  <c r="T478"/>
  <c r="W478"/>
  <c r="T482"/>
  <c r="W482"/>
  <c r="T486"/>
  <c r="W486"/>
  <c r="T490"/>
  <c r="W490"/>
  <c r="T494"/>
  <c r="W494"/>
  <c r="T498"/>
  <c r="W498"/>
  <c r="T502"/>
  <c r="W502"/>
  <c r="T506"/>
  <c r="W506"/>
  <c r="T510"/>
  <c r="W510"/>
  <c r="T514"/>
  <c r="W514"/>
  <c r="T518"/>
  <c r="W518"/>
  <c r="T522"/>
  <c r="W522"/>
  <c r="T526"/>
  <c r="W526"/>
  <c r="T530"/>
  <c r="W530"/>
  <c r="T534"/>
  <c r="W534"/>
  <c r="T538"/>
  <c r="W538"/>
  <c r="T542"/>
  <c r="W542"/>
  <c r="T546"/>
  <c r="W546"/>
  <c r="T550"/>
  <c r="W550"/>
  <c r="T554"/>
  <c r="W554"/>
  <c r="T558"/>
  <c r="W558"/>
  <c r="T562"/>
  <c r="W562"/>
  <c r="T566"/>
  <c r="W566"/>
  <c r="T570"/>
  <c r="W570"/>
  <c r="T574"/>
  <c r="W574"/>
  <c r="T578"/>
  <c r="W578"/>
  <c r="T582"/>
  <c r="W582"/>
  <c r="T586"/>
  <c r="W586"/>
  <c r="T590"/>
  <c r="W590"/>
  <c r="T594"/>
  <c r="W594"/>
  <c r="T598"/>
  <c r="W598"/>
  <c r="T602"/>
  <c r="W602"/>
  <c r="T606"/>
  <c r="W606"/>
  <c r="T610"/>
  <c r="W610"/>
  <c r="T614"/>
  <c r="W614"/>
  <c r="T618"/>
  <c r="W618"/>
  <c r="T622"/>
  <c r="W622"/>
  <c r="T626"/>
  <c r="W626"/>
  <c r="T946"/>
  <c r="W946"/>
  <c r="W632"/>
  <c r="T632"/>
  <c r="W636"/>
  <c r="T636"/>
  <c r="W640"/>
  <c r="T640"/>
  <c r="W644"/>
  <c r="T644"/>
  <c r="W648"/>
  <c r="T648"/>
  <c r="W652"/>
  <c r="T652"/>
  <c r="W656"/>
  <c r="T656"/>
  <c r="W660"/>
  <c r="T660"/>
  <c r="W664"/>
  <c r="T664"/>
  <c r="W668"/>
  <c r="T668"/>
  <c r="W672"/>
  <c r="T672"/>
  <c r="W676"/>
  <c r="T676"/>
  <c r="W680"/>
  <c r="T680"/>
  <c r="W684"/>
  <c r="T684"/>
  <c r="W688"/>
  <c r="T688"/>
  <c r="W692"/>
  <c r="T692"/>
  <c r="W696"/>
  <c r="T696"/>
  <c r="W700"/>
  <c r="T700"/>
  <c r="W704"/>
  <c r="T704"/>
  <c r="W708"/>
  <c r="T708"/>
  <c r="W712"/>
  <c r="T712"/>
  <c r="W716"/>
  <c r="T716"/>
  <c r="W720"/>
  <c r="T720"/>
  <c r="W724"/>
  <c r="T724"/>
  <c r="W728"/>
  <c r="T728"/>
  <c r="W732"/>
  <c r="T732"/>
  <c r="W736"/>
  <c r="T736"/>
  <c r="W740"/>
  <c r="T740"/>
  <c r="W744"/>
  <c r="T744"/>
  <c r="W748"/>
  <c r="T748"/>
  <c r="W752"/>
  <c r="T752"/>
  <c r="W756"/>
  <c r="T756"/>
  <c r="W760"/>
  <c r="T760"/>
  <c r="W764"/>
  <c r="T764"/>
  <c r="W768"/>
  <c r="T768"/>
  <c r="W772"/>
  <c r="T772"/>
  <c r="W776"/>
  <c r="T776"/>
  <c r="W780"/>
  <c r="T780"/>
  <c r="W784"/>
  <c r="T784"/>
  <c r="W788"/>
  <c r="T788"/>
  <c r="W792"/>
  <c r="T792"/>
  <c r="W796"/>
  <c r="T796"/>
  <c r="W800"/>
  <c r="T800"/>
  <c r="W804"/>
  <c r="T804"/>
  <c r="W808"/>
  <c r="T808"/>
  <c r="W812"/>
  <c r="T812"/>
  <c r="W816"/>
  <c r="T816"/>
  <c r="W820"/>
  <c r="T820"/>
  <c r="W824"/>
  <c r="T824"/>
  <c r="W828"/>
  <c r="T828"/>
  <c r="W832"/>
  <c r="T832"/>
  <c r="W836"/>
  <c r="T836"/>
  <c r="W840"/>
  <c r="T840"/>
  <c r="W844"/>
  <c r="T844"/>
  <c r="W848"/>
  <c r="T848"/>
  <c r="W852"/>
  <c r="T852"/>
  <c r="W856"/>
  <c r="T856"/>
  <c r="W860"/>
  <c r="T860"/>
  <c r="W864"/>
  <c r="T864"/>
  <c r="W868"/>
  <c r="T868"/>
  <c r="W872"/>
  <c r="T872"/>
  <c r="W876"/>
  <c r="T876"/>
  <c r="W880"/>
  <c r="T880"/>
  <c r="W884"/>
  <c r="T884"/>
  <c r="W888"/>
  <c r="T888"/>
  <c r="W892"/>
  <c r="T892"/>
  <c r="W896"/>
  <c r="T896"/>
  <c r="W900"/>
  <c r="T900"/>
  <c r="W904"/>
  <c r="T904"/>
  <c r="W908"/>
  <c r="T908"/>
  <c r="W912"/>
  <c r="T912"/>
  <c r="W916"/>
  <c r="T916"/>
  <c r="W920"/>
  <c r="T920"/>
  <c r="W924"/>
  <c r="T924"/>
  <c r="W928"/>
  <c r="T928"/>
  <c r="W932"/>
  <c r="T932"/>
  <c r="W936"/>
  <c r="T936"/>
  <c r="W940"/>
  <c r="T940"/>
  <c r="T1020"/>
  <c r="T1019"/>
  <c r="W8"/>
  <c r="T12"/>
  <c r="T16"/>
  <c r="T20"/>
  <c r="T24"/>
  <c r="T28"/>
  <c r="T32"/>
  <c r="T36"/>
  <c r="T40"/>
  <c r="T44"/>
  <c r="T48"/>
  <c r="T52"/>
  <c r="T56"/>
  <c r="T60"/>
  <c r="T64"/>
  <c r="T68"/>
  <c r="W72"/>
  <c r="W10"/>
  <c r="W75"/>
  <c r="W79"/>
  <c r="W83"/>
  <c r="W87"/>
  <c r="W91"/>
  <c r="W95"/>
  <c r="W99"/>
  <c r="W103"/>
  <c r="W107"/>
  <c r="W111"/>
  <c r="W115"/>
  <c r="W119"/>
  <c r="W123"/>
  <c r="W127"/>
  <c r="W131"/>
  <c r="W135"/>
  <c r="W139"/>
  <c r="W143"/>
  <c r="W147"/>
  <c r="W151"/>
  <c r="W155"/>
  <c r="W159"/>
  <c r="W163"/>
  <c r="W167"/>
  <c r="W171"/>
  <c r="W175"/>
  <c r="W179"/>
  <c r="W183"/>
  <c r="W187"/>
  <c r="W191"/>
  <c r="W195"/>
  <c r="W199"/>
  <c r="W203"/>
  <c r="W207"/>
  <c r="W211"/>
  <c r="W215"/>
  <c r="W219"/>
  <c r="W223"/>
  <c r="W227"/>
  <c r="W231"/>
  <c r="W235"/>
  <c r="W239"/>
  <c r="W243"/>
  <c r="W247"/>
  <c r="W251"/>
  <c r="W255"/>
  <c r="W259"/>
  <c r="W263"/>
  <c r="W267"/>
  <c r="W271"/>
  <c r="W275"/>
  <c r="W279"/>
  <c r="W283"/>
  <c r="W287"/>
  <c r="W291"/>
  <c r="W295"/>
  <c r="W299"/>
  <c r="W303"/>
  <c r="W307"/>
  <c r="W315"/>
  <c r="T319"/>
  <c r="T323"/>
  <c r="T327"/>
  <c r="T331"/>
  <c r="T335"/>
  <c r="T339"/>
  <c r="T343"/>
  <c r="T347"/>
  <c r="T351"/>
  <c r="T355"/>
  <c r="T359"/>
  <c r="T363"/>
  <c r="T367"/>
  <c r="T371"/>
  <c r="T375"/>
  <c r="T379"/>
  <c r="T383"/>
  <c r="T387"/>
  <c r="T391"/>
  <c r="T395"/>
  <c r="T399"/>
  <c r="T403"/>
  <c r="T407"/>
  <c r="T411"/>
  <c r="T415"/>
  <c r="T419"/>
  <c r="T423"/>
  <c r="T427"/>
  <c r="T431"/>
  <c r="T435"/>
  <c r="T439"/>
  <c r="T443"/>
  <c r="T447"/>
  <c r="T451"/>
  <c r="T455"/>
  <c r="T459"/>
  <c r="T463"/>
  <c r="T467"/>
  <c r="T471"/>
  <c r="T475"/>
  <c r="T479"/>
  <c r="T483"/>
  <c r="T487"/>
  <c r="T491"/>
  <c r="T495"/>
  <c r="T499"/>
  <c r="T503"/>
  <c r="T507"/>
  <c r="T511"/>
  <c r="T515"/>
  <c r="T519"/>
  <c r="T523"/>
  <c r="T527"/>
  <c r="T531"/>
  <c r="T535"/>
  <c r="T539"/>
  <c r="T543"/>
  <c r="T547"/>
  <c r="T551"/>
  <c r="T555"/>
  <c r="T559"/>
  <c r="T563"/>
  <c r="T567"/>
  <c r="T571"/>
  <c r="T575"/>
  <c r="T579"/>
  <c r="T583"/>
  <c r="T587"/>
  <c r="T591"/>
  <c r="T595"/>
  <c r="T599"/>
  <c r="T603"/>
  <c r="T607"/>
  <c r="T611"/>
  <c r="T615"/>
  <c r="T619"/>
  <c r="T623"/>
  <c r="T627"/>
  <c r="W631"/>
  <c r="W639"/>
  <c r="W647"/>
  <c r="W655"/>
  <c r="W663"/>
  <c r="W633"/>
  <c r="W641"/>
  <c r="W649"/>
  <c r="W657"/>
  <c r="W665"/>
  <c r="W669"/>
  <c r="W673"/>
  <c r="W677"/>
  <c r="W681"/>
  <c r="W685"/>
  <c r="W689"/>
  <c r="W693"/>
  <c r="W697"/>
  <c r="W701"/>
  <c r="W705"/>
  <c r="W709"/>
  <c r="W713"/>
  <c r="W717"/>
  <c r="W721"/>
  <c r="W725"/>
  <c r="W729"/>
  <c r="W733"/>
  <c r="W737"/>
  <c r="W741"/>
  <c r="W745"/>
  <c r="W749"/>
  <c r="W753"/>
  <c r="W757"/>
  <c r="W761"/>
  <c r="W765"/>
  <c r="W769"/>
  <c r="W773"/>
  <c r="W777"/>
  <c r="W781"/>
  <c r="W785"/>
  <c r="W789"/>
  <c r="W793"/>
  <c r="W797"/>
  <c r="W801"/>
  <c r="W805"/>
  <c r="W809"/>
  <c r="W813"/>
  <c r="W817"/>
  <c r="W821"/>
  <c r="W825"/>
  <c r="W829"/>
  <c r="W833"/>
  <c r="W837"/>
  <c r="W841"/>
  <c r="W845"/>
  <c r="W849"/>
  <c r="W853"/>
  <c r="W857"/>
  <c r="W861"/>
  <c r="W865"/>
  <c r="W869"/>
  <c r="W873"/>
  <c r="W877"/>
  <c r="W881"/>
  <c r="W885"/>
  <c r="W889"/>
  <c r="W893"/>
  <c r="W897"/>
  <c r="W901"/>
  <c r="W905"/>
  <c r="W909"/>
  <c r="W913"/>
  <c r="W917"/>
  <c r="W921"/>
  <c r="W925"/>
  <c r="W929"/>
  <c r="W933"/>
  <c r="W937"/>
  <c r="W941"/>
  <c r="W74"/>
  <c r="W78"/>
  <c r="W82"/>
  <c r="W86"/>
  <c r="W90"/>
  <c r="W94"/>
  <c r="W98"/>
  <c r="W102"/>
  <c r="W106"/>
  <c r="W110"/>
  <c r="W114"/>
  <c r="W118"/>
  <c r="W122"/>
  <c r="W126"/>
  <c r="W130"/>
  <c r="W134"/>
  <c r="W138"/>
  <c r="W142"/>
  <c r="W146"/>
  <c r="W150"/>
  <c r="W154"/>
  <c r="W158"/>
  <c r="W162"/>
  <c r="W166"/>
  <c r="W170"/>
  <c r="W174"/>
  <c r="W178"/>
  <c r="W182"/>
  <c r="W186"/>
  <c r="W190"/>
  <c r="W194"/>
  <c r="W198"/>
  <c r="W202"/>
  <c r="W206"/>
  <c r="W210"/>
  <c r="W214"/>
  <c r="W218"/>
  <c r="W222"/>
  <c r="W226"/>
  <c r="W230"/>
  <c r="W234"/>
  <c r="W238"/>
  <c r="W242"/>
  <c r="W246"/>
  <c r="W250"/>
  <c r="W254"/>
  <c r="W258"/>
  <c r="W262"/>
  <c r="W266"/>
  <c r="W270"/>
  <c r="W274"/>
  <c r="W278"/>
  <c r="W282"/>
  <c r="W286"/>
  <c r="W290"/>
  <c r="W294"/>
  <c r="W298"/>
  <c r="W302"/>
  <c r="W306"/>
  <c r="T313"/>
  <c r="T943"/>
  <c r="W1016"/>
  <c r="W1015"/>
  <c r="T5"/>
  <c r="T9"/>
  <c r="W11"/>
  <c r="W15"/>
  <c r="W19"/>
  <c r="W23"/>
  <c r="W27"/>
  <c r="W31"/>
  <c r="W35"/>
  <c r="W39"/>
  <c r="W43"/>
  <c r="W47"/>
  <c r="W51"/>
  <c r="W55"/>
  <c r="W59"/>
  <c r="W63"/>
  <c r="W67"/>
  <c r="W71"/>
  <c r="W316"/>
  <c r="W320"/>
  <c r="W324"/>
  <c r="W328"/>
  <c r="W332"/>
  <c r="W336"/>
  <c r="W340"/>
  <c r="W344"/>
  <c r="W348"/>
  <c r="W352"/>
  <c r="W356"/>
  <c r="W360"/>
  <c r="W364"/>
  <c r="W368"/>
  <c r="W372"/>
  <c r="W376"/>
  <c r="W380"/>
  <c r="W384"/>
  <c r="W388"/>
  <c r="W392"/>
  <c r="W396"/>
  <c r="W400"/>
  <c r="W404"/>
  <c r="W408"/>
  <c r="W412"/>
  <c r="W416"/>
  <c r="W420"/>
  <c r="W424"/>
  <c r="W428"/>
  <c r="W432"/>
  <c r="W436"/>
  <c r="W440"/>
  <c r="W444"/>
  <c r="W448"/>
  <c r="W452"/>
  <c r="W456"/>
  <c r="W460"/>
  <c r="W464"/>
  <c r="W468"/>
  <c r="W472"/>
  <c r="W476"/>
  <c r="W480"/>
  <c r="W484"/>
  <c r="W488"/>
  <c r="W492"/>
  <c r="W496"/>
  <c r="W500"/>
  <c r="W504"/>
  <c r="W508"/>
  <c r="W512"/>
  <c r="W516"/>
  <c r="W520"/>
  <c r="W524"/>
  <c r="W528"/>
  <c r="W532"/>
  <c r="W536"/>
  <c r="W540"/>
  <c r="W544"/>
  <c r="W548"/>
  <c r="W552"/>
  <c r="W556"/>
  <c r="W560"/>
  <c r="W564"/>
  <c r="W568"/>
  <c r="W572"/>
  <c r="W576"/>
  <c r="W580"/>
  <c r="W584"/>
  <c r="W588"/>
  <c r="W592"/>
  <c r="W596"/>
  <c r="W600"/>
  <c r="W604"/>
  <c r="W608"/>
  <c r="W612"/>
  <c r="W616"/>
  <c r="W620"/>
  <c r="W624"/>
  <c r="W628"/>
  <c r="T630"/>
  <c r="T634"/>
  <c r="T638"/>
  <c r="T642"/>
  <c r="T646"/>
  <c r="T650"/>
  <c r="T654"/>
  <c r="T658"/>
  <c r="T662"/>
  <c r="T666"/>
  <c r="T670"/>
  <c r="T674"/>
  <c r="T678"/>
  <c r="T682"/>
  <c r="T686"/>
  <c r="T690"/>
  <c r="T694"/>
  <c r="T698"/>
  <c r="T702"/>
  <c r="T706"/>
  <c r="T710"/>
  <c r="T714"/>
  <c r="T718"/>
  <c r="T722"/>
  <c r="T726"/>
  <c r="T730"/>
  <c r="T734"/>
  <c r="T738"/>
  <c r="T742"/>
  <c r="T746"/>
  <c r="T750"/>
  <c r="T754"/>
  <c r="T758"/>
  <c r="T762"/>
  <c r="T766"/>
  <c r="T770"/>
  <c r="T774"/>
  <c r="T778"/>
  <c r="T782"/>
  <c r="T786"/>
  <c r="T790"/>
  <c r="T794"/>
  <c r="T798"/>
  <c r="T802"/>
  <c r="T806"/>
  <c r="T810"/>
  <c r="T814"/>
  <c r="T818"/>
  <c r="T822"/>
  <c r="T826"/>
  <c r="T830"/>
  <c r="T834"/>
  <c r="T838"/>
  <c r="T842"/>
  <c r="T846"/>
  <c r="T850"/>
  <c r="T854"/>
  <c r="T858"/>
  <c r="T862"/>
  <c r="T866"/>
  <c r="T870"/>
  <c r="T874"/>
  <c r="T878"/>
  <c r="T882"/>
  <c r="T886"/>
  <c r="T890"/>
  <c r="T894"/>
  <c r="T898"/>
  <c r="T902"/>
  <c r="T906"/>
  <c r="T910"/>
  <c r="T914"/>
  <c r="T918"/>
  <c r="T922"/>
  <c r="T926"/>
  <c r="T930"/>
  <c r="T934"/>
  <c r="T938"/>
  <c r="T942"/>
  <c r="W944"/>
</calcChain>
</file>

<file path=xl/comments1.xml><?xml version="1.0" encoding="utf-8"?>
<comments xmlns="http://schemas.openxmlformats.org/spreadsheetml/2006/main">
  <authors>
    <author/>
  </authors>
  <commentList>
    <comment ref="B2" authorId="0">
      <text>
        <r>
          <rPr>
            <b/>
            <sz val="8"/>
            <color indexed="8"/>
            <rFont val="DejaVu Sans"/>
            <family val="2"/>
          </rPr>
          <t xml:space="preserve"> </t>
        </r>
        <r>
          <rPr>
            <b/>
            <sz val="8"/>
            <color indexed="8"/>
            <rFont val="Times New Roman"/>
            <family val="1"/>
          </rPr>
          <t xml:space="preserve">:
</t>
        </r>
        <r>
          <rPr>
            <sz val="8"/>
            <color indexed="8"/>
            <rFont val="Times New Roman"/>
            <family val="1"/>
          </rPr>
          <t xml:space="preserve">number of values (1008 years of data)
</t>
        </r>
      </text>
    </comment>
    <comment ref="C2" authorId="0">
      <text>
        <r>
          <rPr>
            <b/>
            <sz val="8"/>
            <color indexed="8"/>
            <rFont val="DejaVu Sans"/>
            <family val="2"/>
          </rPr>
          <t xml:space="preserve"> </t>
        </r>
        <r>
          <rPr>
            <b/>
            <sz val="8"/>
            <color indexed="8"/>
            <rFont val="Times New Roman"/>
            <family val="1"/>
          </rPr>
          <t xml:space="preserve">:
</t>
        </r>
        <r>
          <rPr>
            <sz val="8"/>
            <color indexed="8"/>
            <rFont val="Times New Roman"/>
            <family val="1"/>
          </rPr>
          <t xml:space="preserve">rank </t>
        </r>
      </text>
    </comment>
    <comment ref="D2" authorId="0">
      <text>
        <r>
          <rPr>
            <b/>
            <sz val="8"/>
            <color indexed="8"/>
            <rFont val="DejaVu Sans"/>
            <family val="2"/>
          </rPr>
          <t xml:space="preserve"> </t>
        </r>
        <r>
          <rPr>
            <b/>
            <sz val="8"/>
            <color indexed="8"/>
            <rFont val="Times New Roman"/>
            <family val="1"/>
          </rPr>
          <t xml:space="preserve">:
</t>
        </r>
        <r>
          <rPr>
            <sz val="8"/>
            <color indexed="8"/>
            <rFont val="Times New Roman"/>
            <family val="1"/>
          </rPr>
          <t xml:space="preserve">Recurrance Interval (years)
</t>
        </r>
      </text>
    </comment>
    <comment ref="E2" authorId="0">
      <text>
        <r>
          <rPr>
            <b/>
            <sz val="8"/>
            <color indexed="8"/>
            <rFont val="DejaVu Sans"/>
            <family val="2"/>
          </rPr>
          <t xml:space="preserve"> </t>
        </r>
        <r>
          <rPr>
            <b/>
            <sz val="8"/>
            <color indexed="8"/>
            <rFont val="Times New Roman"/>
            <family val="1"/>
          </rPr>
          <t xml:space="preserve">:
</t>
        </r>
        <r>
          <rPr>
            <sz val="8"/>
            <color indexed="8"/>
            <rFont val="Times New Roman"/>
            <family val="1"/>
          </rPr>
          <t>Probablility that the  RECON value will be equalled or exceeded in any one year</t>
        </r>
      </text>
    </comment>
    <comment ref="F2" authorId="0">
      <text>
        <r>
          <rPr>
            <b/>
            <sz val="8"/>
            <color indexed="8"/>
            <rFont val="DejaVu Sans"/>
            <family val="2"/>
          </rPr>
          <t xml:space="preserve"> </t>
        </r>
        <r>
          <rPr>
            <b/>
            <sz val="8"/>
            <color indexed="8"/>
            <rFont val="Times New Roman"/>
            <family val="1"/>
          </rPr>
          <t xml:space="preserve">:
</t>
        </r>
        <r>
          <rPr>
            <sz val="8"/>
            <color indexed="8"/>
            <rFont val="Times New Roman"/>
            <family val="1"/>
          </rPr>
          <t>probability that at least one event that equals or exceeds the year event will occur in any series of N years</t>
        </r>
      </text>
    </comment>
    <comment ref="G2" authorId="0">
      <text>
        <r>
          <rPr>
            <b/>
            <sz val="8"/>
            <color indexed="8"/>
            <rFont val="DejaVu Sans"/>
            <family val="2"/>
          </rPr>
          <t xml:space="preserve"> </t>
        </r>
        <r>
          <rPr>
            <b/>
            <sz val="8"/>
            <color indexed="8"/>
            <rFont val="Times New Roman"/>
            <family val="1"/>
          </rPr>
          <t xml:space="preserve">:
</t>
        </r>
        <r>
          <rPr>
            <sz val="8"/>
            <color indexed="8"/>
            <rFont val="Times New Roman"/>
            <family val="1"/>
          </rPr>
          <t xml:space="preserve"> </t>
        </r>
        <r>
          <rPr>
            <i/>
            <sz val="8"/>
            <color indexed="8"/>
            <rFont val="Times New Roman"/>
            <family val="1"/>
          </rPr>
          <t>N</t>
        </r>
        <r>
          <rPr>
            <sz val="8"/>
            <color indexed="8"/>
            <rFont val="Times New Roman"/>
            <family val="1"/>
          </rPr>
          <t xml:space="preserve"> years</t>
        </r>
      </text>
    </comment>
    <comment ref="D31" authorId="0">
      <text>
        <r>
          <rPr>
            <sz val="10"/>
            <rFont val="Arial"/>
            <family val="2"/>
          </rPr>
          <t>Values associated with rank m</t>
        </r>
      </text>
    </comment>
  </commentList>
</comments>
</file>

<file path=xl/comments2.xml><?xml version="1.0" encoding="utf-8"?>
<comments xmlns="http://schemas.openxmlformats.org/spreadsheetml/2006/main">
  <authors>
    <author/>
  </authors>
  <commentList>
    <comment ref="D1" authorId="0">
      <text>
        <r>
          <rPr>
            <b/>
            <sz val="8"/>
            <color indexed="8"/>
            <rFont val="Times New Roman"/>
            <family val="1"/>
          </rPr>
          <t xml:space="preserve"> :
</t>
        </r>
        <r>
          <rPr>
            <sz val="8"/>
            <color indexed="8"/>
            <rFont val="Times New Roman"/>
            <family val="1"/>
          </rPr>
          <t xml:space="preserve">time  from the start of previous drought to start of current drought
</t>
        </r>
      </text>
    </comment>
    <comment ref="F1" authorId="0">
      <text>
        <r>
          <rPr>
            <b/>
            <sz val="8"/>
            <color indexed="8"/>
            <rFont val="DejaVu Sans"/>
            <family val="2"/>
          </rPr>
          <t xml:space="preserve"> </t>
        </r>
        <r>
          <rPr>
            <b/>
            <sz val="8"/>
            <color indexed="8"/>
            <rFont val="Times New Roman"/>
            <family val="1"/>
          </rPr>
          <t xml:space="preserve">:
</t>
        </r>
        <r>
          <rPr>
            <sz val="8"/>
            <color indexed="8"/>
            <rFont val="Times New Roman"/>
            <family val="1"/>
          </rPr>
          <t xml:space="preserve">number of values (196 drought events)
</t>
        </r>
      </text>
    </comment>
    <comment ref="G1" authorId="0">
      <text>
        <r>
          <rPr>
            <b/>
            <sz val="8"/>
            <color indexed="8"/>
            <rFont val="DejaVu Sans"/>
            <family val="2"/>
          </rPr>
          <t xml:space="preserve"> </t>
        </r>
        <r>
          <rPr>
            <b/>
            <sz val="8"/>
            <color indexed="8"/>
            <rFont val="Times New Roman"/>
            <family val="1"/>
          </rPr>
          <t xml:space="preserve">:
</t>
        </r>
        <r>
          <rPr>
            <sz val="8"/>
            <color indexed="8"/>
            <rFont val="Times New Roman"/>
            <family val="1"/>
          </rPr>
          <t xml:space="preserve">rank </t>
        </r>
      </text>
    </comment>
    <comment ref="H1" authorId="0">
      <text>
        <r>
          <rPr>
            <b/>
            <sz val="8"/>
            <color indexed="8"/>
            <rFont val="DejaVu Sans"/>
            <family val="2"/>
          </rPr>
          <t xml:space="preserve"> </t>
        </r>
        <r>
          <rPr>
            <b/>
            <sz val="8"/>
            <color indexed="8"/>
            <rFont val="Times New Roman"/>
            <family val="1"/>
          </rPr>
          <t xml:space="preserve">:
</t>
        </r>
        <r>
          <rPr>
            <sz val="8"/>
            <color indexed="8"/>
            <rFont val="Times New Roman"/>
            <family val="1"/>
          </rPr>
          <t xml:space="preserve">Recurrance Interval (years)
</t>
        </r>
      </text>
    </comment>
    <comment ref="I1" authorId="0">
      <text>
        <r>
          <rPr>
            <b/>
            <sz val="8"/>
            <color indexed="8"/>
            <rFont val="DejaVu Sans"/>
            <family val="2"/>
          </rPr>
          <t xml:space="preserve"> </t>
        </r>
        <r>
          <rPr>
            <b/>
            <sz val="8"/>
            <color indexed="8"/>
            <rFont val="Times New Roman"/>
            <family val="1"/>
          </rPr>
          <t xml:space="preserve">:
</t>
        </r>
        <r>
          <rPr>
            <sz val="8"/>
            <color indexed="8"/>
            <rFont val="Times New Roman"/>
            <family val="1"/>
          </rPr>
          <t>Probablility that the  RECON value will be equalled or exceeded in any one year</t>
        </r>
      </text>
    </comment>
    <comment ref="J1" authorId="0">
      <text>
        <r>
          <rPr>
            <b/>
            <sz val="8"/>
            <color indexed="8"/>
            <rFont val="DejaVu Sans"/>
            <family val="2"/>
          </rPr>
          <t xml:space="preserve"> </t>
        </r>
        <r>
          <rPr>
            <b/>
            <sz val="8"/>
            <color indexed="8"/>
            <rFont val="Times New Roman"/>
            <family val="1"/>
          </rPr>
          <t xml:space="preserve">:
</t>
        </r>
        <r>
          <rPr>
            <sz val="8"/>
            <color indexed="8"/>
            <rFont val="Times New Roman"/>
            <family val="1"/>
          </rPr>
          <t>probability that at least one event that equals or exceeds the year event will occur in any series of N years</t>
        </r>
      </text>
    </comment>
    <comment ref="N1" authorId="0">
      <text>
        <r>
          <rPr>
            <b/>
            <sz val="8"/>
            <color indexed="8"/>
            <rFont val="DejaVu Sans"/>
            <family val="2"/>
          </rPr>
          <t xml:space="preserve"> </t>
        </r>
        <r>
          <rPr>
            <b/>
            <sz val="8"/>
            <color indexed="8"/>
            <rFont val="Times New Roman"/>
            <family val="1"/>
          </rPr>
          <t xml:space="preserve">:
</t>
        </r>
        <r>
          <rPr>
            <sz val="8"/>
            <color indexed="8"/>
            <rFont val="Times New Roman"/>
            <family val="1"/>
          </rPr>
          <t>probability that at least one event that equals or exceeds the year event will occur in any series of N years</t>
        </r>
      </text>
    </comment>
    <comment ref="U3" authorId="0">
      <text>
        <r>
          <rPr>
            <b/>
            <sz val="8"/>
            <color indexed="8"/>
            <rFont val="DejaVu Sans"/>
            <family val="2"/>
          </rPr>
          <t xml:space="preserve"> </t>
        </r>
        <r>
          <rPr>
            <b/>
            <sz val="8"/>
            <color indexed="8"/>
            <rFont val="Times New Roman"/>
            <family val="1"/>
          </rPr>
          <t xml:space="preserve">:
</t>
        </r>
        <r>
          <rPr>
            <sz val="8"/>
            <color indexed="8"/>
            <rFont val="Times New Roman"/>
            <family val="1"/>
          </rPr>
          <t xml:space="preserve">number of values (196 drought events)
</t>
        </r>
      </text>
    </comment>
    <comment ref="V3" authorId="0">
      <text>
        <r>
          <rPr>
            <b/>
            <sz val="8"/>
            <color indexed="8"/>
            <rFont val="DejaVu Sans"/>
            <family val="2"/>
          </rPr>
          <t xml:space="preserve"> </t>
        </r>
        <r>
          <rPr>
            <b/>
            <sz val="8"/>
            <color indexed="8"/>
            <rFont val="Times New Roman"/>
            <family val="1"/>
          </rPr>
          <t xml:space="preserve">:
</t>
        </r>
        <r>
          <rPr>
            <sz val="8"/>
            <color indexed="8"/>
            <rFont val="Times New Roman"/>
            <family val="1"/>
          </rPr>
          <t xml:space="preserve">rank </t>
        </r>
      </text>
    </comment>
    <comment ref="W3" authorId="0">
      <text>
        <r>
          <rPr>
            <b/>
            <sz val="8"/>
            <color indexed="8"/>
            <rFont val="DejaVu Sans"/>
            <family val="2"/>
          </rPr>
          <t xml:space="preserve"> </t>
        </r>
        <r>
          <rPr>
            <b/>
            <sz val="8"/>
            <color indexed="8"/>
            <rFont val="Times New Roman"/>
            <family val="1"/>
          </rPr>
          <t xml:space="preserve">:
</t>
        </r>
        <r>
          <rPr>
            <sz val="8"/>
            <color indexed="8"/>
            <rFont val="Times New Roman"/>
            <family val="1"/>
          </rPr>
          <t xml:space="preserve">Recurrance Interval (years)
</t>
        </r>
      </text>
    </comment>
    <comment ref="X3" authorId="0">
      <text>
        <r>
          <rPr>
            <b/>
            <sz val="8"/>
            <color indexed="8"/>
            <rFont val="DejaVu Sans"/>
            <family val="2"/>
          </rPr>
          <t xml:space="preserve"> </t>
        </r>
        <r>
          <rPr>
            <b/>
            <sz val="8"/>
            <color indexed="8"/>
            <rFont val="Times New Roman"/>
            <family val="1"/>
          </rPr>
          <t xml:space="preserve">:
</t>
        </r>
        <r>
          <rPr>
            <sz val="8"/>
            <color indexed="8"/>
            <rFont val="Times New Roman"/>
            <family val="1"/>
          </rPr>
          <t>Probablility that the  RECON value will be equalled or exceeded in any one year</t>
        </r>
      </text>
    </comment>
    <comment ref="Y3" authorId="0">
      <text>
        <r>
          <rPr>
            <b/>
            <sz val="8"/>
            <color indexed="8"/>
            <rFont val="DejaVu Sans"/>
            <family val="2"/>
          </rPr>
          <t xml:space="preserve"> </t>
        </r>
        <r>
          <rPr>
            <b/>
            <sz val="8"/>
            <color indexed="8"/>
            <rFont val="Times New Roman"/>
            <family val="1"/>
          </rPr>
          <t xml:space="preserve">:
</t>
        </r>
        <r>
          <rPr>
            <sz val="8"/>
            <color indexed="8"/>
            <rFont val="Times New Roman"/>
            <family val="1"/>
          </rPr>
          <t>probability that at least one event that equals or exceeds the year event will occur in any series of N years</t>
        </r>
      </text>
    </comment>
    <comment ref="Z3" authorId="0">
      <text>
        <r>
          <rPr>
            <b/>
            <sz val="8"/>
            <color indexed="8"/>
            <rFont val="DejaVu Sans"/>
            <family val="2"/>
          </rPr>
          <t xml:space="preserve"> </t>
        </r>
        <r>
          <rPr>
            <b/>
            <sz val="8"/>
            <color indexed="8"/>
            <rFont val="Times New Roman"/>
            <family val="1"/>
          </rPr>
          <t xml:space="preserve">:
</t>
        </r>
        <r>
          <rPr>
            <sz val="8"/>
            <color indexed="8"/>
            <rFont val="Times New Roman"/>
            <family val="1"/>
          </rPr>
          <t xml:space="preserve"> </t>
        </r>
        <r>
          <rPr>
            <i/>
            <sz val="8"/>
            <color indexed="8"/>
            <rFont val="Times New Roman"/>
            <family val="1"/>
          </rPr>
          <t>N</t>
        </r>
        <r>
          <rPr>
            <sz val="8"/>
            <color indexed="8"/>
            <rFont val="Times New Roman"/>
            <family val="1"/>
          </rPr>
          <t xml:space="preserve"> years</t>
        </r>
      </text>
    </comment>
  </commentList>
</comments>
</file>

<file path=xl/comments3.xml><?xml version="1.0" encoding="utf-8"?>
<comments xmlns="http://schemas.openxmlformats.org/spreadsheetml/2006/main">
  <authors>
    <author/>
  </authors>
  <commentList>
    <comment ref="D1" authorId="0">
      <text>
        <r>
          <rPr>
            <b/>
            <sz val="8"/>
            <color indexed="8"/>
            <rFont val="Times New Roman"/>
            <family val="1"/>
          </rPr>
          <t xml:space="preserve"> :
</t>
        </r>
        <r>
          <rPr>
            <sz val="8"/>
            <color indexed="8"/>
            <rFont val="Times New Roman"/>
            <family val="1"/>
          </rPr>
          <t xml:space="preserve">time  from the start of previous drought to start of current drought
</t>
        </r>
      </text>
    </comment>
    <comment ref="H2" authorId="0">
      <text>
        <r>
          <rPr>
            <b/>
            <sz val="8"/>
            <color indexed="8"/>
            <rFont val="DejaVu Sans"/>
            <family val="2"/>
          </rPr>
          <t xml:space="preserve"> </t>
        </r>
        <r>
          <rPr>
            <b/>
            <sz val="8"/>
            <color indexed="8"/>
            <rFont val="Times New Roman"/>
            <family val="1"/>
          </rPr>
          <t xml:space="preserve">:
</t>
        </r>
        <r>
          <rPr>
            <sz val="8"/>
            <color indexed="8"/>
            <rFont val="Times New Roman"/>
            <family val="1"/>
          </rPr>
          <t xml:space="preserve">number of values (196 drought events)
</t>
        </r>
      </text>
    </comment>
    <comment ref="I2" authorId="0">
      <text>
        <r>
          <rPr>
            <b/>
            <sz val="8"/>
            <color indexed="8"/>
            <rFont val="DejaVu Sans"/>
            <family val="2"/>
          </rPr>
          <t xml:space="preserve"> </t>
        </r>
        <r>
          <rPr>
            <b/>
            <sz val="8"/>
            <color indexed="8"/>
            <rFont val="Times New Roman"/>
            <family val="1"/>
          </rPr>
          <t xml:space="preserve">:
</t>
        </r>
        <r>
          <rPr>
            <sz val="8"/>
            <color indexed="8"/>
            <rFont val="Times New Roman"/>
            <family val="1"/>
          </rPr>
          <t xml:space="preserve">rank </t>
        </r>
      </text>
    </comment>
    <comment ref="J2" authorId="0">
      <text>
        <r>
          <rPr>
            <b/>
            <sz val="8"/>
            <color indexed="8"/>
            <rFont val="DejaVu Sans"/>
            <family val="2"/>
          </rPr>
          <t xml:space="preserve"> </t>
        </r>
        <r>
          <rPr>
            <b/>
            <sz val="8"/>
            <color indexed="8"/>
            <rFont val="Times New Roman"/>
            <family val="1"/>
          </rPr>
          <t xml:space="preserve">:
</t>
        </r>
        <r>
          <rPr>
            <sz val="8"/>
            <color indexed="8"/>
            <rFont val="Times New Roman"/>
            <family val="1"/>
          </rPr>
          <t xml:space="preserve">Recurrance Interval (years)
</t>
        </r>
      </text>
    </comment>
    <comment ref="K2" authorId="0">
      <text>
        <r>
          <rPr>
            <b/>
            <sz val="8"/>
            <color indexed="8"/>
            <rFont val="DejaVu Sans"/>
            <family val="2"/>
          </rPr>
          <t xml:space="preserve"> </t>
        </r>
        <r>
          <rPr>
            <b/>
            <sz val="8"/>
            <color indexed="8"/>
            <rFont val="Times New Roman"/>
            <family val="1"/>
          </rPr>
          <t xml:space="preserve">:
</t>
        </r>
        <r>
          <rPr>
            <sz val="8"/>
            <color indexed="8"/>
            <rFont val="Times New Roman"/>
            <family val="1"/>
          </rPr>
          <t>Probablility that the  RECON value will be equalled or exceeded in any one year</t>
        </r>
      </text>
    </comment>
    <comment ref="L2" authorId="0">
      <text>
        <r>
          <rPr>
            <b/>
            <sz val="8"/>
            <color indexed="8"/>
            <rFont val="DejaVu Sans"/>
            <family val="2"/>
          </rPr>
          <t xml:space="preserve"> </t>
        </r>
        <r>
          <rPr>
            <b/>
            <sz val="8"/>
            <color indexed="8"/>
            <rFont val="Times New Roman"/>
            <family val="1"/>
          </rPr>
          <t xml:space="preserve">:
</t>
        </r>
        <r>
          <rPr>
            <sz val="8"/>
            <color indexed="8"/>
            <rFont val="Times New Roman"/>
            <family val="1"/>
          </rPr>
          <t>probability that at least one event that equals or exceeds the year event will occur in any series of N years</t>
        </r>
      </text>
    </comment>
    <comment ref="M2" authorId="0">
      <text>
        <r>
          <rPr>
            <b/>
            <sz val="8"/>
            <color indexed="8"/>
            <rFont val="DejaVu Sans"/>
            <family val="2"/>
          </rPr>
          <t xml:space="preserve"> </t>
        </r>
        <r>
          <rPr>
            <b/>
            <sz val="8"/>
            <color indexed="8"/>
            <rFont val="Times New Roman"/>
            <family val="1"/>
          </rPr>
          <t xml:space="preserve">:
</t>
        </r>
        <r>
          <rPr>
            <sz val="8"/>
            <color indexed="8"/>
            <rFont val="Times New Roman"/>
            <family val="1"/>
          </rPr>
          <t xml:space="preserve"> </t>
        </r>
        <r>
          <rPr>
            <i/>
            <sz val="8"/>
            <color indexed="8"/>
            <rFont val="Times New Roman"/>
            <family val="1"/>
          </rPr>
          <t>N</t>
        </r>
        <r>
          <rPr>
            <sz val="8"/>
            <color indexed="8"/>
            <rFont val="Times New Roman"/>
            <family val="1"/>
          </rPr>
          <t xml:space="preserve"> years</t>
        </r>
      </text>
    </comment>
  </commentList>
</comments>
</file>

<file path=xl/sharedStrings.xml><?xml version="1.0" encoding="utf-8"?>
<sst xmlns="http://schemas.openxmlformats.org/spreadsheetml/2006/main" count="189" uniqueCount="83">
  <si>
    <t>97.5W_32.5N</t>
  </si>
  <si>
    <t>verification reduction error</t>
  </si>
  <si>
    <t>verification effeiciency coeefficient</t>
  </si>
  <si>
    <t>YEAR</t>
  </si>
  <si>
    <t>NREC</t>
  </si>
  <si>
    <t>NCRN</t>
  </si>
  <si>
    <t>RECON</t>
  </si>
  <si>
    <t>round</t>
  </si>
  <si>
    <t>rank</t>
  </si>
  <si>
    <t>20LP</t>
  </si>
  <si>
    <t>CRSQ</t>
  </si>
  <si>
    <t>VRSQ</t>
  </si>
  <si>
    <t>RE</t>
  </si>
  <si>
    <t>CE</t>
  </si>
  <si>
    <t>ACT</t>
  </si>
  <si>
    <t>Net EVAP RECON</t>
  </si>
  <si>
    <t>total inflow (Ray Roberts)</t>
  </si>
  <si>
    <t>Ave net evap</t>
  </si>
  <si>
    <t>max</t>
  </si>
  <si>
    <t>min</t>
  </si>
  <si>
    <t>correlation(total inflow &amp; RECON)</t>
  </si>
  <si>
    <t>mean</t>
  </si>
  <si>
    <t>std dev</t>
  </si>
  <si>
    <t>correlation(total inflow &amp; net evap)</t>
  </si>
  <si>
    <t>correlation(net evap &amp; RECON)</t>
  </si>
  <si>
    <t>weight</t>
  </si>
  <si>
    <t>constant</t>
  </si>
  <si>
    <t>Analysis of 1956 drought using RECON</t>
  </si>
  <si>
    <t xml:space="preserve">year </t>
  </si>
  <si>
    <t>N</t>
  </si>
  <si>
    <t>m</t>
  </si>
  <si>
    <t>T</t>
  </si>
  <si>
    <t>P</t>
  </si>
  <si>
    <t>J</t>
  </si>
  <si>
    <t xml:space="preserve">N </t>
  </si>
  <si>
    <t>34% probablility that a drought of equal or greater magnitude will occur in 30 years</t>
  </si>
  <si>
    <t>Same analysis using 20LP</t>
  </si>
  <si>
    <t>RECON values for n-year droughts</t>
  </si>
  <si>
    <t>Severity</t>
  </si>
  <si>
    <t>Duration</t>
  </si>
  <si>
    <t>Interarrival Time</t>
  </si>
  <si>
    <t>End Year</t>
  </si>
  <si>
    <t>Start Year</t>
  </si>
  <si>
    <t>drought event</t>
  </si>
  <si>
    <t>Interarrival time</t>
  </si>
  <si>
    <t>Rank of drought events</t>
  </si>
  <si>
    <t>J cdf</t>
  </si>
  <si>
    <t>cdf</t>
  </si>
  <si>
    <t>drought</t>
  </si>
  <si>
    <t>1951-1956</t>
  </si>
  <si>
    <t>interarrival time</t>
  </si>
  <si>
    <t>severity</t>
  </si>
  <si>
    <t>var</t>
  </si>
  <si>
    <t>gamma</t>
  </si>
  <si>
    <t>alpha</t>
  </si>
  <si>
    <t>beta</t>
  </si>
  <si>
    <t>n</t>
  </si>
  <si>
    <t>Severity Rank</t>
  </si>
  <si>
    <t>Fitted Distribution</t>
  </si>
  <si>
    <t>average</t>
  </si>
  <si>
    <t>variance</t>
  </si>
  <si>
    <t>derived parameters</t>
  </si>
  <si>
    <t>Duration (yrs)</t>
  </si>
  <si>
    <t>p that a drought's duration is less than or equal to x</t>
  </si>
  <si>
    <t>lambda</t>
  </si>
  <si>
    <t>Fitted Gamma Distribution (u)</t>
  </si>
  <si>
    <t>Fitted Exponential Distribution (v)</t>
  </si>
  <si>
    <t>theta</t>
  </si>
  <si>
    <t>Galambos Copula C(u,v)</t>
  </si>
  <si>
    <t>duration</t>
  </si>
  <si>
    <t>probability</t>
  </si>
  <si>
    <t>T' Galambos(Recurrence Interval) P(D&gt;=d or S&gt;=s)</t>
  </si>
  <si>
    <t>T Galambos(Recurrence Interval) P(D&gt;=d and S&gt;=s)</t>
  </si>
  <si>
    <t xml:space="preserve">alpha </t>
  </si>
  <si>
    <t>Correlation Coefficient</t>
  </si>
  <si>
    <t>bivariate CDF from JT Shiau</t>
  </si>
  <si>
    <r>
      <t xml:space="preserve">Parameter </t>
    </r>
    <r>
      <rPr>
        <i/>
        <sz val="10"/>
        <color theme="0"/>
        <rFont val="Arial"/>
        <family val="2"/>
      </rPr>
      <t>m</t>
    </r>
  </si>
  <si>
    <t>Reccurance Interval</t>
  </si>
  <si>
    <t>p that a randomly chosen drought will be less severe than this one</t>
  </si>
  <si>
    <t>test</t>
  </si>
  <si>
    <t xml:space="preserve">Duration </t>
  </si>
  <si>
    <t>a</t>
  </si>
  <si>
    <t>b</t>
  </si>
</sst>
</file>

<file path=xl/styles.xml><?xml version="1.0" encoding="utf-8"?>
<styleSheet xmlns="http://schemas.openxmlformats.org/spreadsheetml/2006/main">
  <numFmts count="1">
    <numFmt numFmtId="164" formatCode="0.0000"/>
  </numFmts>
  <fonts count="14">
    <font>
      <sz val="10"/>
      <name val="Arial"/>
      <family val="2"/>
    </font>
    <font>
      <b/>
      <sz val="10"/>
      <name val="Arial"/>
      <family val="2"/>
    </font>
    <font>
      <b/>
      <sz val="8"/>
      <color indexed="8"/>
      <name val="DejaVu Sans"/>
      <family val="2"/>
    </font>
    <font>
      <b/>
      <sz val="8"/>
      <color indexed="8"/>
      <name val="Times New Roman"/>
      <family val="1"/>
    </font>
    <font>
      <sz val="8"/>
      <color indexed="8"/>
      <name val="Times New Roman"/>
      <family val="1"/>
    </font>
    <font>
      <i/>
      <sz val="8"/>
      <color indexed="8"/>
      <name val="Times New Roman"/>
      <family val="1"/>
    </font>
    <font>
      <b/>
      <sz val="10"/>
      <color indexed="9"/>
      <name val="Arial"/>
      <family val="2"/>
    </font>
    <font>
      <b/>
      <sz val="10"/>
      <color theme="0"/>
      <name val="Arial"/>
      <family val="2"/>
    </font>
    <font>
      <b/>
      <i/>
      <sz val="10"/>
      <color theme="0"/>
      <name val="Arial"/>
      <family val="2"/>
    </font>
    <font>
      <b/>
      <i/>
      <sz val="10"/>
      <color indexed="9"/>
      <name val="Arial"/>
      <family val="2"/>
    </font>
    <font>
      <b/>
      <sz val="10"/>
      <color indexed="10"/>
      <name val="Arial"/>
      <family val="2"/>
    </font>
    <font>
      <sz val="10"/>
      <color indexed="10"/>
      <name val="Arial"/>
      <family val="2"/>
    </font>
    <font>
      <sz val="10"/>
      <color theme="0"/>
      <name val="Arial"/>
      <family val="2"/>
    </font>
    <font>
      <i/>
      <sz val="10"/>
      <color theme="0"/>
      <name val="Arial"/>
      <family val="2"/>
    </font>
  </fonts>
  <fills count="12">
    <fill>
      <patternFill patternType="none"/>
    </fill>
    <fill>
      <patternFill patternType="gray125"/>
    </fill>
    <fill>
      <patternFill patternType="solid">
        <fgColor indexed="27"/>
        <bgColor indexed="9"/>
      </patternFill>
    </fill>
    <fill>
      <patternFill patternType="solid">
        <fgColor indexed="26"/>
        <bgColor indexed="9"/>
      </patternFill>
    </fill>
    <fill>
      <patternFill patternType="solid">
        <fgColor indexed="15"/>
        <bgColor indexed="35"/>
      </patternFill>
    </fill>
    <fill>
      <patternFill patternType="solid">
        <fgColor indexed="8"/>
        <bgColor indexed="58"/>
      </patternFill>
    </fill>
    <fill>
      <patternFill patternType="solid">
        <fgColor indexed="8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3"/>
        <bgColor indexed="58"/>
      </patternFill>
    </fill>
  </fills>
  <borders count="17">
    <border>
      <left/>
      <right/>
      <top/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/>
      <diagonal/>
    </border>
    <border>
      <left style="thin">
        <color indexed="8"/>
      </left>
      <right/>
      <top style="thin">
        <color indexed="8"/>
      </top>
      <bottom/>
      <diagonal/>
    </border>
    <border>
      <left/>
      <right/>
      <top style="thin">
        <color indexed="8"/>
      </top>
      <bottom/>
      <diagonal/>
    </border>
    <border>
      <left/>
      <right style="thin">
        <color indexed="8"/>
      </right>
      <top style="thin">
        <color indexed="8"/>
      </top>
      <bottom/>
      <diagonal/>
    </border>
    <border>
      <left style="thin">
        <color indexed="8"/>
      </left>
      <right/>
      <top/>
      <bottom/>
      <diagonal/>
    </border>
    <border>
      <left/>
      <right style="thin">
        <color indexed="8"/>
      </right>
      <top/>
      <bottom/>
      <diagonal/>
    </border>
    <border>
      <left style="thin">
        <color indexed="8"/>
      </left>
      <right/>
      <top/>
      <bottom style="thin">
        <color indexed="8"/>
      </bottom>
      <diagonal/>
    </border>
    <border>
      <left/>
      <right/>
      <top/>
      <bottom style="thin">
        <color indexed="8"/>
      </bottom>
      <diagonal/>
    </border>
    <border>
      <left/>
      <right style="thin">
        <color indexed="8"/>
      </right>
      <top/>
      <bottom style="thin">
        <color indexed="8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78">
    <xf numFmtId="0" fontId="0" fillId="0" borderId="0" xfId="0"/>
    <xf numFmtId="0" fontId="0" fillId="0" borderId="0" xfId="0" applyFill="1"/>
    <xf numFmtId="0" fontId="0" fillId="2" borderId="0" xfId="0" applyFill="1"/>
    <xf numFmtId="164" fontId="0" fillId="0" borderId="0" xfId="0" applyNumberFormat="1"/>
    <xf numFmtId="0" fontId="0" fillId="0" borderId="0" xfId="0" applyNumberFormat="1"/>
    <xf numFmtId="0" fontId="0" fillId="0" borderId="0" xfId="0" applyNumberFormat="1" applyAlignment="1">
      <alignment horizontal="center"/>
    </xf>
    <xf numFmtId="0" fontId="0" fillId="2" borderId="0" xfId="0" applyFont="1" applyFill="1"/>
    <xf numFmtId="0" fontId="1" fillId="3" borderId="1" xfId="0" applyFont="1" applyFill="1" applyBorder="1" applyAlignment="1">
      <alignment horizontal="left"/>
    </xf>
    <xf numFmtId="0" fontId="0" fillId="3" borderId="1" xfId="0" applyFill="1" applyBorder="1" applyAlignment="1">
      <alignment horizontal="center"/>
    </xf>
    <xf numFmtId="0" fontId="0" fillId="0" borderId="0" xfId="0" applyAlignment="1">
      <alignment horizontal="center"/>
    </xf>
    <xf numFmtId="0" fontId="0" fillId="2" borderId="2" xfId="0" applyFont="1" applyFill="1" applyBorder="1" applyAlignment="1">
      <alignment horizontal="center"/>
    </xf>
    <xf numFmtId="0" fontId="0" fillId="0" borderId="3" xfId="0" applyBorder="1"/>
    <xf numFmtId="0" fontId="0" fillId="0" borderId="4" xfId="0" applyBorder="1"/>
    <xf numFmtId="10" fontId="0" fillId="0" borderId="4" xfId="0" applyNumberFormat="1" applyBorder="1"/>
    <xf numFmtId="0" fontId="0" fillId="0" borderId="5" xfId="0" applyBorder="1"/>
    <xf numFmtId="0" fontId="0" fillId="0" borderId="6" xfId="0" applyBorder="1"/>
    <xf numFmtId="0" fontId="0" fillId="0" borderId="0" xfId="0" applyBorder="1"/>
    <xf numFmtId="10" fontId="0" fillId="0" borderId="0" xfId="0" applyNumberFormat="1" applyBorder="1"/>
    <xf numFmtId="0" fontId="0" fillId="0" borderId="7" xfId="0" applyBorder="1"/>
    <xf numFmtId="10" fontId="0" fillId="4" borderId="0" xfId="0" applyNumberFormat="1" applyFill="1" applyBorder="1"/>
    <xf numFmtId="0" fontId="0" fillId="4" borderId="7" xfId="0" applyFill="1" applyBorder="1"/>
    <xf numFmtId="10" fontId="0" fillId="0" borderId="0" xfId="0" applyNumberFormat="1" applyFill="1" applyBorder="1"/>
    <xf numFmtId="0" fontId="0" fillId="0" borderId="7" xfId="0" applyFill="1" applyBorder="1"/>
    <xf numFmtId="0" fontId="0" fillId="0" borderId="8" xfId="0" applyBorder="1"/>
    <xf numFmtId="0" fontId="0" fillId="0" borderId="9" xfId="0" applyBorder="1"/>
    <xf numFmtId="10" fontId="0" fillId="0" borderId="9" xfId="0" applyNumberFormat="1" applyFill="1" applyBorder="1"/>
    <xf numFmtId="0" fontId="0" fillId="0" borderId="10" xfId="0" applyFill="1" applyBorder="1"/>
    <xf numFmtId="10" fontId="0" fillId="0" borderId="9" xfId="0" applyNumberFormat="1" applyBorder="1"/>
    <xf numFmtId="0" fontId="6" fillId="5" borderId="1" xfId="0" applyFont="1" applyFill="1" applyBorder="1" applyAlignment="1">
      <alignment horizontal="center"/>
    </xf>
    <xf numFmtId="0" fontId="6" fillId="5" borderId="0" xfId="0" applyFont="1" applyFill="1" applyAlignment="1">
      <alignment horizontal="center"/>
    </xf>
    <xf numFmtId="0" fontId="6" fillId="5" borderId="0" xfId="0" applyFont="1" applyFill="1" applyBorder="1" applyAlignment="1">
      <alignment horizontal="center"/>
    </xf>
    <xf numFmtId="0" fontId="0" fillId="0" borderId="0" xfId="0" applyFill="1" applyBorder="1" applyAlignment="1">
      <alignment horizontal="center"/>
    </xf>
    <xf numFmtId="0" fontId="0" fillId="0" borderId="0" xfId="0" applyFill="1" applyBorder="1"/>
    <xf numFmtId="0" fontId="0" fillId="2" borderId="0" xfId="0" applyFont="1" applyFill="1" applyAlignment="1">
      <alignment horizontal="center"/>
    </xf>
    <xf numFmtId="0" fontId="6" fillId="5" borderId="0" xfId="0" applyFont="1" applyFill="1" applyAlignment="1">
      <alignment horizontal="center" vertical="center"/>
    </xf>
    <xf numFmtId="0" fontId="6" fillId="5" borderId="1" xfId="0" applyFont="1" applyFill="1" applyBorder="1" applyAlignment="1">
      <alignment horizontal="center" vertical="center"/>
    </xf>
    <xf numFmtId="0" fontId="6" fillId="5" borderId="0" xfId="0" applyFont="1" applyFill="1" applyAlignment="1">
      <alignment horizontal="center" vertical="center" wrapText="1"/>
    </xf>
    <xf numFmtId="164" fontId="6" fillId="5" borderId="0" xfId="0" applyNumberFormat="1" applyFont="1" applyFill="1" applyAlignment="1">
      <alignment horizontal="center" vertical="center"/>
    </xf>
    <xf numFmtId="0" fontId="1" fillId="5" borderId="0" xfId="0" applyFont="1" applyFill="1" applyAlignment="1">
      <alignment horizontal="center" vertical="center" wrapText="1"/>
    </xf>
    <xf numFmtId="0" fontId="0" fillId="0" borderId="0" xfId="0" applyAlignment="1">
      <alignment wrapText="1"/>
    </xf>
    <xf numFmtId="0" fontId="1" fillId="5" borderId="0" xfId="0" applyFont="1" applyFill="1" applyAlignment="1">
      <alignment horizontal="center" wrapText="1"/>
    </xf>
    <xf numFmtId="0" fontId="7" fillId="5" borderId="0" xfId="0" applyFont="1" applyFill="1" applyAlignment="1">
      <alignment horizontal="center" vertical="center" wrapText="1"/>
    </xf>
    <xf numFmtId="164" fontId="7" fillId="5" borderId="0" xfId="0" applyNumberFormat="1" applyFont="1" applyFill="1" applyAlignment="1">
      <alignment horizontal="center" vertical="center"/>
    </xf>
    <xf numFmtId="0" fontId="7" fillId="5" borderId="0" xfId="0" applyFont="1" applyFill="1" applyAlignment="1">
      <alignment horizontal="center" vertical="center"/>
    </xf>
    <xf numFmtId="0" fontId="7" fillId="5" borderId="1" xfId="0" applyFont="1" applyFill="1" applyBorder="1" applyAlignment="1">
      <alignment horizontal="center" vertical="center"/>
    </xf>
    <xf numFmtId="0" fontId="8" fillId="5" borderId="0" xfId="0" applyFont="1" applyFill="1" applyAlignment="1">
      <alignment horizontal="center"/>
    </xf>
    <xf numFmtId="0" fontId="7" fillId="5" borderId="0" xfId="0" applyFont="1" applyFill="1" applyAlignment="1">
      <alignment horizontal="center" wrapText="1"/>
    </xf>
    <xf numFmtId="0" fontId="6" fillId="5" borderId="11" xfId="0" applyFont="1" applyFill="1" applyBorder="1" applyAlignment="1">
      <alignment horizontal="center" vertical="center" wrapText="1"/>
    </xf>
    <xf numFmtId="0" fontId="6" fillId="5" borderId="12" xfId="0" applyFont="1" applyFill="1" applyBorder="1" applyAlignment="1">
      <alignment horizontal="center" vertical="center" wrapText="1"/>
    </xf>
    <xf numFmtId="0" fontId="6" fillId="5" borderId="13" xfId="0" applyFont="1" applyFill="1" applyBorder="1" applyAlignment="1">
      <alignment horizontal="center" vertical="center" wrapText="1"/>
    </xf>
    <xf numFmtId="0" fontId="0" fillId="0" borderId="0" xfId="0" applyAlignment="1">
      <alignment vertical="center" wrapText="1"/>
    </xf>
    <xf numFmtId="0" fontId="9" fillId="5" borderId="0" xfId="0" applyFont="1" applyFill="1" applyAlignment="1">
      <alignment horizontal="center" vertical="center"/>
    </xf>
    <xf numFmtId="0" fontId="10" fillId="6" borderId="0" xfId="0" applyFont="1" applyFill="1" applyAlignment="1">
      <alignment horizontal="center" vertical="center" wrapText="1"/>
    </xf>
    <xf numFmtId="0" fontId="0" fillId="0" borderId="14" xfId="0" applyBorder="1" applyAlignment="1">
      <alignment horizontal="center"/>
    </xf>
    <xf numFmtId="0" fontId="0" fillId="0" borderId="0" xfId="0" applyBorder="1" applyAlignment="1">
      <alignment horizontal="center"/>
    </xf>
    <xf numFmtId="1" fontId="11" fillId="0" borderId="0" xfId="0" applyNumberFormat="1" applyFont="1" applyAlignment="1">
      <alignment horizontal="center"/>
    </xf>
    <xf numFmtId="0" fontId="0" fillId="7" borderId="14" xfId="0" applyFill="1" applyBorder="1" applyAlignment="1">
      <alignment horizontal="center"/>
    </xf>
    <xf numFmtId="0" fontId="0" fillId="7" borderId="0" xfId="0" applyFill="1" applyBorder="1"/>
    <xf numFmtId="0" fontId="0" fillId="7" borderId="0" xfId="0" applyFill="1" applyBorder="1" applyAlignment="1">
      <alignment horizontal="center"/>
    </xf>
    <xf numFmtId="0" fontId="0" fillId="7" borderId="0" xfId="0" applyFill="1"/>
    <xf numFmtId="0" fontId="0" fillId="8" borderId="14" xfId="0" applyFill="1" applyBorder="1" applyAlignment="1">
      <alignment horizontal="center"/>
    </xf>
    <xf numFmtId="0" fontId="0" fillId="8" borderId="0" xfId="0" applyFill="1" applyBorder="1"/>
    <xf numFmtId="0" fontId="0" fillId="8" borderId="0" xfId="0" applyFill="1"/>
    <xf numFmtId="1" fontId="11" fillId="8" borderId="0" xfId="0" applyNumberFormat="1" applyFont="1" applyFill="1" applyAlignment="1">
      <alignment horizontal="center"/>
    </xf>
    <xf numFmtId="0" fontId="0" fillId="8" borderId="0" xfId="0" applyFill="1" applyBorder="1" applyAlignment="1">
      <alignment horizontal="center"/>
    </xf>
    <xf numFmtId="0" fontId="0" fillId="0" borderId="15" xfId="0" applyBorder="1"/>
    <xf numFmtId="0" fontId="0" fillId="0" borderId="14" xfId="0" applyBorder="1"/>
    <xf numFmtId="0" fontId="0" fillId="0" borderId="15" xfId="0" applyNumberFormat="1" applyBorder="1"/>
    <xf numFmtId="0" fontId="11" fillId="0" borderId="0" xfId="0" applyFont="1" applyAlignment="1">
      <alignment horizontal="center"/>
    </xf>
    <xf numFmtId="0" fontId="12" fillId="9" borderId="0" xfId="0" applyFont="1" applyFill="1"/>
    <xf numFmtId="1" fontId="0" fillId="0" borderId="0" xfId="0" applyNumberFormat="1"/>
    <xf numFmtId="0" fontId="12" fillId="0" borderId="0" xfId="0" applyFont="1" applyFill="1" applyBorder="1"/>
    <xf numFmtId="0" fontId="12" fillId="10" borderId="0" xfId="0" applyFont="1" applyFill="1"/>
    <xf numFmtId="0" fontId="6" fillId="11" borderId="0" xfId="0" applyFont="1" applyFill="1" applyAlignment="1">
      <alignment horizontal="center"/>
    </xf>
    <xf numFmtId="0" fontId="6" fillId="11" borderId="0" xfId="0" applyFont="1" applyFill="1" applyBorder="1" applyAlignment="1">
      <alignment horizontal="center"/>
    </xf>
    <xf numFmtId="0" fontId="6" fillId="11" borderId="1" xfId="0" applyFont="1" applyFill="1" applyBorder="1" applyAlignment="1">
      <alignment horizontal="center"/>
    </xf>
    <xf numFmtId="0" fontId="0" fillId="0" borderId="16" xfId="0" applyBorder="1" applyAlignment="1">
      <alignment horizontal="center"/>
    </xf>
    <xf numFmtId="0" fontId="12" fillId="9" borderId="16" xfId="0" applyFont="1" applyFill="1" applyBorder="1" applyAlignment="1">
      <alignment horizontal="center"/>
    </xf>
  </cellXfs>
  <cellStyles count="1">
    <cellStyle name="Normal" xfId="0" builtinId="0"/>
  </cellStyles>
  <dxfs count="0"/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EAEAEA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F00"/>
      <rgbColor rgb="00666666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4.xml"/><Relationship Id="rId13" Type="http://schemas.openxmlformats.org/officeDocument/2006/relationships/chartsheet" Target="chartsheets/sheet5.xml"/><Relationship Id="rId18" Type="http://schemas.openxmlformats.org/officeDocument/2006/relationships/chartsheet" Target="chartsheets/sheet7.xml"/><Relationship Id="rId26" Type="http://schemas.openxmlformats.org/officeDocument/2006/relationships/theme" Target="theme/theme1.xml"/><Relationship Id="rId3" Type="http://schemas.openxmlformats.org/officeDocument/2006/relationships/chartsheet" Target="chartsheets/sheet2.xml"/><Relationship Id="rId21" Type="http://schemas.openxmlformats.org/officeDocument/2006/relationships/worksheet" Target="worksheets/sheet14.xml"/><Relationship Id="rId7" Type="http://schemas.openxmlformats.org/officeDocument/2006/relationships/worksheet" Target="worksheets/sheet3.xml"/><Relationship Id="rId12" Type="http://schemas.openxmlformats.org/officeDocument/2006/relationships/worksheet" Target="worksheets/sheet8.xml"/><Relationship Id="rId17" Type="http://schemas.openxmlformats.org/officeDocument/2006/relationships/worksheet" Target="worksheets/sheet11.xml"/><Relationship Id="rId25" Type="http://schemas.openxmlformats.org/officeDocument/2006/relationships/externalLink" Target="externalLinks/externalLink1.xml"/><Relationship Id="rId2" Type="http://schemas.openxmlformats.org/officeDocument/2006/relationships/chartsheet" Target="chartsheets/sheet1.xml"/><Relationship Id="rId16" Type="http://schemas.openxmlformats.org/officeDocument/2006/relationships/worksheet" Target="worksheets/sheet10.xml"/><Relationship Id="rId20" Type="http://schemas.openxmlformats.org/officeDocument/2006/relationships/worksheet" Target="worksheets/sheet13.xml"/><Relationship Id="rId29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2.xml"/><Relationship Id="rId11" Type="http://schemas.openxmlformats.org/officeDocument/2006/relationships/worksheet" Target="worksheets/sheet7.xml"/><Relationship Id="rId24" Type="http://schemas.openxmlformats.org/officeDocument/2006/relationships/worksheet" Target="worksheets/sheet16.xml"/><Relationship Id="rId5" Type="http://schemas.openxmlformats.org/officeDocument/2006/relationships/chartsheet" Target="chartsheets/sheet4.xml"/><Relationship Id="rId15" Type="http://schemas.openxmlformats.org/officeDocument/2006/relationships/chartsheet" Target="chartsheets/sheet6.xml"/><Relationship Id="rId23" Type="http://schemas.openxmlformats.org/officeDocument/2006/relationships/chartsheet" Target="chartsheets/sheet8.xml"/><Relationship Id="rId28" Type="http://schemas.openxmlformats.org/officeDocument/2006/relationships/sharedStrings" Target="sharedStrings.xml"/><Relationship Id="rId10" Type="http://schemas.openxmlformats.org/officeDocument/2006/relationships/worksheet" Target="worksheets/sheet6.xml"/><Relationship Id="rId19" Type="http://schemas.openxmlformats.org/officeDocument/2006/relationships/worksheet" Target="worksheets/sheet12.xml"/><Relationship Id="rId4" Type="http://schemas.openxmlformats.org/officeDocument/2006/relationships/chartsheet" Target="chartsheets/sheet3.xml"/><Relationship Id="rId9" Type="http://schemas.openxmlformats.org/officeDocument/2006/relationships/worksheet" Target="worksheets/sheet5.xml"/><Relationship Id="rId14" Type="http://schemas.openxmlformats.org/officeDocument/2006/relationships/worksheet" Target="worksheets/sheet9.xml"/><Relationship Id="rId22" Type="http://schemas.openxmlformats.org/officeDocument/2006/relationships/worksheet" Target="worksheets/sheet15.xml"/><Relationship Id="rId27" Type="http://schemas.openxmlformats.org/officeDocument/2006/relationships/styles" Target="styles.xml"/><Relationship Id="rId30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Dutch801 Rm BT"/>
                <a:ea typeface="Dutch801 Rm BT"/>
                <a:cs typeface="Dutch801 Rm BT"/>
              </a:defRPr>
            </a:pPr>
            <a:r>
              <a:rPr lang="en-US"/>
              <a:t>1,000 Year Drought Index</a:t>
            </a:r>
          </a:p>
        </c:rich>
      </c:tx>
      <c:layout>
        <c:manualLayout>
          <c:xMode val="edge"/>
          <c:yMode val="edge"/>
          <c:x val="0.38778081044108886"/>
          <c:y val="2.9795158286778402E-2"/>
        </c:manualLayout>
      </c:layout>
      <c:spPr>
        <a:noFill/>
        <a:ln w="25400">
          <a:noFill/>
        </a:ln>
      </c:spPr>
    </c:title>
    <c:plotArea>
      <c:layout>
        <c:manualLayout>
          <c:layoutTarget val="inner"/>
          <c:xMode val="edge"/>
          <c:yMode val="edge"/>
          <c:x val="0.10723198548549635"/>
          <c:y val="0.14152725923689791"/>
          <c:w val="0.86533718519690883"/>
          <c:h val="0.25139710522343683"/>
        </c:manualLayout>
      </c:layout>
      <c:lineChart>
        <c:grouping val="standard"/>
        <c:ser>
          <c:idx val="0"/>
          <c:order val="0"/>
          <c:spPr>
            <a:ln w="3175">
              <a:solidFill>
                <a:srgbClr val="000080"/>
              </a:solidFill>
              <a:prstDash val="solid"/>
            </a:ln>
          </c:spPr>
          <c:marker>
            <c:symbol val="diamond"/>
            <c:size val="6"/>
            <c:spPr>
              <a:solidFill>
                <a:srgbClr val="00008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dPt>
            <c:idx val="0"/>
            <c:marker>
              <c:spPr>
                <a:solidFill>
                  <a:srgbClr val="000000"/>
                </a:solidFill>
                <a:ln>
                  <a:solidFill>
                    <a:srgbClr val="000000"/>
                  </a:solidFill>
                  <a:prstDash val="solid"/>
                </a:ln>
              </c:spPr>
            </c:marker>
            <c:spPr>
              <a:ln w="28575">
                <a:noFill/>
              </a:ln>
            </c:spPr>
          </c:dPt>
          <c:val>
            <c:numRef>
              <c:f>[1]Sheet1!$D$3:$D$1010</c:f>
              <c:numCache>
                <c:formatCode>General</c:formatCode>
                <c:ptCount val="100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  <c:pt idx="1000">
                  <c:v>0</c:v>
                </c:pt>
                <c:pt idx="1001">
                  <c:v>0</c:v>
                </c:pt>
                <c:pt idx="1002">
                  <c:v>0</c:v>
                </c:pt>
                <c:pt idx="1003">
                  <c:v>0</c:v>
                </c:pt>
                <c:pt idx="1004">
                  <c:v>0</c:v>
                </c:pt>
                <c:pt idx="1005">
                  <c:v>0</c:v>
                </c:pt>
                <c:pt idx="1006">
                  <c:v>0</c:v>
                </c:pt>
                <c:pt idx="1007">
                  <c:v>0</c:v>
                </c:pt>
              </c:numCache>
            </c:numRef>
          </c:val>
        </c:ser>
        <c:marker val="1"/>
        <c:axId val="95588352"/>
        <c:axId val="95590656"/>
      </c:lineChart>
      <c:catAx>
        <c:axId val="95588352"/>
        <c:scaling>
          <c:orientation val="minMax"/>
        </c:scaling>
        <c:axPos val="b"/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Year</a:t>
                </a:r>
              </a:p>
            </c:rich>
          </c:tx>
          <c:layout>
            <c:manualLayout>
              <c:xMode val="edge"/>
              <c:yMode val="edge"/>
              <c:x val="0.51995038650093928"/>
              <c:y val="0.42830618239759255"/>
            </c:manualLayout>
          </c:layout>
          <c:spPr>
            <a:noFill/>
            <a:ln w="25400">
              <a:noFill/>
            </a:ln>
          </c:spPr>
        </c:title>
        <c:numFmt formatCode="General" sourceLinked="1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95590656"/>
        <c:crossesAt val="0"/>
        <c:auto val="1"/>
        <c:lblAlgn val="ctr"/>
        <c:lblOffset val="100"/>
        <c:tickLblSkip val="25"/>
        <c:tickMarkSkip val="1"/>
      </c:catAx>
      <c:valAx>
        <c:axId val="95590656"/>
        <c:scaling>
          <c:orientation val="minMax"/>
        </c:scaling>
        <c:axPos val="l"/>
        <c:majorGridlines>
          <c:spPr>
            <a:ln w="12700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Dutch801 Rm BT"/>
                    <a:ea typeface="Dutch801 Rm BT"/>
                    <a:cs typeface="Dutch801 Rm BT"/>
                  </a:defRPr>
                </a:pPr>
                <a:r>
                  <a:rPr lang="en-US"/>
                  <a:t>Drought Severity</a:t>
                </a:r>
              </a:p>
            </c:rich>
          </c:tx>
          <c:layout>
            <c:manualLayout>
              <c:xMode val="edge"/>
              <c:yMode val="edge"/>
              <c:x val="1.9950124688279371E-2"/>
              <c:y val="0.21973968337756725"/>
            </c:manualLayout>
          </c:layout>
          <c:spPr>
            <a:noFill/>
            <a:ln w="25400">
              <a:noFill/>
            </a:ln>
          </c:spPr>
        </c:title>
        <c:numFmt formatCode="General" sourceLinked="0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95588352"/>
        <c:crosses val="autoZero"/>
        <c:crossBetween val="midCat"/>
      </c:valAx>
      <c:spPr>
        <a:noFill/>
        <a:ln w="12700">
          <a:solidFill>
            <a:srgbClr val="FFFFFF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1.2468827930174564E-2"/>
          <c:y val="0.49348328665620778"/>
          <c:w val="0.97506299867130086"/>
          <c:h val="0.49348328665620755"/>
        </c:manualLayout>
      </c:layout>
      <c:spPr>
        <a:solidFill>
          <a:srgbClr val="FFFFFF"/>
        </a:solidFill>
        <a:ln w="12700">
          <a:solidFill>
            <a:srgbClr val="000000"/>
          </a:solidFill>
          <a:prstDash val="solid"/>
        </a:ln>
      </c:spPr>
      <c:txPr>
        <a:bodyPr/>
        <a:lstStyle/>
        <a:p>
          <a:pPr rtl="0">
            <a:defRPr sz="920" b="0" i="0" u="none" strike="noStrike" baseline="0">
              <a:solidFill>
                <a:srgbClr val="000000"/>
              </a:solidFill>
              <a:latin typeface="Dutch801 Rm BT"/>
              <a:ea typeface="Dutch801 Rm BT"/>
              <a:cs typeface="Dutch801 Rm BT"/>
            </a:defRPr>
          </a:pPr>
          <a:endParaRPr lang="en-US"/>
        </a:p>
      </c:txPr>
    </c:legend>
    <c:dispBlanksAs val="gap"/>
  </c:chart>
  <c:spPr>
    <a:noFill/>
    <a:ln w="9525">
      <a:noFill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144" r="0.75000000000000144" t="1" header="0.49212598450000067" footer="0.49212598450000067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78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recon vs net evap</a:t>
            </a:r>
          </a:p>
        </c:rich>
      </c:tx>
      <c:layout>
        <c:manualLayout>
          <c:xMode val="edge"/>
          <c:yMode val="edge"/>
          <c:x val="0.36907756854582796"/>
          <c:y val="2.9795158286778402E-2"/>
        </c:manualLayout>
      </c:layout>
      <c:spPr>
        <a:noFill/>
        <a:ln w="25400">
          <a:noFill/>
        </a:ln>
      </c:spPr>
    </c:title>
    <c:plotArea>
      <c:layout>
        <c:manualLayout>
          <c:layoutTarget val="inner"/>
          <c:xMode val="edge"/>
          <c:yMode val="edge"/>
          <c:x val="6.3591061160003529E-2"/>
          <c:y val="0.17690907404612288"/>
          <c:w val="0.74064882998121762"/>
          <c:h val="0.64432146968377457"/>
        </c:manualLayout>
      </c:layout>
      <c:lineChart>
        <c:grouping val="standard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6"/>
            <c:spPr>
              <a:solidFill>
                <a:srgbClr val="00008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dPt>
            <c:idx val="0"/>
            <c:marker>
              <c:spPr>
                <a:solidFill>
                  <a:srgbClr val="000000"/>
                </a:solidFill>
                <a:ln>
                  <a:solidFill>
                    <a:srgbClr val="000000"/>
                  </a:solidFill>
                  <a:prstDash val="solid"/>
                </a:ln>
              </c:spPr>
            </c:marker>
            <c:spPr>
              <a:ln w="28575">
                <a:noFill/>
              </a:ln>
            </c:spPr>
          </c:dPt>
          <c:cat>
            <c:numRef>
              <c:f>'net evap'!$A$947:$A$1010</c:f>
              <c:numCache>
                <c:formatCode>General</c:formatCode>
                <c:ptCount val="64"/>
                <c:pt idx="0">
                  <c:v>1940</c:v>
                </c:pt>
                <c:pt idx="1">
                  <c:v>1941</c:v>
                </c:pt>
                <c:pt idx="2">
                  <c:v>1942</c:v>
                </c:pt>
                <c:pt idx="3">
                  <c:v>1943</c:v>
                </c:pt>
                <c:pt idx="4">
                  <c:v>1944</c:v>
                </c:pt>
                <c:pt idx="5">
                  <c:v>1945</c:v>
                </c:pt>
                <c:pt idx="6">
                  <c:v>1946</c:v>
                </c:pt>
                <c:pt idx="7">
                  <c:v>1947</c:v>
                </c:pt>
                <c:pt idx="8">
                  <c:v>1948</c:v>
                </c:pt>
                <c:pt idx="9">
                  <c:v>1949</c:v>
                </c:pt>
                <c:pt idx="10">
                  <c:v>1950</c:v>
                </c:pt>
                <c:pt idx="11">
                  <c:v>1951</c:v>
                </c:pt>
                <c:pt idx="12">
                  <c:v>1952</c:v>
                </c:pt>
                <c:pt idx="13">
                  <c:v>1953</c:v>
                </c:pt>
                <c:pt idx="14">
                  <c:v>1954</c:v>
                </c:pt>
                <c:pt idx="15">
                  <c:v>1955</c:v>
                </c:pt>
                <c:pt idx="16">
                  <c:v>1956</c:v>
                </c:pt>
                <c:pt idx="17">
                  <c:v>1957</c:v>
                </c:pt>
                <c:pt idx="18">
                  <c:v>1958</c:v>
                </c:pt>
                <c:pt idx="19">
                  <c:v>1959</c:v>
                </c:pt>
                <c:pt idx="20">
                  <c:v>1960</c:v>
                </c:pt>
                <c:pt idx="21">
                  <c:v>1961</c:v>
                </c:pt>
                <c:pt idx="22">
                  <c:v>1962</c:v>
                </c:pt>
                <c:pt idx="23">
                  <c:v>1963</c:v>
                </c:pt>
                <c:pt idx="24">
                  <c:v>1964</c:v>
                </c:pt>
                <c:pt idx="25">
                  <c:v>1965</c:v>
                </c:pt>
                <c:pt idx="26">
                  <c:v>1966</c:v>
                </c:pt>
                <c:pt idx="27">
                  <c:v>1967</c:v>
                </c:pt>
                <c:pt idx="28">
                  <c:v>1968</c:v>
                </c:pt>
                <c:pt idx="29">
                  <c:v>1969</c:v>
                </c:pt>
                <c:pt idx="30">
                  <c:v>1970</c:v>
                </c:pt>
                <c:pt idx="31">
                  <c:v>1971</c:v>
                </c:pt>
                <c:pt idx="32">
                  <c:v>1972</c:v>
                </c:pt>
                <c:pt idx="33">
                  <c:v>1973</c:v>
                </c:pt>
                <c:pt idx="34">
                  <c:v>1974</c:v>
                </c:pt>
                <c:pt idx="35">
                  <c:v>1975</c:v>
                </c:pt>
                <c:pt idx="36">
                  <c:v>1976</c:v>
                </c:pt>
                <c:pt idx="37">
                  <c:v>1977</c:v>
                </c:pt>
                <c:pt idx="38">
                  <c:v>1978</c:v>
                </c:pt>
                <c:pt idx="39">
                  <c:v>1979</c:v>
                </c:pt>
                <c:pt idx="40">
                  <c:v>1980</c:v>
                </c:pt>
                <c:pt idx="41">
                  <c:v>1981</c:v>
                </c:pt>
                <c:pt idx="42">
                  <c:v>1982</c:v>
                </c:pt>
                <c:pt idx="43">
                  <c:v>1983</c:v>
                </c:pt>
                <c:pt idx="44">
                  <c:v>1984</c:v>
                </c:pt>
                <c:pt idx="45">
                  <c:v>1985</c:v>
                </c:pt>
                <c:pt idx="46">
                  <c:v>1986</c:v>
                </c:pt>
                <c:pt idx="47">
                  <c:v>1987</c:v>
                </c:pt>
                <c:pt idx="48">
                  <c:v>1988</c:v>
                </c:pt>
                <c:pt idx="49">
                  <c:v>1989</c:v>
                </c:pt>
                <c:pt idx="50">
                  <c:v>1990</c:v>
                </c:pt>
                <c:pt idx="51">
                  <c:v>1991</c:v>
                </c:pt>
                <c:pt idx="52">
                  <c:v>1992</c:v>
                </c:pt>
                <c:pt idx="53">
                  <c:v>1993</c:v>
                </c:pt>
                <c:pt idx="54">
                  <c:v>1994</c:v>
                </c:pt>
                <c:pt idx="55">
                  <c:v>1995</c:v>
                </c:pt>
                <c:pt idx="56">
                  <c:v>1996</c:v>
                </c:pt>
                <c:pt idx="57">
                  <c:v>1997</c:v>
                </c:pt>
                <c:pt idx="58">
                  <c:v>1998</c:v>
                </c:pt>
                <c:pt idx="59">
                  <c:v>1999</c:v>
                </c:pt>
                <c:pt idx="60">
                  <c:v>2000</c:v>
                </c:pt>
                <c:pt idx="61">
                  <c:v>2001</c:v>
                </c:pt>
                <c:pt idx="62">
                  <c:v>2002</c:v>
                </c:pt>
                <c:pt idx="63">
                  <c:v>2003</c:v>
                </c:pt>
              </c:numCache>
            </c:numRef>
          </c:cat>
          <c:val>
            <c:numRef>
              <c:f>'net evap'!$D$947:$D$1010</c:f>
              <c:numCache>
                <c:formatCode>General</c:formatCode>
                <c:ptCount val="64"/>
                <c:pt idx="0">
                  <c:v>-0.8</c:v>
                </c:pt>
                <c:pt idx="1">
                  <c:v>2.3889999999999998</c:v>
                </c:pt>
                <c:pt idx="2">
                  <c:v>1.6259999999999999</c:v>
                </c:pt>
                <c:pt idx="3">
                  <c:v>-0.10199999999999999</c:v>
                </c:pt>
                <c:pt idx="4">
                  <c:v>1.853</c:v>
                </c:pt>
                <c:pt idx="5">
                  <c:v>2.1320000000000001</c:v>
                </c:pt>
                <c:pt idx="6">
                  <c:v>1.66</c:v>
                </c:pt>
                <c:pt idx="7">
                  <c:v>2.0310000000000001</c:v>
                </c:pt>
                <c:pt idx="8">
                  <c:v>-0.246</c:v>
                </c:pt>
                <c:pt idx="9">
                  <c:v>1.21</c:v>
                </c:pt>
                <c:pt idx="10">
                  <c:v>0.77500000000000002</c:v>
                </c:pt>
                <c:pt idx="11">
                  <c:v>-1.07</c:v>
                </c:pt>
                <c:pt idx="12">
                  <c:v>-3.6520000000000001</c:v>
                </c:pt>
                <c:pt idx="13">
                  <c:v>-4.2869999999999999</c:v>
                </c:pt>
                <c:pt idx="14">
                  <c:v>-2.8860000000000001</c:v>
                </c:pt>
                <c:pt idx="15">
                  <c:v>-2.2770000000000001</c:v>
                </c:pt>
                <c:pt idx="16">
                  <c:v>-4.806</c:v>
                </c:pt>
                <c:pt idx="17">
                  <c:v>0.45200000000000001</c:v>
                </c:pt>
                <c:pt idx="18">
                  <c:v>0.68</c:v>
                </c:pt>
                <c:pt idx="19">
                  <c:v>-0.41699999999999998</c:v>
                </c:pt>
                <c:pt idx="20">
                  <c:v>0.23100000000000001</c:v>
                </c:pt>
                <c:pt idx="21">
                  <c:v>-0.36299999999999999</c:v>
                </c:pt>
                <c:pt idx="22">
                  <c:v>0.16400000000000001</c:v>
                </c:pt>
                <c:pt idx="23">
                  <c:v>-2.6</c:v>
                </c:pt>
                <c:pt idx="24">
                  <c:v>-2.0089999999999999</c:v>
                </c:pt>
                <c:pt idx="25">
                  <c:v>2.0510000000000002</c:v>
                </c:pt>
                <c:pt idx="26">
                  <c:v>-0.64500000000000002</c:v>
                </c:pt>
                <c:pt idx="27">
                  <c:v>-2.7090000000000001</c:v>
                </c:pt>
                <c:pt idx="28">
                  <c:v>2.722</c:v>
                </c:pt>
                <c:pt idx="29">
                  <c:v>0.67400000000000004</c:v>
                </c:pt>
                <c:pt idx="30">
                  <c:v>1</c:v>
                </c:pt>
                <c:pt idx="31">
                  <c:v>-4.2050000000000001</c:v>
                </c:pt>
                <c:pt idx="32">
                  <c:v>-1.194</c:v>
                </c:pt>
                <c:pt idx="33">
                  <c:v>2.883</c:v>
                </c:pt>
                <c:pt idx="34">
                  <c:v>-0.34200000000000003</c:v>
                </c:pt>
                <c:pt idx="35">
                  <c:v>3.3959999999999999</c:v>
                </c:pt>
                <c:pt idx="36">
                  <c:v>1.069</c:v>
                </c:pt>
                <c:pt idx="37">
                  <c:v>0.23</c:v>
                </c:pt>
                <c:pt idx="38">
                  <c:v>-2.4350000000000001</c:v>
                </c:pt>
                <c:pt idx="39">
                  <c:v>3.1179999999999999</c:v>
                </c:pt>
                <c:pt idx="40">
                  <c:v>-1.617</c:v>
                </c:pt>
                <c:pt idx="41">
                  <c:v>1.4930000000000001</c:v>
                </c:pt>
                <c:pt idx="42">
                  <c:v>1.52</c:v>
                </c:pt>
                <c:pt idx="43">
                  <c:v>1.635</c:v>
                </c:pt>
                <c:pt idx="44">
                  <c:v>-2.0619999999999998</c:v>
                </c:pt>
                <c:pt idx="45">
                  <c:v>1.482</c:v>
                </c:pt>
                <c:pt idx="46">
                  <c:v>0.29599999999999999</c:v>
                </c:pt>
                <c:pt idx="47">
                  <c:v>3.7709999999999999</c:v>
                </c:pt>
                <c:pt idx="48">
                  <c:v>-1.306</c:v>
                </c:pt>
                <c:pt idx="49">
                  <c:v>1.665</c:v>
                </c:pt>
                <c:pt idx="50">
                  <c:v>0.94299999999999995</c:v>
                </c:pt>
                <c:pt idx="51">
                  <c:v>1.645</c:v>
                </c:pt>
                <c:pt idx="52">
                  <c:v>4.569</c:v>
                </c:pt>
                <c:pt idx="53">
                  <c:v>2.2229999999999999</c:v>
                </c:pt>
                <c:pt idx="54">
                  <c:v>1.3049999999999999</c:v>
                </c:pt>
                <c:pt idx="55">
                  <c:v>3.18</c:v>
                </c:pt>
                <c:pt idx="56">
                  <c:v>-1.619</c:v>
                </c:pt>
                <c:pt idx="57">
                  <c:v>3.5409999999999999</c:v>
                </c:pt>
                <c:pt idx="58">
                  <c:v>-2.3820000000000001</c:v>
                </c:pt>
                <c:pt idx="59">
                  <c:v>-0.247</c:v>
                </c:pt>
                <c:pt idx="60">
                  <c:v>-1.472</c:v>
                </c:pt>
                <c:pt idx="61">
                  <c:v>1.2929999999999999</c:v>
                </c:pt>
                <c:pt idx="62">
                  <c:v>1.327</c:v>
                </c:pt>
                <c:pt idx="63">
                  <c:v>-0.72599999999999998</c:v>
                </c:pt>
              </c:numCache>
            </c:numRef>
          </c:val>
        </c:ser>
        <c:ser>
          <c:idx val="1"/>
          <c:order val="1"/>
          <c:spPr>
            <a:ln w="12700">
              <a:solidFill>
                <a:srgbClr val="FFFF00"/>
              </a:solidFill>
              <a:prstDash val="solid"/>
            </a:ln>
          </c:spPr>
          <c:marker>
            <c:symbol val="square"/>
            <c:size val="6"/>
            <c:spPr>
              <a:solidFill>
                <a:srgbClr val="FFFF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'net evap'!$A$947:$A$1010</c:f>
              <c:numCache>
                <c:formatCode>General</c:formatCode>
                <c:ptCount val="64"/>
                <c:pt idx="0">
                  <c:v>1940</c:v>
                </c:pt>
                <c:pt idx="1">
                  <c:v>1941</c:v>
                </c:pt>
                <c:pt idx="2">
                  <c:v>1942</c:v>
                </c:pt>
                <c:pt idx="3">
                  <c:v>1943</c:v>
                </c:pt>
                <c:pt idx="4">
                  <c:v>1944</c:v>
                </c:pt>
                <c:pt idx="5">
                  <c:v>1945</c:v>
                </c:pt>
                <c:pt idx="6">
                  <c:v>1946</c:v>
                </c:pt>
                <c:pt idx="7">
                  <c:v>1947</c:v>
                </c:pt>
                <c:pt idx="8">
                  <c:v>1948</c:v>
                </c:pt>
                <c:pt idx="9">
                  <c:v>1949</c:v>
                </c:pt>
                <c:pt idx="10">
                  <c:v>1950</c:v>
                </c:pt>
                <c:pt idx="11">
                  <c:v>1951</c:v>
                </c:pt>
                <c:pt idx="12">
                  <c:v>1952</c:v>
                </c:pt>
                <c:pt idx="13">
                  <c:v>1953</c:v>
                </c:pt>
                <c:pt idx="14">
                  <c:v>1954</c:v>
                </c:pt>
                <c:pt idx="15">
                  <c:v>1955</c:v>
                </c:pt>
                <c:pt idx="16">
                  <c:v>1956</c:v>
                </c:pt>
                <c:pt idx="17">
                  <c:v>1957</c:v>
                </c:pt>
                <c:pt idx="18">
                  <c:v>1958</c:v>
                </c:pt>
                <c:pt idx="19">
                  <c:v>1959</c:v>
                </c:pt>
                <c:pt idx="20">
                  <c:v>1960</c:v>
                </c:pt>
                <c:pt idx="21">
                  <c:v>1961</c:v>
                </c:pt>
                <c:pt idx="22">
                  <c:v>1962</c:v>
                </c:pt>
                <c:pt idx="23">
                  <c:v>1963</c:v>
                </c:pt>
                <c:pt idx="24">
                  <c:v>1964</c:v>
                </c:pt>
                <c:pt idx="25">
                  <c:v>1965</c:v>
                </c:pt>
                <c:pt idx="26">
                  <c:v>1966</c:v>
                </c:pt>
                <c:pt idx="27">
                  <c:v>1967</c:v>
                </c:pt>
                <c:pt idx="28">
                  <c:v>1968</c:v>
                </c:pt>
                <c:pt idx="29">
                  <c:v>1969</c:v>
                </c:pt>
                <c:pt idx="30">
                  <c:v>1970</c:v>
                </c:pt>
                <c:pt idx="31">
                  <c:v>1971</c:v>
                </c:pt>
                <c:pt idx="32">
                  <c:v>1972</c:v>
                </c:pt>
                <c:pt idx="33">
                  <c:v>1973</c:v>
                </c:pt>
                <c:pt idx="34">
                  <c:v>1974</c:v>
                </c:pt>
                <c:pt idx="35">
                  <c:v>1975</c:v>
                </c:pt>
                <c:pt idx="36">
                  <c:v>1976</c:v>
                </c:pt>
                <c:pt idx="37">
                  <c:v>1977</c:v>
                </c:pt>
                <c:pt idx="38">
                  <c:v>1978</c:v>
                </c:pt>
                <c:pt idx="39">
                  <c:v>1979</c:v>
                </c:pt>
                <c:pt idx="40">
                  <c:v>1980</c:v>
                </c:pt>
                <c:pt idx="41">
                  <c:v>1981</c:v>
                </c:pt>
                <c:pt idx="42">
                  <c:v>1982</c:v>
                </c:pt>
                <c:pt idx="43">
                  <c:v>1983</c:v>
                </c:pt>
                <c:pt idx="44">
                  <c:v>1984</c:v>
                </c:pt>
                <c:pt idx="45">
                  <c:v>1985</c:v>
                </c:pt>
                <c:pt idx="46">
                  <c:v>1986</c:v>
                </c:pt>
                <c:pt idx="47">
                  <c:v>1987</c:v>
                </c:pt>
                <c:pt idx="48">
                  <c:v>1988</c:v>
                </c:pt>
                <c:pt idx="49">
                  <c:v>1989</c:v>
                </c:pt>
                <c:pt idx="50">
                  <c:v>1990</c:v>
                </c:pt>
                <c:pt idx="51">
                  <c:v>1991</c:v>
                </c:pt>
                <c:pt idx="52">
                  <c:v>1992</c:v>
                </c:pt>
                <c:pt idx="53">
                  <c:v>1993</c:v>
                </c:pt>
                <c:pt idx="54">
                  <c:v>1994</c:v>
                </c:pt>
                <c:pt idx="55">
                  <c:v>1995</c:v>
                </c:pt>
                <c:pt idx="56">
                  <c:v>1996</c:v>
                </c:pt>
                <c:pt idx="57">
                  <c:v>1997</c:v>
                </c:pt>
                <c:pt idx="58">
                  <c:v>1998</c:v>
                </c:pt>
                <c:pt idx="59">
                  <c:v>1999</c:v>
                </c:pt>
                <c:pt idx="60">
                  <c:v>2000</c:v>
                </c:pt>
                <c:pt idx="61">
                  <c:v>2001</c:v>
                </c:pt>
                <c:pt idx="62">
                  <c:v>2002</c:v>
                </c:pt>
                <c:pt idx="63">
                  <c:v>2003</c:v>
                </c:pt>
              </c:numCache>
            </c:numRef>
          </c:cat>
          <c:val>
            <c:numRef>
              <c:f>'net evap'!$G$947:$G$1010</c:f>
              <c:numCache>
                <c:formatCode>General</c:formatCode>
                <c:ptCount val="64"/>
                <c:pt idx="0">
                  <c:v>0.28299999999999997</c:v>
                </c:pt>
                <c:pt idx="1">
                  <c:v>0.46</c:v>
                </c:pt>
                <c:pt idx="2">
                  <c:v>0.622</c:v>
                </c:pt>
                <c:pt idx="3">
                  <c:v>0.74</c:v>
                </c:pt>
                <c:pt idx="4">
                  <c:v>0.79900000000000004</c:v>
                </c:pt>
                <c:pt idx="5">
                  <c:v>0.77700000000000002</c:v>
                </c:pt>
                <c:pt idx="6">
                  <c:v>0.66200000000000003</c:v>
                </c:pt>
                <c:pt idx="7">
                  <c:v>0.45500000000000002</c:v>
                </c:pt>
                <c:pt idx="8">
                  <c:v>0.16600000000000001</c:v>
                </c:pt>
                <c:pt idx="9">
                  <c:v>-0.182</c:v>
                </c:pt>
                <c:pt idx="10">
                  <c:v>-0.56499999999999995</c:v>
                </c:pt>
                <c:pt idx="11">
                  <c:v>-0.94799999999999995</c:v>
                </c:pt>
                <c:pt idx="12">
                  <c:v>-1.2849999999999999</c:v>
                </c:pt>
                <c:pt idx="13">
                  <c:v>-1.5329999999999999</c:v>
                </c:pt>
                <c:pt idx="14">
                  <c:v>-1.669</c:v>
                </c:pt>
                <c:pt idx="15">
                  <c:v>-1.6930000000000001</c:v>
                </c:pt>
                <c:pt idx="16">
                  <c:v>-1.619</c:v>
                </c:pt>
                <c:pt idx="17">
                  <c:v>-1.4710000000000001</c:v>
                </c:pt>
                <c:pt idx="18">
                  <c:v>-1.2929999999999999</c:v>
                </c:pt>
                <c:pt idx="19">
                  <c:v>-1.119</c:v>
                </c:pt>
                <c:pt idx="20">
                  <c:v>-0.96199999999999997</c:v>
                </c:pt>
                <c:pt idx="21">
                  <c:v>-0.83</c:v>
                </c:pt>
                <c:pt idx="22">
                  <c:v>-0.71799999999999997</c:v>
                </c:pt>
                <c:pt idx="23">
                  <c:v>-0.61699999999999999</c:v>
                </c:pt>
                <c:pt idx="24">
                  <c:v>-0.51400000000000001</c:v>
                </c:pt>
                <c:pt idx="25">
                  <c:v>-0.40799999999999997</c:v>
                </c:pt>
                <c:pt idx="26">
                  <c:v>-0.31</c:v>
                </c:pt>
                <c:pt idx="27">
                  <c:v>-0.215</c:v>
                </c:pt>
                <c:pt idx="28">
                  <c:v>-0.123</c:v>
                </c:pt>
                <c:pt idx="29">
                  <c:v>-4.3999999999999997E-2</c:v>
                </c:pt>
                <c:pt idx="30">
                  <c:v>2.5999999999999999E-2</c:v>
                </c:pt>
                <c:pt idx="31">
                  <c:v>0.104</c:v>
                </c:pt>
                <c:pt idx="32">
                  <c:v>0.20399999999999999</c:v>
                </c:pt>
                <c:pt idx="33">
                  <c:v>0.315</c:v>
                </c:pt>
                <c:pt idx="34">
                  <c:v>0.41299999999999998</c:v>
                </c:pt>
                <c:pt idx="35">
                  <c:v>0.48499999999999999</c:v>
                </c:pt>
                <c:pt idx="36">
                  <c:v>0.52400000000000002</c:v>
                </c:pt>
                <c:pt idx="37">
                  <c:v>0.54200000000000004</c:v>
                </c:pt>
                <c:pt idx="38">
                  <c:v>0.55800000000000005</c:v>
                </c:pt>
                <c:pt idx="39">
                  <c:v>0.58499999999999996</c:v>
                </c:pt>
                <c:pt idx="40">
                  <c:v>0.61899999999999999</c:v>
                </c:pt>
                <c:pt idx="41">
                  <c:v>0.66700000000000004</c:v>
                </c:pt>
                <c:pt idx="42">
                  <c:v>0.72299999999999998</c:v>
                </c:pt>
                <c:pt idx="43">
                  <c:v>0.78800000000000003</c:v>
                </c:pt>
                <c:pt idx="44">
                  <c:v>0.86799999999999999</c:v>
                </c:pt>
                <c:pt idx="45">
                  <c:v>0.97199999999999998</c:v>
                </c:pt>
                <c:pt idx="46">
                  <c:v>1.093</c:v>
                </c:pt>
                <c:pt idx="47">
                  <c:v>1.2190000000000001</c:v>
                </c:pt>
                <c:pt idx="48">
                  <c:v>1.341</c:v>
                </c:pt>
                <c:pt idx="49">
                  <c:v>1.458</c:v>
                </c:pt>
                <c:pt idx="50">
                  <c:v>1.5569999999999999</c:v>
                </c:pt>
                <c:pt idx="51">
                  <c:v>1.623</c:v>
                </c:pt>
                <c:pt idx="52">
                  <c:v>1.635</c:v>
                </c:pt>
                <c:pt idx="53">
                  <c:v>1.5780000000000001</c:v>
                </c:pt>
                <c:pt idx="54">
                  <c:v>1.4550000000000001</c:v>
                </c:pt>
                <c:pt idx="55">
                  <c:v>1.278</c:v>
                </c:pt>
                <c:pt idx="56">
                  <c:v>1.0640000000000001</c:v>
                </c:pt>
                <c:pt idx="57">
                  <c:v>0.83699999999999997</c:v>
                </c:pt>
                <c:pt idx="58">
                  <c:v>0.60899999999999999</c:v>
                </c:pt>
                <c:pt idx="59">
                  <c:v>0.40400000000000003</c:v>
                </c:pt>
                <c:pt idx="60">
                  <c:v>0.22700000000000001</c:v>
                </c:pt>
                <c:pt idx="61">
                  <c:v>7.0999999999999994E-2</c:v>
                </c:pt>
                <c:pt idx="62">
                  <c:v>-7.8E-2</c:v>
                </c:pt>
                <c:pt idx="63">
                  <c:v>-0.23</c:v>
                </c:pt>
              </c:numCache>
            </c:numRef>
          </c:val>
        </c:ser>
        <c:marker val="1"/>
        <c:axId val="47207168"/>
        <c:axId val="47209088"/>
      </c:lineChart>
      <c:catAx>
        <c:axId val="47207168"/>
        <c:scaling>
          <c:orientation val="minMax"/>
        </c:scaling>
        <c:axPos val="b"/>
        <c:title>
          <c:tx>
            <c:rich>
              <a:bodyPr/>
              <a:lstStyle/>
              <a:p>
                <a:pPr>
                  <a:defRPr sz="148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year</a:t>
                </a:r>
              </a:p>
            </c:rich>
          </c:tx>
          <c:layout>
            <c:manualLayout>
              <c:xMode val="edge"/>
              <c:yMode val="edge"/>
              <c:x val="0.40523716954333255"/>
              <c:y val="0.90502949701119972"/>
            </c:manualLayout>
          </c:layout>
          <c:spPr>
            <a:noFill/>
            <a:ln w="25400">
              <a:noFill/>
            </a:ln>
          </c:spPr>
        </c:title>
        <c:numFmt formatCode="General" sourceLinked="1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48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7209088"/>
        <c:crossesAt val="0"/>
        <c:auto val="1"/>
        <c:lblAlgn val="ctr"/>
        <c:lblOffset val="100"/>
        <c:tickLblSkip val="6"/>
        <c:tickMarkSkip val="1"/>
      </c:catAx>
      <c:valAx>
        <c:axId val="47209088"/>
        <c:scaling>
          <c:orientation val="minMax"/>
        </c:scaling>
        <c:axPos val="l"/>
        <c:majorGridlines>
          <c:spPr>
            <a:ln w="12700">
              <a:solidFill>
                <a:srgbClr val="000000"/>
              </a:solidFill>
              <a:prstDash val="solid"/>
            </a:ln>
          </c:spPr>
        </c:majorGridlines>
        <c:numFmt formatCode="General" sourceLinked="0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48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7207168"/>
        <c:crosses val="autoZero"/>
        <c:crossBetween val="midCat"/>
      </c:valAx>
      <c:spPr>
        <a:solidFill>
          <a:srgbClr val="EAEAEA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84912770567020768"/>
          <c:y val="0.44692815632682781"/>
          <c:w val="0.14089788651730337"/>
          <c:h val="0.10614544690293626"/>
        </c:manualLayout>
      </c:layout>
      <c:spPr>
        <a:solidFill>
          <a:srgbClr val="FFFFFF"/>
        </a:solidFill>
        <a:ln w="12700">
          <a:solidFill>
            <a:srgbClr val="000000"/>
          </a:solidFill>
          <a:prstDash val="solid"/>
        </a:ln>
      </c:spPr>
      <c:txPr>
        <a:bodyPr/>
        <a:lstStyle/>
        <a:p>
          <a:pPr>
            <a:defRPr sz="136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dispBlanksAs val="gap"/>
  </c:chart>
  <c:spPr>
    <a:noFill/>
    <a:ln w="9525">
      <a:noFill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autoTitleDeleted val="1"/>
    <c:plotArea>
      <c:layout/>
      <c:scatterChart>
        <c:scatterStyle val="lineMarker"/>
        <c:ser>
          <c:idx val="0"/>
          <c:order val="0"/>
          <c:tx>
            <c:strRef>
              <c:f>'net evap'!$D$2</c:f>
              <c:strCache>
                <c:ptCount val="1"/>
                <c:pt idx="0">
                  <c:v>RECON</c:v>
                </c:pt>
              </c:strCache>
            </c:strRef>
          </c:tx>
          <c:marker>
            <c:symbol val="none"/>
          </c:marker>
          <c:xVal>
            <c:numRef>
              <c:f>'net evap'!$A$3:$A$1010</c:f>
              <c:numCache>
                <c:formatCode>General</c:formatCode>
                <c:ptCount val="1008"/>
                <c:pt idx="0">
                  <c:v>996</c:v>
                </c:pt>
                <c:pt idx="1">
                  <c:v>997</c:v>
                </c:pt>
                <c:pt idx="2">
                  <c:v>998</c:v>
                </c:pt>
                <c:pt idx="3">
                  <c:v>999</c:v>
                </c:pt>
                <c:pt idx="4">
                  <c:v>1000</c:v>
                </c:pt>
                <c:pt idx="5">
                  <c:v>1001</c:v>
                </c:pt>
                <c:pt idx="6">
                  <c:v>1002</c:v>
                </c:pt>
                <c:pt idx="7">
                  <c:v>1003</c:v>
                </c:pt>
                <c:pt idx="8">
                  <c:v>1004</c:v>
                </c:pt>
                <c:pt idx="9">
                  <c:v>1005</c:v>
                </c:pt>
                <c:pt idx="10">
                  <c:v>1006</c:v>
                </c:pt>
                <c:pt idx="11">
                  <c:v>1007</c:v>
                </c:pt>
                <c:pt idx="12">
                  <c:v>1008</c:v>
                </c:pt>
                <c:pt idx="13">
                  <c:v>1009</c:v>
                </c:pt>
                <c:pt idx="14">
                  <c:v>1010</c:v>
                </c:pt>
                <c:pt idx="15">
                  <c:v>1011</c:v>
                </c:pt>
                <c:pt idx="16">
                  <c:v>1012</c:v>
                </c:pt>
                <c:pt idx="17">
                  <c:v>1013</c:v>
                </c:pt>
                <c:pt idx="18">
                  <c:v>1014</c:v>
                </c:pt>
                <c:pt idx="19">
                  <c:v>1015</c:v>
                </c:pt>
                <c:pt idx="20">
                  <c:v>1016</c:v>
                </c:pt>
                <c:pt idx="21">
                  <c:v>1017</c:v>
                </c:pt>
                <c:pt idx="22">
                  <c:v>1018</c:v>
                </c:pt>
                <c:pt idx="23">
                  <c:v>1019</c:v>
                </c:pt>
                <c:pt idx="24">
                  <c:v>1020</c:v>
                </c:pt>
                <c:pt idx="25">
                  <c:v>1021</c:v>
                </c:pt>
                <c:pt idx="26">
                  <c:v>1022</c:v>
                </c:pt>
                <c:pt idx="27">
                  <c:v>1023</c:v>
                </c:pt>
                <c:pt idx="28">
                  <c:v>1024</c:v>
                </c:pt>
                <c:pt idx="29">
                  <c:v>1025</c:v>
                </c:pt>
                <c:pt idx="30">
                  <c:v>1026</c:v>
                </c:pt>
                <c:pt idx="31">
                  <c:v>1027</c:v>
                </c:pt>
                <c:pt idx="32">
                  <c:v>1028</c:v>
                </c:pt>
                <c:pt idx="33">
                  <c:v>1029</c:v>
                </c:pt>
                <c:pt idx="34">
                  <c:v>1030</c:v>
                </c:pt>
                <c:pt idx="35">
                  <c:v>1031</c:v>
                </c:pt>
                <c:pt idx="36">
                  <c:v>1032</c:v>
                </c:pt>
                <c:pt idx="37">
                  <c:v>1033</c:v>
                </c:pt>
                <c:pt idx="38">
                  <c:v>1034</c:v>
                </c:pt>
                <c:pt idx="39">
                  <c:v>1035</c:v>
                </c:pt>
                <c:pt idx="40">
                  <c:v>1036</c:v>
                </c:pt>
                <c:pt idx="41">
                  <c:v>1037</c:v>
                </c:pt>
                <c:pt idx="42">
                  <c:v>1038</c:v>
                </c:pt>
                <c:pt idx="43">
                  <c:v>1039</c:v>
                </c:pt>
                <c:pt idx="44">
                  <c:v>1040</c:v>
                </c:pt>
                <c:pt idx="45">
                  <c:v>1041</c:v>
                </c:pt>
                <c:pt idx="46">
                  <c:v>1042</c:v>
                </c:pt>
                <c:pt idx="47">
                  <c:v>1043</c:v>
                </c:pt>
                <c:pt idx="48">
                  <c:v>1044</c:v>
                </c:pt>
                <c:pt idx="49">
                  <c:v>1045</c:v>
                </c:pt>
                <c:pt idx="50">
                  <c:v>1046</c:v>
                </c:pt>
                <c:pt idx="51">
                  <c:v>1047</c:v>
                </c:pt>
                <c:pt idx="52">
                  <c:v>1048</c:v>
                </c:pt>
                <c:pt idx="53">
                  <c:v>1049</c:v>
                </c:pt>
                <c:pt idx="54">
                  <c:v>1050</c:v>
                </c:pt>
                <c:pt idx="55">
                  <c:v>1051</c:v>
                </c:pt>
                <c:pt idx="56">
                  <c:v>1052</c:v>
                </c:pt>
                <c:pt idx="57">
                  <c:v>1053</c:v>
                </c:pt>
                <c:pt idx="58">
                  <c:v>1054</c:v>
                </c:pt>
                <c:pt idx="59">
                  <c:v>1055</c:v>
                </c:pt>
                <c:pt idx="60">
                  <c:v>1056</c:v>
                </c:pt>
                <c:pt idx="61">
                  <c:v>1057</c:v>
                </c:pt>
                <c:pt idx="62">
                  <c:v>1058</c:v>
                </c:pt>
                <c:pt idx="63">
                  <c:v>1059</c:v>
                </c:pt>
                <c:pt idx="64">
                  <c:v>1060</c:v>
                </c:pt>
                <c:pt idx="65">
                  <c:v>1061</c:v>
                </c:pt>
                <c:pt idx="66">
                  <c:v>1062</c:v>
                </c:pt>
                <c:pt idx="67">
                  <c:v>1063</c:v>
                </c:pt>
                <c:pt idx="68">
                  <c:v>1064</c:v>
                </c:pt>
                <c:pt idx="69">
                  <c:v>1065</c:v>
                </c:pt>
                <c:pt idx="70">
                  <c:v>1066</c:v>
                </c:pt>
                <c:pt idx="71">
                  <c:v>1067</c:v>
                </c:pt>
                <c:pt idx="72">
                  <c:v>1068</c:v>
                </c:pt>
                <c:pt idx="73">
                  <c:v>1069</c:v>
                </c:pt>
                <c:pt idx="74">
                  <c:v>1070</c:v>
                </c:pt>
                <c:pt idx="75">
                  <c:v>1071</c:v>
                </c:pt>
                <c:pt idx="76">
                  <c:v>1072</c:v>
                </c:pt>
                <c:pt idx="77">
                  <c:v>1073</c:v>
                </c:pt>
                <c:pt idx="78">
                  <c:v>1074</c:v>
                </c:pt>
                <c:pt idx="79">
                  <c:v>1075</c:v>
                </c:pt>
                <c:pt idx="80">
                  <c:v>1076</c:v>
                </c:pt>
                <c:pt idx="81">
                  <c:v>1077</c:v>
                </c:pt>
                <c:pt idx="82">
                  <c:v>1078</c:v>
                </c:pt>
                <c:pt idx="83">
                  <c:v>1079</c:v>
                </c:pt>
                <c:pt idx="84">
                  <c:v>1080</c:v>
                </c:pt>
                <c:pt idx="85">
                  <c:v>1081</c:v>
                </c:pt>
                <c:pt idx="86">
                  <c:v>1082</c:v>
                </c:pt>
                <c:pt idx="87">
                  <c:v>1083</c:v>
                </c:pt>
                <c:pt idx="88">
                  <c:v>1084</c:v>
                </c:pt>
                <c:pt idx="89">
                  <c:v>1085</c:v>
                </c:pt>
                <c:pt idx="90">
                  <c:v>1086</c:v>
                </c:pt>
                <c:pt idx="91">
                  <c:v>1087</c:v>
                </c:pt>
                <c:pt idx="92">
                  <c:v>1088</c:v>
                </c:pt>
                <c:pt idx="93">
                  <c:v>1089</c:v>
                </c:pt>
                <c:pt idx="94">
                  <c:v>1090</c:v>
                </c:pt>
                <c:pt idx="95">
                  <c:v>1091</c:v>
                </c:pt>
                <c:pt idx="96">
                  <c:v>1092</c:v>
                </c:pt>
                <c:pt idx="97">
                  <c:v>1093</c:v>
                </c:pt>
                <c:pt idx="98">
                  <c:v>1094</c:v>
                </c:pt>
                <c:pt idx="99">
                  <c:v>1095</c:v>
                </c:pt>
                <c:pt idx="100">
                  <c:v>1096</c:v>
                </c:pt>
                <c:pt idx="101">
                  <c:v>1097</c:v>
                </c:pt>
                <c:pt idx="102">
                  <c:v>1098</c:v>
                </c:pt>
                <c:pt idx="103">
                  <c:v>1099</c:v>
                </c:pt>
                <c:pt idx="104">
                  <c:v>1100</c:v>
                </c:pt>
                <c:pt idx="105">
                  <c:v>1101</c:v>
                </c:pt>
                <c:pt idx="106">
                  <c:v>1102</c:v>
                </c:pt>
                <c:pt idx="107">
                  <c:v>1103</c:v>
                </c:pt>
                <c:pt idx="108">
                  <c:v>1104</c:v>
                </c:pt>
                <c:pt idx="109">
                  <c:v>1105</c:v>
                </c:pt>
                <c:pt idx="110">
                  <c:v>1106</c:v>
                </c:pt>
                <c:pt idx="111">
                  <c:v>1107</c:v>
                </c:pt>
                <c:pt idx="112">
                  <c:v>1108</c:v>
                </c:pt>
                <c:pt idx="113">
                  <c:v>1109</c:v>
                </c:pt>
                <c:pt idx="114">
                  <c:v>1110</c:v>
                </c:pt>
                <c:pt idx="115">
                  <c:v>1111</c:v>
                </c:pt>
                <c:pt idx="116">
                  <c:v>1112</c:v>
                </c:pt>
                <c:pt idx="117">
                  <c:v>1113</c:v>
                </c:pt>
                <c:pt idx="118">
                  <c:v>1114</c:v>
                </c:pt>
                <c:pt idx="119">
                  <c:v>1115</c:v>
                </c:pt>
                <c:pt idx="120">
                  <c:v>1116</c:v>
                </c:pt>
                <c:pt idx="121">
                  <c:v>1117</c:v>
                </c:pt>
                <c:pt idx="122">
                  <c:v>1118</c:v>
                </c:pt>
                <c:pt idx="123">
                  <c:v>1119</c:v>
                </c:pt>
                <c:pt idx="124">
                  <c:v>1120</c:v>
                </c:pt>
                <c:pt idx="125">
                  <c:v>1121</c:v>
                </c:pt>
                <c:pt idx="126">
                  <c:v>1122</c:v>
                </c:pt>
                <c:pt idx="127">
                  <c:v>1123</c:v>
                </c:pt>
                <c:pt idx="128">
                  <c:v>1124</c:v>
                </c:pt>
                <c:pt idx="129">
                  <c:v>1125</c:v>
                </c:pt>
                <c:pt idx="130">
                  <c:v>1126</c:v>
                </c:pt>
                <c:pt idx="131">
                  <c:v>1127</c:v>
                </c:pt>
                <c:pt idx="132">
                  <c:v>1128</c:v>
                </c:pt>
                <c:pt idx="133">
                  <c:v>1129</c:v>
                </c:pt>
                <c:pt idx="134">
                  <c:v>1130</c:v>
                </c:pt>
                <c:pt idx="135">
                  <c:v>1131</c:v>
                </c:pt>
                <c:pt idx="136">
                  <c:v>1132</c:v>
                </c:pt>
                <c:pt idx="137">
                  <c:v>1133</c:v>
                </c:pt>
                <c:pt idx="138">
                  <c:v>1134</c:v>
                </c:pt>
                <c:pt idx="139">
                  <c:v>1135</c:v>
                </c:pt>
                <c:pt idx="140">
                  <c:v>1136</c:v>
                </c:pt>
                <c:pt idx="141">
                  <c:v>1137</c:v>
                </c:pt>
                <c:pt idx="142">
                  <c:v>1138</c:v>
                </c:pt>
                <c:pt idx="143">
                  <c:v>1139</c:v>
                </c:pt>
                <c:pt idx="144">
                  <c:v>1140</c:v>
                </c:pt>
                <c:pt idx="145">
                  <c:v>1141</c:v>
                </c:pt>
                <c:pt idx="146">
                  <c:v>1142</c:v>
                </c:pt>
                <c:pt idx="147">
                  <c:v>1143</c:v>
                </c:pt>
                <c:pt idx="148">
                  <c:v>1144</c:v>
                </c:pt>
                <c:pt idx="149">
                  <c:v>1145</c:v>
                </c:pt>
                <c:pt idx="150">
                  <c:v>1146</c:v>
                </c:pt>
                <c:pt idx="151">
                  <c:v>1147</c:v>
                </c:pt>
                <c:pt idx="152">
                  <c:v>1148</c:v>
                </c:pt>
                <c:pt idx="153">
                  <c:v>1149</c:v>
                </c:pt>
                <c:pt idx="154">
                  <c:v>1150</c:v>
                </c:pt>
                <c:pt idx="155">
                  <c:v>1151</c:v>
                </c:pt>
                <c:pt idx="156">
                  <c:v>1152</c:v>
                </c:pt>
                <c:pt idx="157">
                  <c:v>1153</c:v>
                </c:pt>
                <c:pt idx="158">
                  <c:v>1154</c:v>
                </c:pt>
                <c:pt idx="159">
                  <c:v>1155</c:v>
                </c:pt>
                <c:pt idx="160">
                  <c:v>1156</c:v>
                </c:pt>
                <c:pt idx="161">
                  <c:v>1157</c:v>
                </c:pt>
                <c:pt idx="162">
                  <c:v>1158</c:v>
                </c:pt>
                <c:pt idx="163">
                  <c:v>1159</c:v>
                </c:pt>
                <c:pt idx="164">
                  <c:v>1160</c:v>
                </c:pt>
                <c:pt idx="165">
                  <c:v>1161</c:v>
                </c:pt>
                <c:pt idx="166">
                  <c:v>1162</c:v>
                </c:pt>
                <c:pt idx="167">
                  <c:v>1163</c:v>
                </c:pt>
                <c:pt idx="168">
                  <c:v>1164</c:v>
                </c:pt>
                <c:pt idx="169">
                  <c:v>1165</c:v>
                </c:pt>
                <c:pt idx="170">
                  <c:v>1166</c:v>
                </c:pt>
                <c:pt idx="171">
                  <c:v>1167</c:v>
                </c:pt>
                <c:pt idx="172">
                  <c:v>1168</c:v>
                </c:pt>
                <c:pt idx="173">
                  <c:v>1169</c:v>
                </c:pt>
                <c:pt idx="174">
                  <c:v>1170</c:v>
                </c:pt>
                <c:pt idx="175">
                  <c:v>1171</c:v>
                </c:pt>
                <c:pt idx="176">
                  <c:v>1172</c:v>
                </c:pt>
                <c:pt idx="177">
                  <c:v>1173</c:v>
                </c:pt>
                <c:pt idx="178">
                  <c:v>1174</c:v>
                </c:pt>
                <c:pt idx="179">
                  <c:v>1175</c:v>
                </c:pt>
                <c:pt idx="180">
                  <c:v>1176</c:v>
                </c:pt>
                <c:pt idx="181">
                  <c:v>1177</c:v>
                </c:pt>
                <c:pt idx="182">
                  <c:v>1178</c:v>
                </c:pt>
                <c:pt idx="183">
                  <c:v>1179</c:v>
                </c:pt>
                <c:pt idx="184">
                  <c:v>1180</c:v>
                </c:pt>
                <c:pt idx="185">
                  <c:v>1181</c:v>
                </c:pt>
                <c:pt idx="186">
                  <c:v>1182</c:v>
                </c:pt>
                <c:pt idx="187">
                  <c:v>1183</c:v>
                </c:pt>
                <c:pt idx="188">
                  <c:v>1184</c:v>
                </c:pt>
                <c:pt idx="189">
                  <c:v>1185</c:v>
                </c:pt>
                <c:pt idx="190">
                  <c:v>1186</c:v>
                </c:pt>
                <c:pt idx="191">
                  <c:v>1187</c:v>
                </c:pt>
                <c:pt idx="192">
                  <c:v>1188</c:v>
                </c:pt>
                <c:pt idx="193">
                  <c:v>1189</c:v>
                </c:pt>
                <c:pt idx="194">
                  <c:v>1190</c:v>
                </c:pt>
                <c:pt idx="195">
                  <c:v>1191</c:v>
                </c:pt>
                <c:pt idx="196">
                  <c:v>1192</c:v>
                </c:pt>
                <c:pt idx="197">
                  <c:v>1193</c:v>
                </c:pt>
                <c:pt idx="198">
                  <c:v>1194</c:v>
                </c:pt>
                <c:pt idx="199">
                  <c:v>1195</c:v>
                </c:pt>
                <c:pt idx="200">
                  <c:v>1196</c:v>
                </c:pt>
                <c:pt idx="201">
                  <c:v>1197</c:v>
                </c:pt>
                <c:pt idx="202">
                  <c:v>1198</c:v>
                </c:pt>
                <c:pt idx="203">
                  <c:v>1199</c:v>
                </c:pt>
                <c:pt idx="204">
                  <c:v>1200</c:v>
                </c:pt>
                <c:pt idx="205">
                  <c:v>1201</c:v>
                </c:pt>
                <c:pt idx="206">
                  <c:v>1202</c:v>
                </c:pt>
                <c:pt idx="207">
                  <c:v>1203</c:v>
                </c:pt>
                <c:pt idx="208">
                  <c:v>1204</c:v>
                </c:pt>
                <c:pt idx="209">
                  <c:v>1205</c:v>
                </c:pt>
                <c:pt idx="210">
                  <c:v>1206</c:v>
                </c:pt>
                <c:pt idx="211">
                  <c:v>1207</c:v>
                </c:pt>
                <c:pt idx="212">
                  <c:v>1208</c:v>
                </c:pt>
                <c:pt idx="213">
                  <c:v>1209</c:v>
                </c:pt>
                <c:pt idx="214">
                  <c:v>1210</c:v>
                </c:pt>
                <c:pt idx="215">
                  <c:v>1211</c:v>
                </c:pt>
                <c:pt idx="216">
                  <c:v>1212</c:v>
                </c:pt>
                <c:pt idx="217">
                  <c:v>1213</c:v>
                </c:pt>
                <c:pt idx="218">
                  <c:v>1214</c:v>
                </c:pt>
                <c:pt idx="219">
                  <c:v>1215</c:v>
                </c:pt>
                <c:pt idx="220">
                  <c:v>1216</c:v>
                </c:pt>
                <c:pt idx="221">
                  <c:v>1217</c:v>
                </c:pt>
                <c:pt idx="222">
                  <c:v>1218</c:v>
                </c:pt>
                <c:pt idx="223">
                  <c:v>1219</c:v>
                </c:pt>
                <c:pt idx="224">
                  <c:v>1220</c:v>
                </c:pt>
                <c:pt idx="225">
                  <c:v>1221</c:v>
                </c:pt>
                <c:pt idx="226">
                  <c:v>1222</c:v>
                </c:pt>
                <c:pt idx="227">
                  <c:v>1223</c:v>
                </c:pt>
                <c:pt idx="228">
                  <c:v>1224</c:v>
                </c:pt>
                <c:pt idx="229">
                  <c:v>1225</c:v>
                </c:pt>
                <c:pt idx="230">
                  <c:v>1226</c:v>
                </c:pt>
                <c:pt idx="231">
                  <c:v>1227</c:v>
                </c:pt>
                <c:pt idx="232">
                  <c:v>1228</c:v>
                </c:pt>
                <c:pt idx="233">
                  <c:v>1229</c:v>
                </c:pt>
                <c:pt idx="234">
                  <c:v>1230</c:v>
                </c:pt>
                <c:pt idx="235">
                  <c:v>1231</c:v>
                </c:pt>
                <c:pt idx="236">
                  <c:v>1232</c:v>
                </c:pt>
                <c:pt idx="237">
                  <c:v>1233</c:v>
                </c:pt>
                <c:pt idx="238">
                  <c:v>1234</c:v>
                </c:pt>
                <c:pt idx="239">
                  <c:v>1235</c:v>
                </c:pt>
                <c:pt idx="240">
                  <c:v>1236</c:v>
                </c:pt>
                <c:pt idx="241">
                  <c:v>1237</c:v>
                </c:pt>
                <c:pt idx="242">
                  <c:v>1238</c:v>
                </c:pt>
                <c:pt idx="243">
                  <c:v>1239</c:v>
                </c:pt>
                <c:pt idx="244">
                  <c:v>1240</c:v>
                </c:pt>
                <c:pt idx="245">
                  <c:v>1241</c:v>
                </c:pt>
                <c:pt idx="246">
                  <c:v>1242</c:v>
                </c:pt>
                <c:pt idx="247">
                  <c:v>1243</c:v>
                </c:pt>
                <c:pt idx="248">
                  <c:v>1244</c:v>
                </c:pt>
                <c:pt idx="249">
                  <c:v>1245</c:v>
                </c:pt>
                <c:pt idx="250">
                  <c:v>1246</c:v>
                </c:pt>
                <c:pt idx="251">
                  <c:v>1247</c:v>
                </c:pt>
                <c:pt idx="252">
                  <c:v>1248</c:v>
                </c:pt>
                <c:pt idx="253">
                  <c:v>1249</c:v>
                </c:pt>
                <c:pt idx="254">
                  <c:v>1250</c:v>
                </c:pt>
                <c:pt idx="255">
                  <c:v>1251</c:v>
                </c:pt>
                <c:pt idx="256">
                  <c:v>1252</c:v>
                </c:pt>
                <c:pt idx="257">
                  <c:v>1253</c:v>
                </c:pt>
                <c:pt idx="258">
                  <c:v>1254</c:v>
                </c:pt>
                <c:pt idx="259">
                  <c:v>1255</c:v>
                </c:pt>
                <c:pt idx="260">
                  <c:v>1256</c:v>
                </c:pt>
                <c:pt idx="261">
                  <c:v>1257</c:v>
                </c:pt>
                <c:pt idx="262">
                  <c:v>1258</c:v>
                </c:pt>
                <c:pt idx="263">
                  <c:v>1259</c:v>
                </c:pt>
                <c:pt idx="264">
                  <c:v>1260</c:v>
                </c:pt>
                <c:pt idx="265">
                  <c:v>1261</c:v>
                </c:pt>
                <c:pt idx="266">
                  <c:v>1262</c:v>
                </c:pt>
                <c:pt idx="267">
                  <c:v>1263</c:v>
                </c:pt>
                <c:pt idx="268">
                  <c:v>1264</c:v>
                </c:pt>
                <c:pt idx="269">
                  <c:v>1265</c:v>
                </c:pt>
                <c:pt idx="270">
                  <c:v>1266</c:v>
                </c:pt>
                <c:pt idx="271">
                  <c:v>1267</c:v>
                </c:pt>
                <c:pt idx="272">
                  <c:v>1268</c:v>
                </c:pt>
                <c:pt idx="273">
                  <c:v>1269</c:v>
                </c:pt>
                <c:pt idx="274">
                  <c:v>1270</c:v>
                </c:pt>
                <c:pt idx="275">
                  <c:v>1271</c:v>
                </c:pt>
                <c:pt idx="276">
                  <c:v>1272</c:v>
                </c:pt>
                <c:pt idx="277">
                  <c:v>1273</c:v>
                </c:pt>
                <c:pt idx="278">
                  <c:v>1274</c:v>
                </c:pt>
                <c:pt idx="279">
                  <c:v>1275</c:v>
                </c:pt>
                <c:pt idx="280">
                  <c:v>1276</c:v>
                </c:pt>
                <c:pt idx="281">
                  <c:v>1277</c:v>
                </c:pt>
                <c:pt idx="282">
                  <c:v>1278</c:v>
                </c:pt>
                <c:pt idx="283">
                  <c:v>1279</c:v>
                </c:pt>
                <c:pt idx="284">
                  <c:v>1280</c:v>
                </c:pt>
                <c:pt idx="285">
                  <c:v>1281</c:v>
                </c:pt>
                <c:pt idx="286">
                  <c:v>1282</c:v>
                </c:pt>
                <c:pt idx="287">
                  <c:v>1283</c:v>
                </c:pt>
                <c:pt idx="288">
                  <c:v>1284</c:v>
                </c:pt>
                <c:pt idx="289">
                  <c:v>1285</c:v>
                </c:pt>
                <c:pt idx="290">
                  <c:v>1286</c:v>
                </c:pt>
                <c:pt idx="291">
                  <c:v>1287</c:v>
                </c:pt>
                <c:pt idx="292">
                  <c:v>1288</c:v>
                </c:pt>
                <c:pt idx="293">
                  <c:v>1289</c:v>
                </c:pt>
                <c:pt idx="294">
                  <c:v>1290</c:v>
                </c:pt>
                <c:pt idx="295">
                  <c:v>1291</c:v>
                </c:pt>
                <c:pt idx="296">
                  <c:v>1292</c:v>
                </c:pt>
                <c:pt idx="297">
                  <c:v>1293</c:v>
                </c:pt>
                <c:pt idx="298">
                  <c:v>1294</c:v>
                </c:pt>
                <c:pt idx="299">
                  <c:v>1295</c:v>
                </c:pt>
                <c:pt idx="300">
                  <c:v>1296</c:v>
                </c:pt>
                <c:pt idx="301">
                  <c:v>1297</c:v>
                </c:pt>
                <c:pt idx="302">
                  <c:v>1298</c:v>
                </c:pt>
                <c:pt idx="303">
                  <c:v>1299</c:v>
                </c:pt>
                <c:pt idx="304">
                  <c:v>1300</c:v>
                </c:pt>
                <c:pt idx="305">
                  <c:v>1301</c:v>
                </c:pt>
                <c:pt idx="306">
                  <c:v>1302</c:v>
                </c:pt>
                <c:pt idx="307">
                  <c:v>1303</c:v>
                </c:pt>
                <c:pt idx="308">
                  <c:v>1304</c:v>
                </c:pt>
                <c:pt idx="309">
                  <c:v>1305</c:v>
                </c:pt>
                <c:pt idx="310">
                  <c:v>1306</c:v>
                </c:pt>
                <c:pt idx="311">
                  <c:v>1307</c:v>
                </c:pt>
                <c:pt idx="312">
                  <c:v>1308</c:v>
                </c:pt>
                <c:pt idx="313">
                  <c:v>1309</c:v>
                </c:pt>
                <c:pt idx="314">
                  <c:v>1310</c:v>
                </c:pt>
                <c:pt idx="315">
                  <c:v>1311</c:v>
                </c:pt>
                <c:pt idx="316">
                  <c:v>1312</c:v>
                </c:pt>
                <c:pt idx="317">
                  <c:v>1313</c:v>
                </c:pt>
                <c:pt idx="318">
                  <c:v>1314</c:v>
                </c:pt>
                <c:pt idx="319">
                  <c:v>1315</c:v>
                </c:pt>
                <c:pt idx="320">
                  <c:v>1316</c:v>
                </c:pt>
                <c:pt idx="321">
                  <c:v>1317</c:v>
                </c:pt>
                <c:pt idx="322">
                  <c:v>1318</c:v>
                </c:pt>
                <c:pt idx="323">
                  <c:v>1319</c:v>
                </c:pt>
                <c:pt idx="324">
                  <c:v>1320</c:v>
                </c:pt>
                <c:pt idx="325">
                  <c:v>1321</c:v>
                </c:pt>
                <c:pt idx="326">
                  <c:v>1322</c:v>
                </c:pt>
                <c:pt idx="327">
                  <c:v>1323</c:v>
                </c:pt>
                <c:pt idx="328">
                  <c:v>1324</c:v>
                </c:pt>
                <c:pt idx="329">
                  <c:v>1325</c:v>
                </c:pt>
                <c:pt idx="330">
                  <c:v>1326</c:v>
                </c:pt>
                <c:pt idx="331">
                  <c:v>1327</c:v>
                </c:pt>
                <c:pt idx="332">
                  <c:v>1328</c:v>
                </c:pt>
                <c:pt idx="333">
                  <c:v>1329</c:v>
                </c:pt>
                <c:pt idx="334">
                  <c:v>1330</c:v>
                </c:pt>
                <c:pt idx="335">
                  <c:v>1331</c:v>
                </c:pt>
                <c:pt idx="336">
                  <c:v>1332</c:v>
                </c:pt>
                <c:pt idx="337">
                  <c:v>1333</c:v>
                </c:pt>
                <c:pt idx="338">
                  <c:v>1334</c:v>
                </c:pt>
                <c:pt idx="339">
                  <c:v>1335</c:v>
                </c:pt>
                <c:pt idx="340">
                  <c:v>1336</c:v>
                </c:pt>
                <c:pt idx="341">
                  <c:v>1337</c:v>
                </c:pt>
                <c:pt idx="342">
                  <c:v>1338</c:v>
                </c:pt>
                <c:pt idx="343">
                  <c:v>1339</c:v>
                </c:pt>
                <c:pt idx="344">
                  <c:v>1340</c:v>
                </c:pt>
                <c:pt idx="345">
                  <c:v>1341</c:v>
                </c:pt>
                <c:pt idx="346">
                  <c:v>1342</c:v>
                </c:pt>
                <c:pt idx="347">
                  <c:v>1343</c:v>
                </c:pt>
                <c:pt idx="348">
                  <c:v>1344</c:v>
                </c:pt>
                <c:pt idx="349">
                  <c:v>1345</c:v>
                </c:pt>
                <c:pt idx="350">
                  <c:v>1346</c:v>
                </c:pt>
                <c:pt idx="351">
                  <c:v>1347</c:v>
                </c:pt>
                <c:pt idx="352">
                  <c:v>1348</c:v>
                </c:pt>
                <c:pt idx="353">
                  <c:v>1349</c:v>
                </c:pt>
                <c:pt idx="354">
                  <c:v>1350</c:v>
                </c:pt>
                <c:pt idx="355">
                  <c:v>1351</c:v>
                </c:pt>
                <c:pt idx="356">
                  <c:v>1352</c:v>
                </c:pt>
                <c:pt idx="357">
                  <c:v>1353</c:v>
                </c:pt>
                <c:pt idx="358">
                  <c:v>1354</c:v>
                </c:pt>
                <c:pt idx="359">
                  <c:v>1355</c:v>
                </c:pt>
                <c:pt idx="360">
                  <c:v>1356</c:v>
                </c:pt>
                <c:pt idx="361">
                  <c:v>1357</c:v>
                </c:pt>
                <c:pt idx="362">
                  <c:v>1358</c:v>
                </c:pt>
                <c:pt idx="363">
                  <c:v>1359</c:v>
                </c:pt>
                <c:pt idx="364">
                  <c:v>1360</c:v>
                </c:pt>
                <c:pt idx="365">
                  <c:v>1361</c:v>
                </c:pt>
                <c:pt idx="366">
                  <c:v>1362</c:v>
                </c:pt>
                <c:pt idx="367">
                  <c:v>1363</c:v>
                </c:pt>
                <c:pt idx="368">
                  <c:v>1364</c:v>
                </c:pt>
                <c:pt idx="369">
                  <c:v>1365</c:v>
                </c:pt>
                <c:pt idx="370">
                  <c:v>1366</c:v>
                </c:pt>
                <c:pt idx="371">
                  <c:v>1367</c:v>
                </c:pt>
                <c:pt idx="372">
                  <c:v>1368</c:v>
                </c:pt>
                <c:pt idx="373">
                  <c:v>1369</c:v>
                </c:pt>
                <c:pt idx="374">
                  <c:v>1370</c:v>
                </c:pt>
                <c:pt idx="375">
                  <c:v>1371</c:v>
                </c:pt>
                <c:pt idx="376">
                  <c:v>1372</c:v>
                </c:pt>
                <c:pt idx="377">
                  <c:v>1373</c:v>
                </c:pt>
                <c:pt idx="378">
                  <c:v>1374</c:v>
                </c:pt>
                <c:pt idx="379">
                  <c:v>1375</c:v>
                </c:pt>
                <c:pt idx="380">
                  <c:v>1376</c:v>
                </c:pt>
                <c:pt idx="381">
                  <c:v>1377</c:v>
                </c:pt>
                <c:pt idx="382">
                  <c:v>1378</c:v>
                </c:pt>
                <c:pt idx="383">
                  <c:v>1379</c:v>
                </c:pt>
                <c:pt idx="384">
                  <c:v>1380</c:v>
                </c:pt>
                <c:pt idx="385">
                  <c:v>1381</c:v>
                </c:pt>
                <c:pt idx="386">
                  <c:v>1382</c:v>
                </c:pt>
                <c:pt idx="387">
                  <c:v>1383</c:v>
                </c:pt>
                <c:pt idx="388">
                  <c:v>1384</c:v>
                </c:pt>
                <c:pt idx="389">
                  <c:v>1385</c:v>
                </c:pt>
                <c:pt idx="390">
                  <c:v>1386</c:v>
                </c:pt>
                <c:pt idx="391">
                  <c:v>1387</c:v>
                </c:pt>
                <c:pt idx="392">
                  <c:v>1388</c:v>
                </c:pt>
                <c:pt idx="393">
                  <c:v>1389</c:v>
                </c:pt>
                <c:pt idx="394">
                  <c:v>1390</c:v>
                </c:pt>
                <c:pt idx="395">
                  <c:v>1391</c:v>
                </c:pt>
                <c:pt idx="396">
                  <c:v>1392</c:v>
                </c:pt>
                <c:pt idx="397">
                  <c:v>1393</c:v>
                </c:pt>
                <c:pt idx="398">
                  <c:v>1394</c:v>
                </c:pt>
                <c:pt idx="399">
                  <c:v>1395</c:v>
                </c:pt>
                <c:pt idx="400">
                  <c:v>1396</c:v>
                </c:pt>
                <c:pt idx="401">
                  <c:v>1397</c:v>
                </c:pt>
                <c:pt idx="402">
                  <c:v>1398</c:v>
                </c:pt>
                <c:pt idx="403">
                  <c:v>1399</c:v>
                </c:pt>
                <c:pt idx="404">
                  <c:v>1400</c:v>
                </c:pt>
                <c:pt idx="405">
                  <c:v>1401</c:v>
                </c:pt>
                <c:pt idx="406">
                  <c:v>1402</c:v>
                </c:pt>
                <c:pt idx="407">
                  <c:v>1403</c:v>
                </c:pt>
                <c:pt idx="408">
                  <c:v>1404</c:v>
                </c:pt>
                <c:pt idx="409">
                  <c:v>1405</c:v>
                </c:pt>
                <c:pt idx="410">
                  <c:v>1406</c:v>
                </c:pt>
                <c:pt idx="411">
                  <c:v>1407</c:v>
                </c:pt>
                <c:pt idx="412">
                  <c:v>1408</c:v>
                </c:pt>
                <c:pt idx="413">
                  <c:v>1409</c:v>
                </c:pt>
                <c:pt idx="414">
                  <c:v>1410</c:v>
                </c:pt>
                <c:pt idx="415">
                  <c:v>1411</c:v>
                </c:pt>
                <c:pt idx="416">
                  <c:v>1412</c:v>
                </c:pt>
                <c:pt idx="417">
                  <c:v>1413</c:v>
                </c:pt>
                <c:pt idx="418">
                  <c:v>1414</c:v>
                </c:pt>
                <c:pt idx="419">
                  <c:v>1415</c:v>
                </c:pt>
                <c:pt idx="420">
                  <c:v>1416</c:v>
                </c:pt>
                <c:pt idx="421">
                  <c:v>1417</c:v>
                </c:pt>
                <c:pt idx="422">
                  <c:v>1418</c:v>
                </c:pt>
                <c:pt idx="423">
                  <c:v>1419</c:v>
                </c:pt>
                <c:pt idx="424">
                  <c:v>1420</c:v>
                </c:pt>
                <c:pt idx="425">
                  <c:v>1421</c:v>
                </c:pt>
                <c:pt idx="426">
                  <c:v>1422</c:v>
                </c:pt>
                <c:pt idx="427">
                  <c:v>1423</c:v>
                </c:pt>
                <c:pt idx="428">
                  <c:v>1424</c:v>
                </c:pt>
                <c:pt idx="429">
                  <c:v>1425</c:v>
                </c:pt>
                <c:pt idx="430">
                  <c:v>1426</c:v>
                </c:pt>
                <c:pt idx="431">
                  <c:v>1427</c:v>
                </c:pt>
                <c:pt idx="432">
                  <c:v>1428</c:v>
                </c:pt>
                <c:pt idx="433">
                  <c:v>1429</c:v>
                </c:pt>
                <c:pt idx="434">
                  <c:v>1430</c:v>
                </c:pt>
                <c:pt idx="435">
                  <c:v>1431</c:v>
                </c:pt>
                <c:pt idx="436">
                  <c:v>1432</c:v>
                </c:pt>
                <c:pt idx="437">
                  <c:v>1433</c:v>
                </c:pt>
                <c:pt idx="438">
                  <c:v>1434</c:v>
                </c:pt>
                <c:pt idx="439">
                  <c:v>1435</c:v>
                </c:pt>
                <c:pt idx="440">
                  <c:v>1436</c:v>
                </c:pt>
                <c:pt idx="441">
                  <c:v>1437</c:v>
                </c:pt>
                <c:pt idx="442">
                  <c:v>1438</c:v>
                </c:pt>
                <c:pt idx="443">
                  <c:v>1439</c:v>
                </c:pt>
                <c:pt idx="444">
                  <c:v>1440</c:v>
                </c:pt>
                <c:pt idx="445">
                  <c:v>1441</c:v>
                </c:pt>
                <c:pt idx="446">
                  <c:v>1442</c:v>
                </c:pt>
                <c:pt idx="447">
                  <c:v>1443</c:v>
                </c:pt>
                <c:pt idx="448">
                  <c:v>1444</c:v>
                </c:pt>
                <c:pt idx="449">
                  <c:v>1445</c:v>
                </c:pt>
                <c:pt idx="450">
                  <c:v>1446</c:v>
                </c:pt>
                <c:pt idx="451">
                  <c:v>1447</c:v>
                </c:pt>
                <c:pt idx="452">
                  <c:v>1448</c:v>
                </c:pt>
                <c:pt idx="453">
                  <c:v>1449</c:v>
                </c:pt>
                <c:pt idx="454">
                  <c:v>1450</c:v>
                </c:pt>
                <c:pt idx="455">
                  <c:v>1451</c:v>
                </c:pt>
                <c:pt idx="456">
                  <c:v>1452</c:v>
                </c:pt>
                <c:pt idx="457">
                  <c:v>1453</c:v>
                </c:pt>
                <c:pt idx="458">
                  <c:v>1454</c:v>
                </c:pt>
                <c:pt idx="459">
                  <c:v>1455</c:v>
                </c:pt>
                <c:pt idx="460">
                  <c:v>1456</c:v>
                </c:pt>
                <c:pt idx="461">
                  <c:v>1457</c:v>
                </c:pt>
                <c:pt idx="462">
                  <c:v>1458</c:v>
                </c:pt>
                <c:pt idx="463">
                  <c:v>1459</c:v>
                </c:pt>
                <c:pt idx="464">
                  <c:v>1460</c:v>
                </c:pt>
                <c:pt idx="465">
                  <c:v>1461</c:v>
                </c:pt>
                <c:pt idx="466">
                  <c:v>1462</c:v>
                </c:pt>
                <c:pt idx="467">
                  <c:v>1463</c:v>
                </c:pt>
                <c:pt idx="468">
                  <c:v>1464</c:v>
                </c:pt>
                <c:pt idx="469">
                  <c:v>1465</c:v>
                </c:pt>
                <c:pt idx="470">
                  <c:v>1466</c:v>
                </c:pt>
                <c:pt idx="471">
                  <c:v>1467</c:v>
                </c:pt>
                <c:pt idx="472">
                  <c:v>1468</c:v>
                </c:pt>
                <c:pt idx="473">
                  <c:v>1469</c:v>
                </c:pt>
                <c:pt idx="474">
                  <c:v>1470</c:v>
                </c:pt>
                <c:pt idx="475">
                  <c:v>1471</c:v>
                </c:pt>
                <c:pt idx="476">
                  <c:v>1472</c:v>
                </c:pt>
                <c:pt idx="477">
                  <c:v>1473</c:v>
                </c:pt>
                <c:pt idx="478">
                  <c:v>1474</c:v>
                </c:pt>
                <c:pt idx="479">
                  <c:v>1475</c:v>
                </c:pt>
                <c:pt idx="480">
                  <c:v>1476</c:v>
                </c:pt>
                <c:pt idx="481">
                  <c:v>1477</c:v>
                </c:pt>
                <c:pt idx="482">
                  <c:v>1478</c:v>
                </c:pt>
                <c:pt idx="483">
                  <c:v>1479</c:v>
                </c:pt>
                <c:pt idx="484">
                  <c:v>1480</c:v>
                </c:pt>
                <c:pt idx="485">
                  <c:v>1481</c:v>
                </c:pt>
                <c:pt idx="486">
                  <c:v>1482</c:v>
                </c:pt>
                <c:pt idx="487">
                  <c:v>1483</c:v>
                </c:pt>
                <c:pt idx="488">
                  <c:v>1484</c:v>
                </c:pt>
                <c:pt idx="489">
                  <c:v>1485</c:v>
                </c:pt>
                <c:pt idx="490">
                  <c:v>1486</c:v>
                </c:pt>
                <c:pt idx="491">
                  <c:v>1487</c:v>
                </c:pt>
                <c:pt idx="492">
                  <c:v>1488</c:v>
                </c:pt>
                <c:pt idx="493">
                  <c:v>1489</c:v>
                </c:pt>
                <c:pt idx="494">
                  <c:v>1490</c:v>
                </c:pt>
                <c:pt idx="495">
                  <c:v>1491</c:v>
                </c:pt>
                <c:pt idx="496">
                  <c:v>1492</c:v>
                </c:pt>
                <c:pt idx="497">
                  <c:v>1493</c:v>
                </c:pt>
                <c:pt idx="498">
                  <c:v>1494</c:v>
                </c:pt>
                <c:pt idx="499">
                  <c:v>1495</c:v>
                </c:pt>
                <c:pt idx="500">
                  <c:v>1496</c:v>
                </c:pt>
                <c:pt idx="501">
                  <c:v>1497</c:v>
                </c:pt>
                <c:pt idx="502">
                  <c:v>1498</c:v>
                </c:pt>
                <c:pt idx="503">
                  <c:v>1499</c:v>
                </c:pt>
                <c:pt idx="504">
                  <c:v>1500</c:v>
                </c:pt>
                <c:pt idx="505">
                  <c:v>1501</c:v>
                </c:pt>
                <c:pt idx="506">
                  <c:v>1502</c:v>
                </c:pt>
                <c:pt idx="507">
                  <c:v>1503</c:v>
                </c:pt>
                <c:pt idx="508">
                  <c:v>1504</c:v>
                </c:pt>
                <c:pt idx="509">
                  <c:v>1505</c:v>
                </c:pt>
                <c:pt idx="510">
                  <c:v>1506</c:v>
                </c:pt>
                <c:pt idx="511">
                  <c:v>1507</c:v>
                </c:pt>
                <c:pt idx="512">
                  <c:v>1508</c:v>
                </c:pt>
                <c:pt idx="513">
                  <c:v>1509</c:v>
                </c:pt>
                <c:pt idx="514">
                  <c:v>1510</c:v>
                </c:pt>
                <c:pt idx="515">
                  <c:v>1511</c:v>
                </c:pt>
                <c:pt idx="516">
                  <c:v>1512</c:v>
                </c:pt>
                <c:pt idx="517">
                  <c:v>1513</c:v>
                </c:pt>
                <c:pt idx="518">
                  <c:v>1514</c:v>
                </c:pt>
                <c:pt idx="519">
                  <c:v>1515</c:v>
                </c:pt>
                <c:pt idx="520">
                  <c:v>1516</c:v>
                </c:pt>
                <c:pt idx="521">
                  <c:v>1517</c:v>
                </c:pt>
                <c:pt idx="522">
                  <c:v>1518</c:v>
                </c:pt>
                <c:pt idx="523">
                  <c:v>1519</c:v>
                </c:pt>
                <c:pt idx="524">
                  <c:v>1520</c:v>
                </c:pt>
                <c:pt idx="525">
                  <c:v>1521</c:v>
                </c:pt>
                <c:pt idx="526">
                  <c:v>1522</c:v>
                </c:pt>
                <c:pt idx="527">
                  <c:v>1523</c:v>
                </c:pt>
                <c:pt idx="528">
                  <c:v>1524</c:v>
                </c:pt>
                <c:pt idx="529">
                  <c:v>1525</c:v>
                </c:pt>
                <c:pt idx="530">
                  <c:v>1526</c:v>
                </c:pt>
                <c:pt idx="531">
                  <c:v>1527</c:v>
                </c:pt>
                <c:pt idx="532">
                  <c:v>1528</c:v>
                </c:pt>
                <c:pt idx="533">
                  <c:v>1529</c:v>
                </c:pt>
                <c:pt idx="534">
                  <c:v>1530</c:v>
                </c:pt>
                <c:pt idx="535">
                  <c:v>1531</c:v>
                </c:pt>
                <c:pt idx="536">
                  <c:v>1532</c:v>
                </c:pt>
                <c:pt idx="537">
                  <c:v>1533</c:v>
                </c:pt>
                <c:pt idx="538">
                  <c:v>1534</c:v>
                </c:pt>
                <c:pt idx="539">
                  <c:v>1535</c:v>
                </c:pt>
                <c:pt idx="540">
                  <c:v>1536</c:v>
                </c:pt>
                <c:pt idx="541">
                  <c:v>1537</c:v>
                </c:pt>
                <c:pt idx="542">
                  <c:v>1538</c:v>
                </c:pt>
                <c:pt idx="543">
                  <c:v>1539</c:v>
                </c:pt>
                <c:pt idx="544">
                  <c:v>1540</c:v>
                </c:pt>
                <c:pt idx="545">
                  <c:v>1541</c:v>
                </c:pt>
                <c:pt idx="546">
                  <c:v>1542</c:v>
                </c:pt>
                <c:pt idx="547">
                  <c:v>1543</c:v>
                </c:pt>
                <c:pt idx="548">
                  <c:v>1544</c:v>
                </c:pt>
                <c:pt idx="549">
                  <c:v>1545</c:v>
                </c:pt>
                <c:pt idx="550">
                  <c:v>1546</c:v>
                </c:pt>
                <c:pt idx="551">
                  <c:v>1547</c:v>
                </c:pt>
                <c:pt idx="552">
                  <c:v>1548</c:v>
                </c:pt>
                <c:pt idx="553">
                  <c:v>1549</c:v>
                </c:pt>
                <c:pt idx="554">
                  <c:v>1550</c:v>
                </c:pt>
                <c:pt idx="555">
                  <c:v>1551</c:v>
                </c:pt>
                <c:pt idx="556">
                  <c:v>1552</c:v>
                </c:pt>
                <c:pt idx="557">
                  <c:v>1553</c:v>
                </c:pt>
                <c:pt idx="558">
                  <c:v>1554</c:v>
                </c:pt>
                <c:pt idx="559">
                  <c:v>1555</c:v>
                </c:pt>
                <c:pt idx="560">
                  <c:v>1556</c:v>
                </c:pt>
                <c:pt idx="561">
                  <c:v>1557</c:v>
                </c:pt>
                <c:pt idx="562">
                  <c:v>1558</c:v>
                </c:pt>
                <c:pt idx="563">
                  <c:v>1559</c:v>
                </c:pt>
                <c:pt idx="564">
                  <c:v>1560</c:v>
                </c:pt>
                <c:pt idx="565">
                  <c:v>1561</c:v>
                </c:pt>
                <c:pt idx="566">
                  <c:v>1562</c:v>
                </c:pt>
                <c:pt idx="567">
                  <c:v>1563</c:v>
                </c:pt>
                <c:pt idx="568">
                  <c:v>1564</c:v>
                </c:pt>
                <c:pt idx="569">
                  <c:v>1565</c:v>
                </c:pt>
                <c:pt idx="570">
                  <c:v>1566</c:v>
                </c:pt>
                <c:pt idx="571">
                  <c:v>1567</c:v>
                </c:pt>
                <c:pt idx="572">
                  <c:v>1568</c:v>
                </c:pt>
                <c:pt idx="573">
                  <c:v>1569</c:v>
                </c:pt>
                <c:pt idx="574">
                  <c:v>1570</c:v>
                </c:pt>
                <c:pt idx="575">
                  <c:v>1571</c:v>
                </c:pt>
                <c:pt idx="576">
                  <c:v>1572</c:v>
                </c:pt>
                <c:pt idx="577">
                  <c:v>1573</c:v>
                </c:pt>
                <c:pt idx="578">
                  <c:v>1574</c:v>
                </c:pt>
                <c:pt idx="579">
                  <c:v>1575</c:v>
                </c:pt>
                <c:pt idx="580">
                  <c:v>1576</c:v>
                </c:pt>
                <c:pt idx="581">
                  <c:v>1577</c:v>
                </c:pt>
                <c:pt idx="582">
                  <c:v>1578</c:v>
                </c:pt>
                <c:pt idx="583">
                  <c:v>1579</c:v>
                </c:pt>
                <c:pt idx="584">
                  <c:v>1580</c:v>
                </c:pt>
                <c:pt idx="585">
                  <c:v>1581</c:v>
                </c:pt>
                <c:pt idx="586">
                  <c:v>1582</c:v>
                </c:pt>
                <c:pt idx="587">
                  <c:v>1583</c:v>
                </c:pt>
                <c:pt idx="588">
                  <c:v>1584</c:v>
                </c:pt>
                <c:pt idx="589">
                  <c:v>1585</c:v>
                </c:pt>
                <c:pt idx="590">
                  <c:v>1586</c:v>
                </c:pt>
                <c:pt idx="591">
                  <c:v>1587</c:v>
                </c:pt>
                <c:pt idx="592">
                  <c:v>1588</c:v>
                </c:pt>
                <c:pt idx="593">
                  <c:v>1589</c:v>
                </c:pt>
                <c:pt idx="594">
                  <c:v>1590</c:v>
                </c:pt>
                <c:pt idx="595">
                  <c:v>1591</c:v>
                </c:pt>
                <c:pt idx="596">
                  <c:v>1592</c:v>
                </c:pt>
                <c:pt idx="597">
                  <c:v>1593</c:v>
                </c:pt>
                <c:pt idx="598">
                  <c:v>1594</c:v>
                </c:pt>
                <c:pt idx="599">
                  <c:v>1595</c:v>
                </c:pt>
                <c:pt idx="600">
                  <c:v>1596</c:v>
                </c:pt>
                <c:pt idx="601">
                  <c:v>1597</c:v>
                </c:pt>
                <c:pt idx="602">
                  <c:v>1598</c:v>
                </c:pt>
                <c:pt idx="603">
                  <c:v>1599</c:v>
                </c:pt>
                <c:pt idx="604">
                  <c:v>1600</c:v>
                </c:pt>
                <c:pt idx="605">
                  <c:v>1601</c:v>
                </c:pt>
                <c:pt idx="606">
                  <c:v>1602</c:v>
                </c:pt>
                <c:pt idx="607">
                  <c:v>1603</c:v>
                </c:pt>
                <c:pt idx="608">
                  <c:v>1604</c:v>
                </c:pt>
                <c:pt idx="609">
                  <c:v>1605</c:v>
                </c:pt>
                <c:pt idx="610">
                  <c:v>1606</c:v>
                </c:pt>
                <c:pt idx="611">
                  <c:v>1607</c:v>
                </c:pt>
                <c:pt idx="612">
                  <c:v>1608</c:v>
                </c:pt>
                <c:pt idx="613">
                  <c:v>1609</c:v>
                </c:pt>
                <c:pt idx="614">
                  <c:v>1610</c:v>
                </c:pt>
                <c:pt idx="615">
                  <c:v>1611</c:v>
                </c:pt>
                <c:pt idx="616">
                  <c:v>1612</c:v>
                </c:pt>
                <c:pt idx="617">
                  <c:v>1613</c:v>
                </c:pt>
                <c:pt idx="618">
                  <c:v>1614</c:v>
                </c:pt>
                <c:pt idx="619">
                  <c:v>1615</c:v>
                </c:pt>
                <c:pt idx="620">
                  <c:v>1616</c:v>
                </c:pt>
                <c:pt idx="621">
                  <c:v>1617</c:v>
                </c:pt>
                <c:pt idx="622">
                  <c:v>1618</c:v>
                </c:pt>
                <c:pt idx="623">
                  <c:v>1619</c:v>
                </c:pt>
                <c:pt idx="624">
                  <c:v>1620</c:v>
                </c:pt>
                <c:pt idx="625">
                  <c:v>1621</c:v>
                </c:pt>
                <c:pt idx="626">
                  <c:v>1622</c:v>
                </c:pt>
                <c:pt idx="627">
                  <c:v>1623</c:v>
                </c:pt>
                <c:pt idx="628">
                  <c:v>1624</c:v>
                </c:pt>
                <c:pt idx="629">
                  <c:v>1625</c:v>
                </c:pt>
                <c:pt idx="630">
                  <c:v>1626</c:v>
                </c:pt>
                <c:pt idx="631">
                  <c:v>1627</c:v>
                </c:pt>
                <c:pt idx="632">
                  <c:v>1628</c:v>
                </c:pt>
                <c:pt idx="633">
                  <c:v>1629</c:v>
                </c:pt>
                <c:pt idx="634">
                  <c:v>1630</c:v>
                </c:pt>
                <c:pt idx="635">
                  <c:v>1631</c:v>
                </c:pt>
                <c:pt idx="636">
                  <c:v>1632</c:v>
                </c:pt>
                <c:pt idx="637">
                  <c:v>1633</c:v>
                </c:pt>
                <c:pt idx="638">
                  <c:v>1634</c:v>
                </c:pt>
                <c:pt idx="639">
                  <c:v>1635</c:v>
                </c:pt>
                <c:pt idx="640">
                  <c:v>1636</c:v>
                </c:pt>
                <c:pt idx="641">
                  <c:v>1637</c:v>
                </c:pt>
                <c:pt idx="642">
                  <c:v>1638</c:v>
                </c:pt>
                <c:pt idx="643">
                  <c:v>1639</c:v>
                </c:pt>
                <c:pt idx="644">
                  <c:v>1640</c:v>
                </c:pt>
                <c:pt idx="645">
                  <c:v>1641</c:v>
                </c:pt>
                <c:pt idx="646">
                  <c:v>1642</c:v>
                </c:pt>
                <c:pt idx="647">
                  <c:v>1643</c:v>
                </c:pt>
                <c:pt idx="648">
                  <c:v>1644</c:v>
                </c:pt>
                <c:pt idx="649">
                  <c:v>1645</c:v>
                </c:pt>
                <c:pt idx="650">
                  <c:v>1646</c:v>
                </c:pt>
                <c:pt idx="651">
                  <c:v>1647</c:v>
                </c:pt>
                <c:pt idx="652">
                  <c:v>1648</c:v>
                </c:pt>
                <c:pt idx="653">
                  <c:v>1649</c:v>
                </c:pt>
                <c:pt idx="654">
                  <c:v>1650</c:v>
                </c:pt>
                <c:pt idx="655">
                  <c:v>1651</c:v>
                </c:pt>
                <c:pt idx="656">
                  <c:v>1652</c:v>
                </c:pt>
                <c:pt idx="657">
                  <c:v>1653</c:v>
                </c:pt>
                <c:pt idx="658">
                  <c:v>1654</c:v>
                </c:pt>
                <c:pt idx="659">
                  <c:v>1655</c:v>
                </c:pt>
                <c:pt idx="660">
                  <c:v>1656</c:v>
                </c:pt>
                <c:pt idx="661">
                  <c:v>1657</c:v>
                </c:pt>
                <c:pt idx="662">
                  <c:v>1658</c:v>
                </c:pt>
                <c:pt idx="663">
                  <c:v>1659</c:v>
                </c:pt>
                <c:pt idx="664">
                  <c:v>1660</c:v>
                </c:pt>
                <c:pt idx="665">
                  <c:v>1661</c:v>
                </c:pt>
                <c:pt idx="666">
                  <c:v>1662</c:v>
                </c:pt>
                <c:pt idx="667">
                  <c:v>1663</c:v>
                </c:pt>
                <c:pt idx="668">
                  <c:v>1664</c:v>
                </c:pt>
                <c:pt idx="669">
                  <c:v>1665</c:v>
                </c:pt>
                <c:pt idx="670">
                  <c:v>1666</c:v>
                </c:pt>
                <c:pt idx="671">
                  <c:v>1667</c:v>
                </c:pt>
                <c:pt idx="672">
                  <c:v>1668</c:v>
                </c:pt>
                <c:pt idx="673">
                  <c:v>1669</c:v>
                </c:pt>
                <c:pt idx="674">
                  <c:v>1670</c:v>
                </c:pt>
                <c:pt idx="675">
                  <c:v>1671</c:v>
                </c:pt>
                <c:pt idx="676">
                  <c:v>1672</c:v>
                </c:pt>
                <c:pt idx="677">
                  <c:v>1673</c:v>
                </c:pt>
                <c:pt idx="678">
                  <c:v>1674</c:v>
                </c:pt>
                <c:pt idx="679">
                  <c:v>1675</c:v>
                </c:pt>
                <c:pt idx="680">
                  <c:v>1676</c:v>
                </c:pt>
                <c:pt idx="681">
                  <c:v>1677</c:v>
                </c:pt>
                <c:pt idx="682">
                  <c:v>1678</c:v>
                </c:pt>
                <c:pt idx="683">
                  <c:v>1679</c:v>
                </c:pt>
                <c:pt idx="684">
                  <c:v>1680</c:v>
                </c:pt>
                <c:pt idx="685">
                  <c:v>1681</c:v>
                </c:pt>
                <c:pt idx="686">
                  <c:v>1682</c:v>
                </c:pt>
                <c:pt idx="687">
                  <c:v>1683</c:v>
                </c:pt>
                <c:pt idx="688">
                  <c:v>1684</c:v>
                </c:pt>
                <c:pt idx="689">
                  <c:v>1685</c:v>
                </c:pt>
                <c:pt idx="690">
                  <c:v>1686</c:v>
                </c:pt>
                <c:pt idx="691">
                  <c:v>1687</c:v>
                </c:pt>
                <c:pt idx="692">
                  <c:v>1688</c:v>
                </c:pt>
                <c:pt idx="693">
                  <c:v>1689</c:v>
                </c:pt>
                <c:pt idx="694">
                  <c:v>1690</c:v>
                </c:pt>
                <c:pt idx="695">
                  <c:v>1691</c:v>
                </c:pt>
                <c:pt idx="696">
                  <c:v>1692</c:v>
                </c:pt>
                <c:pt idx="697">
                  <c:v>1693</c:v>
                </c:pt>
                <c:pt idx="698">
                  <c:v>1694</c:v>
                </c:pt>
                <c:pt idx="699">
                  <c:v>1695</c:v>
                </c:pt>
                <c:pt idx="700">
                  <c:v>1696</c:v>
                </c:pt>
                <c:pt idx="701">
                  <c:v>1697</c:v>
                </c:pt>
                <c:pt idx="702">
                  <c:v>1698</c:v>
                </c:pt>
                <c:pt idx="703">
                  <c:v>1699</c:v>
                </c:pt>
                <c:pt idx="704">
                  <c:v>1700</c:v>
                </c:pt>
                <c:pt idx="705">
                  <c:v>1701</c:v>
                </c:pt>
                <c:pt idx="706">
                  <c:v>1702</c:v>
                </c:pt>
                <c:pt idx="707">
                  <c:v>1703</c:v>
                </c:pt>
                <c:pt idx="708">
                  <c:v>1704</c:v>
                </c:pt>
                <c:pt idx="709">
                  <c:v>1705</c:v>
                </c:pt>
                <c:pt idx="710">
                  <c:v>1706</c:v>
                </c:pt>
                <c:pt idx="711">
                  <c:v>1707</c:v>
                </c:pt>
                <c:pt idx="712">
                  <c:v>1708</c:v>
                </c:pt>
                <c:pt idx="713">
                  <c:v>1709</c:v>
                </c:pt>
                <c:pt idx="714">
                  <c:v>1710</c:v>
                </c:pt>
                <c:pt idx="715">
                  <c:v>1711</c:v>
                </c:pt>
                <c:pt idx="716">
                  <c:v>1712</c:v>
                </c:pt>
                <c:pt idx="717">
                  <c:v>1713</c:v>
                </c:pt>
                <c:pt idx="718">
                  <c:v>1714</c:v>
                </c:pt>
                <c:pt idx="719">
                  <c:v>1715</c:v>
                </c:pt>
                <c:pt idx="720">
                  <c:v>1716</c:v>
                </c:pt>
                <c:pt idx="721">
                  <c:v>1717</c:v>
                </c:pt>
                <c:pt idx="722">
                  <c:v>1718</c:v>
                </c:pt>
                <c:pt idx="723">
                  <c:v>1719</c:v>
                </c:pt>
                <c:pt idx="724">
                  <c:v>1720</c:v>
                </c:pt>
                <c:pt idx="725">
                  <c:v>1721</c:v>
                </c:pt>
                <c:pt idx="726">
                  <c:v>1722</c:v>
                </c:pt>
                <c:pt idx="727">
                  <c:v>1723</c:v>
                </c:pt>
                <c:pt idx="728">
                  <c:v>1724</c:v>
                </c:pt>
                <c:pt idx="729">
                  <c:v>1725</c:v>
                </c:pt>
                <c:pt idx="730">
                  <c:v>1726</c:v>
                </c:pt>
                <c:pt idx="731">
                  <c:v>1727</c:v>
                </c:pt>
                <c:pt idx="732">
                  <c:v>1728</c:v>
                </c:pt>
                <c:pt idx="733">
                  <c:v>1729</c:v>
                </c:pt>
                <c:pt idx="734">
                  <c:v>1730</c:v>
                </c:pt>
                <c:pt idx="735">
                  <c:v>1731</c:v>
                </c:pt>
                <c:pt idx="736">
                  <c:v>1732</c:v>
                </c:pt>
                <c:pt idx="737">
                  <c:v>1733</c:v>
                </c:pt>
                <c:pt idx="738">
                  <c:v>1734</c:v>
                </c:pt>
                <c:pt idx="739">
                  <c:v>1735</c:v>
                </c:pt>
                <c:pt idx="740">
                  <c:v>1736</c:v>
                </c:pt>
                <c:pt idx="741">
                  <c:v>1737</c:v>
                </c:pt>
                <c:pt idx="742">
                  <c:v>1738</c:v>
                </c:pt>
                <c:pt idx="743">
                  <c:v>1739</c:v>
                </c:pt>
                <c:pt idx="744">
                  <c:v>1740</c:v>
                </c:pt>
                <c:pt idx="745">
                  <c:v>1741</c:v>
                </c:pt>
                <c:pt idx="746">
                  <c:v>1742</c:v>
                </c:pt>
                <c:pt idx="747">
                  <c:v>1743</c:v>
                </c:pt>
                <c:pt idx="748">
                  <c:v>1744</c:v>
                </c:pt>
                <c:pt idx="749">
                  <c:v>1745</c:v>
                </c:pt>
                <c:pt idx="750">
                  <c:v>1746</c:v>
                </c:pt>
                <c:pt idx="751">
                  <c:v>1747</c:v>
                </c:pt>
                <c:pt idx="752">
                  <c:v>1748</c:v>
                </c:pt>
                <c:pt idx="753">
                  <c:v>1749</c:v>
                </c:pt>
                <c:pt idx="754">
                  <c:v>1750</c:v>
                </c:pt>
                <c:pt idx="755">
                  <c:v>1751</c:v>
                </c:pt>
                <c:pt idx="756">
                  <c:v>1752</c:v>
                </c:pt>
                <c:pt idx="757">
                  <c:v>1753</c:v>
                </c:pt>
                <c:pt idx="758">
                  <c:v>1754</c:v>
                </c:pt>
                <c:pt idx="759">
                  <c:v>1755</c:v>
                </c:pt>
                <c:pt idx="760">
                  <c:v>1756</c:v>
                </c:pt>
                <c:pt idx="761">
                  <c:v>1757</c:v>
                </c:pt>
                <c:pt idx="762">
                  <c:v>1758</c:v>
                </c:pt>
                <c:pt idx="763">
                  <c:v>1759</c:v>
                </c:pt>
                <c:pt idx="764">
                  <c:v>1760</c:v>
                </c:pt>
                <c:pt idx="765">
                  <c:v>1761</c:v>
                </c:pt>
                <c:pt idx="766">
                  <c:v>1762</c:v>
                </c:pt>
                <c:pt idx="767">
                  <c:v>1763</c:v>
                </c:pt>
                <c:pt idx="768">
                  <c:v>1764</c:v>
                </c:pt>
                <c:pt idx="769">
                  <c:v>1765</c:v>
                </c:pt>
                <c:pt idx="770">
                  <c:v>1766</c:v>
                </c:pt>
                <c:pt idx="771">
                  <c:v>1767</c:v>
                </c:pt>
                <c:pt idx="772">
                  <c:v>1768</c:v>
                </c:pt>
                <c:pt idx="773">
                  <c:v>1769</c:v>
                </c:pt>
                <c:pt idx="774">
                  <c:v>1770</c:v>
                </c:pt>
                <c:pt idx="775">
                  <c:v>1771</c:v>
                </c:pt>
                <c:pt idx="776">
                  <c:v>1772</c:v>
                </c:pt>
                <c:pt idx="777">
                  <c:v>1773</c:v>
                </c:pt>
                <c:pt idx="778">
                  <c:v>1774</c:v>
                </c:pt>
                <c:pt idx="779">
                  <c:v>1775</c:v>
                </c:pt>
                <c:pt idx="780">
                  <c:v>1776</c:v>
                </c:pt>
                <c:pt idx="781">
                  <c:v>1777</c:v>
                </c:pt>
                <c:pt idx="782">
                  <c:v>1778</c:v>
                </c:pt>
                <c:pt idx="783">
                  <c:v>1779</c:v>
                </c:pt>
                <c:pt idx="784">
                  <c:v>1780</c:v>
                </c:pt>
                <c:pt idx="785">
                  <c:v>1781</c:v>
                </c:pt>
                <c:pt idx="786">
                  <c:v>1782</c:v>
                </c:pt>
                <c:pt idx="787">
                  <c:v>1783</c:v>
                </c:pt>
                <c:pt idx="788">
                  <c:v>1784</c:v>
                </c:pt>
                <c:pt idx="789">
                  <c:v>1785</c:v>
                </c:pt>
                <c:pt idx="790">
                  <c:v>1786</c:v>
                </c:pt>
                <c:pt idx="791">
                  <c:v>1787</c:v>
                </c:pt>
                <c:pt idx="792">
                  <c:v>1788</c:v>
                </c:pt>
                <c:pt idx="793">
                  <c:v>1789</c:v>
                </c:pt>
                <c:pt idx="794">
                  <c:v>1790</c:v>
                </c:pt>
                <c:pt idx="795">
                  <c:v>1791</c:v>
                </c:pt>
                <c:pt idx="796">
                  <c:v>1792</c:v>
                </c:pt>
                <c:pt idx="797">
                  <c:v>1793</c:v>
                </c:pt>
                <c:pt idx="798">
                  <c:v>1794</c:v>
                </c:pt>
                <c:pt idx="799">
                  <c:v>1795</c:v>
                </c:pt>
                <c:pt idx="800">
                  <c:v>1796</c:v>
                </c:pt>
                <c:pt idx="801">
                  <c:v>1797</c:v>
                </c:pt>
                <c:pt idx="802">
                  <c:v>1798</c:v>
                </c:pt>
                <c:pt idx="803">
                  <c:v>1799</c:v>
                </c:pt>
                <c:pt idx="804">
                  <c:v>1800</c:v>
                </c:pt>
                <c:pt idx="805">
                  <c:v>1801</c:v>
                </c:pt>
                <c:pt idx="806">
                  <c:v>1802</c:v>
                </c:pt>
                <c:pt idx="807">
                  <c:v>1803</c:v>
                </c:pt>
                <c:pt idx="808">
                  <c:v>1804</c:v>
                </c:pt>
                <c:pt idx="809">
                  <c:v>1805</c:v>
                </c:pt>
                <c:pt idx="810">
                  <c:v>1806</c:v>
                </c:pt>
                <c:pt idx="811">
                  <c:v>1807</c:v>
                </c:pt>
                <c:pt idx="812">
                  <c:v>1808</c:v>
                </c:pt>
                <c:pt idx="813">
                  <c:v>1809</c:v>
                </c:pt>
                <c:pt idx="814">
                  <c:v>1810</c:v>
                </c:pt>
                <c:pt idx="815">
                  <c:v>1811</c:v>
                </c:pt>
                <c:pt idx="816">
                  <c:v>1812</c:v>
                </c:pt>
                <c:pt idx="817">
                  <c:v>1813</c:v>
                </c:pt>
                <c:pt idx="818">
                  <c:v>1814</c:v>
                </c:pt>
                <c:pt idx="819">
                  <c:v>1815</c:v>
                </c:pt>
                <c:pt idx="820">
                  <c:v>1816</c:v>
                </c:pt>
                <c:pt idx="821">
                  <c:v>1817</c:v>
                </c:pt>
                <c:pt idx="822">
                  <c:v>1818</c:v>
                </c:pt>
                <c:pt idx="823">
                  <c:v>1819</c:v>
                </c:pt>
                <c:pt idx="824">
                  <c:v>1820</c:v>
                </c:pt>
                <c:pt idx="825">
                  <c:v>1821</c:v>
                </c:pt>
                <c:pt idx="826">
                  <c:v>1822</c:v>
                </c:pt>
                <c:pt idx="827">
                  <c:v>1823</c:v>
                </c:pt>
                <c:pt idx="828">
                  <c:v>1824</c:v>
                </c:pt>
                <c:pt idx="829">
                  <c:v>1825</c:v>
                </c:pt>
                <c:pt idx="830">
                  <c:v>1826</c:v>
                </c:pt>
                <c:pt idx="831">
                  <c:v>1827</c:v>
                </c:pt>
                <c:pt idx="832">
                  <c:v>1828</c:v>
                </c:pt>
                <c:pt idx="833">
                  <c:v>1829</c:v>
                </c:pt>
                <c:pt idx="834">
                  <c:v>1830</c:v>
                </c:pt>
                <c:pt idx="835">
                  <c:v>1831</c:v>
                </c:pt>
                <c:pt idx="836">
                  <c:v>1832</c:v>
                </c:pt>
                <c:pt idx="837">
                  <c:v>1833</c:v>
                </c:pt>
                <c:pt idx="838">
                  <c:v>1834</c:v>
                </c:pt>
                <c:pt idx="839">
                  <c:v>1835</c:v>
                </c:pt>
                <c:pt idx="840">
                  <c:v>1836</c:v>
                </c:pt>
                <c:pt idx="841">
                  <c:v>1837</c:v>
                </c:pt>
                <c:pt idx="842">
                  <c:v>1838</c:v>
                </c:pt>
                <c:pt idx="843">
                  <c:v>1839</c:v>
                </c:pt>
                <c:pt idx="844">
                  <c:v>1840</c:v>
                </c:pt>
                <c:pt idx="845">
                  <c:v>1841</c:v>
                </c:pt>
                <c:pt idx="846">
                  <c:v>1842</c:v>
                </c:pt>
                <c:pt idx="847">
                  <c:v>1843</c:v>
                </c:pt>
                <c:pt idx="848">
                  <c:v>1844</c:v>
                </c:pt>
                <c:pt idx="849">
                  <c:v>1845</c:v>
                </c:pt>
                <c:pt idx="850">
                  <c:v>1846</c:v>
                </c:pt>
                <c:pt idx="851">
                  <c:v>1847</c:v>
                </c:pt>
                <c:pt idx="852">
                  <c:v>1848</c:v>
                </c:pt>
                <c:pt idx="853">
                  <c:v>1849</c:v>
                </c:pt>
                <c:pt idx="854">
                  <c:v>1850</c:v>
                </c:pt>
                <c:pt idx="855">
                  <c:v>1851</c:v>
                </c:pt>
                <c:pt idx="856">
                  <c:v>1852</c:v>
                </c:pt>
                <c:pt idx="857">
                  <c:v>1853</c:v>
                </c:pt>
                <c:pt idx="858">
                  <c:v>1854</c:v>
                </c:pt>
                <c:pt idx="859">
                  <c:v>1855</c:v>
                </c:pt>
                <c:pt idx="860">
                  <c:v>1856</c:v>
                </c:pt>
                <c:pt idx="861">
                  <c:v>1857</c:v>
                </c:pt>
                <c:pt idx="862">
                  <c:v>1858</c:v>
                </c:pt>
                <c:pt idx="863">
                  <c:v>1859</c:v>
                </c:pt>
                <c:pt idx="864">
                  <c:v>1860</c:v>
                </c:pt>
                <c:pt idx="865">
                  <c:v>1861</c:v>
                </c:pt>
                <c:pt idx="866">
                  <c:v>1862</c:v>
                </c:pt>
                <c:pt idx="867">
                  <c:v>1863</c:v>
                </c:pt>
                <c:pt idx="868">
                  <c:v>1864</c:v>
                </c:pt>
                <c:pt idx="869">
                  <c:v>1865</c:v>
                </c:pt>
                <c:pt idx="870">
                  <c:v>1866</c:v>
                </c:pt>
                <c:pt idx="871">
                  <c:v>1867</c:v>
                </c:pt>
                <c:pt idx="872">
                  <c:v>1868</c:v>
                </c:pt>
                <c:pt idx="873">
                  <c:v>1869</c:v>
                </c:pt>
                <c:pt idx="874">
                  <c:v>1870</c:v>
                </c:pt>
                <c:pt idx="875">
                  <c:v>1871</c:v>
                </c:pt>
                <c:pt idx="876">
                  <c:v>1872</c:v>
                </c:pt>
                <c:pt idx="877">
                  <c:v>1873</c:v>
                </c:pt>
                <c:pt idx="878">
                  <c:v>1874</c:v>
                </c:pt>
                <c:pt idx="879">
                  <c:v>1875</c:v>
                </c:pt>
                <c:pt idx="880">
                  <c:v>1876</c:v>
                </c:pt>
                <c:pt idx="881">
                  <c:v>1877</c:v>
                </c:pt>
                <c:pt idx="882">
                  <c:v>1878</c:v>
                </c:pt>
                <c:pt idx="883">
                  <c:v>1879</c:v>
                </c:pt>
                <c:pt idx="884">
                  <c:v>1880</c:v>
                </c:pt>
                <c:pt idx="885">
                  <c:v>1881</c:v>
                </c:pt>
                <c:pt idx="886">
                  <c:v>1882</c:v>
                </c:pt>
                <c:pt idx="887">
                  <c:v>1883</c:v>
                </c:pt>
                <c:pt idx="888">
                  <c:v>1884</c:v>
                </c:pt>
                <c:pt idx="889">
                  <c:v>1885</c:v>
                </c:pt>
                <c:pt idx="890">
                  <c:v>1886</c:v>
                </c:pt>
                <c:pt idx="891">
                  <c:v>1887</c:v>
                </c:pt>
                <c:pt idx="892">
                  <c:v>1888</c:v>
                </c:pt>
                <c:pt idx="893">
                  <c:v>1889</c:v>
                </c:pt>
                <c:pt idx="894">
                  <c:v>1890</c:v>
                </c:pt>
                <c:pt idx="895">
                  <c:v>1891</c:v>
                </c:pt>
                <c:pt idx="896">
                  <c:v>1892</c:v>
                </c:pt>
                <c:pt idx="897">
                  <c:v>1893</c:v>
                </c:pt>
                <c:pt idx="898">
                  <c:v>1894</c:v>
                </c:pt>
                <c:pt idx="899">
                  <c:v>1895</c:v>
                </c:pt>
                <c:pt idx="900">
                  <c:v>1896</c:v>
                </c:pt>
                <c:pt idx="901">
                  <c:v>1897</c:v>
                </c:pt>
                <c:pt idx="902">
                  <c:v>1898</c:v>
                </c:pt>
                <c:pt idx="903">
                  <c:v>1899</c:v>
                </c:pt>
                <c:pt idx="904">
                  <c:v>1900</c:v>
                </c:pt>
                <c:pt idx="905">
                  <c:v>1901</c:v>
                </c:pt>
                <c:pt idx="906">
                  <c:v>1902</c:v>
                </c:pt>
                <c:pt idx="907">
                  <c:v>1903</c:v>
                </c:pt>
                <c:pt idx="908">
                  <c:v>1904</c:v>
                </c:pt>
                <c:pt idx="909">
                  <c:v>1905</c:v>
                </c:pt>
                <c:pt idx="910">
                  <c:v>1906</c:v>
                </c:pt>
                <c:pt idx="911">
                  <c:v>1907</c:v>
                </c:pt>
                <c:pt idx="912">
                  <c:v>1908</c:v>
                </c:pt>
                <c:pt idx="913">
                  <c:v>1909</c:v>
                </c:pt>
                <c:pt idx="914">
                  <c:v>1910</c:v>
                </c:pt>
                <c:pt idx="915">
                  <c:v>1911</c:v>
                </c:pt>
                <c:pt idx="916">
                  <c:v>1912</c:v>
                </c:pt>
                <c:pt idx="917">
                  <c:v>1913</c:v>
                </c:pt>
                <c:pt idx="918">
                  <c:v>1914</c:v>
                </c:pt>
                <c:pt idx="919">
                  <c:v>1915</c:v>
                </c:pt>
                <c:pt idx="920">
                  <c:v>1916</c:v>
                </c:pt>
                <c:pt idx="921">
                  <c:v>1917</c:v>
                </c:pt>
                <c:pt idx="922">
                  <c:v>1918</c:v>
                </c:pt>
                <c:pt idx="923">
                  <c:v>1919</c:v>
                </c:pt>
                <c:pt idx="924">
                  <c:v>1920</c:v>
                </c:pt>
                <c:pt idx="925">
                  <c:v>1921</c:v>
                </c:pt>
                <c:pt idx="926">
                  <c:v>1922</c:v>
                </c:pt>
                <c:pt idx="927">
                  <c:v>1923</c:v>
                </c:pt>
                <c:pt idx="928">
                  <c:v>1924</c:v>
                </c:pt>
                <c:pt idx="929">
                  <c:v>1925</c:v>
                </c:pt>
                <c:pt idx="930">
                  <c:v>1926</c:v>
                </c:pt>
                <c:pt idx="931">
                  <c:v>1927</c:v>
                </c:pt>
                <c:pt idx="932">
                  <c:v>1928</c:v>
                </c:pt>
                <c:pt idx="933">
                  <c:v>1929</c:v>
                </c:pt>
                <c:pt idx="934">
                  <c:v>1930</c:v>
                </c:pt>
                <c:pt idx="935">
                  <c:v>1931</c:v>
                </c:pt>
                <c:pt idx="936">
                  <c:v>1932</c:v>
                </c:pt>
                <c:pt idx="937">
                  <c:v>1933</c:v>
                </c:pt>
                <c:pt idx="938">
                  <c:v>1934</c:v>
                </c:pt>
                <c:pt idx="939">
                  <c:v>1935</c:v>
                </c:pt>
                <c:pt idx="940">
                  <c:v>1936</c:v>
                </c:pt>
                <c:pt idx="941">
                  <c:v>1937</c:v>
                </c:pt>
                <c:pt idx="942">
                  <c:v>1938</c:v>
                </c:pt>
                <c:pt idx="943">
                  <c:v>1939</c:v>
                </c:pt>
                <c:pt idx="944">
                  <c:v>1940</c:v>
                </c:pt>
                <c:pt idx="945">
                  <c:v>1941</c:v>
                </c:pt>
                <c:pt idx="946">
                  <c:v>1942</c:v>
                </c:pt>
                <c:pt idx="947">
                  <c:v>1943</c:v>
                </c:pt>
                <c:pt idx="948">
                  <c:v>1944</c:v>
                </c:pt>
                <c:pt idx="949">
                  <c:v>1945</c:v>
                </c:pt>
                <c:pt idx="950">
                  <c:v>1946</c:v>
                </c:pt>
                <c:pt idx="951">
                  <c:v>1947</c:v>
                </c:pt>
                <c:pt idx="952">
                  <c:v>1948</c:v>
                </c:pt>
                <c:pt idx="953">
                  <c:v>1949</c:v>
                </c:pt>
                <c:pt idx="954">
                  <c:v>1950</c:v>
                </c:pt>
                <c:pt idx="955">
                  <c:v>1951</c:v>
                </c:pt>
                <c:pt idx="956">
                  <c:v>1952</c:v>
                </c:pt>
                <c:pt idx="957">
                  <c:v>1953</c:v>
                </c:pt>
                <c:pt idx="958">
                  <c:v>1954</c:v>
                </c:pt>
                <c:pt idx="959">
                  <c:v>1955</c:v>
                </c:pt>
                <c:pt idx="960">
                  <c:v>1956</c:v>
                </c:pt>
                <c:pt idx="961">
                  <c:v>1957</c:v>
                </c:pt>
                <c:pt idx="962">
                  <c:v>1958</c:v>
                </c:pt>
                <c:pt idx="963">
                  <c:v>1959</c:v>
                </c:pt>
                <c:pt idx="964">
                  <c:v>1960</c:v>
                </c:pt>
                <c:pt idx="965">
                  <c:v>1961</c:v>
                </c:pt>
                <c:pt idx="966">
                  <c:v>1962</c:v>
                </c:pt>
                <c:pt idx="967">
                  <c:v>1963</c:v>
                </c:pt>
                <c:pt idx="968">
                  <c:v>1964</c:v>
                </c:pt>
                <c:pt idx="969">
                  <c:v>1965</c:v>
                </c:pt>
                <c:pt idx="970">
                  <c:v>1966</c:v>
                </c:pt>
                <c:pt idx="971">
                  <c:v>1967</c:v>
                </c:pt>
                <c:pt idx="972">
                  <c:v>1968</c:v>
                </c:pt>
                <c:pt idx="973">
                  <c:v>1969</c:v>
                </c:pt>
                <c:pt idx="974">
                  <c:v>1970</c:v>
                </c:pt>
                <c:pt idx="975">
                  <c:v>1971</c:v>
                </c:pt>
                <c:pt idx="976">
                  <c:v>1972</c:v>
                </c:pt>
                <c:pt idx="977">
                  <c:v>1973</c:v>
                </c:pt>
                <c:pt idx="978">
                  <c:v>1974</c:v>
                </c:pt>
                <c:pt idx="979">
                  <c:v>1975</c:v>
                </c:pt>
                <c:pt idx="980">
                  <c:v>1976</c:v>
                </c:pt>
                <c:pt idx="981">
                  <c:v>1977</c:v>
                </c:pt>
                <c:pt idx="982">
                  <c:v>1978</c:v>
                </c:pt>
                <c:pt idx="983">
                  <c:v>1979</c:v>
                </c:pt>
                <c:pt idx="984">
                  <c:v>1980</c:v>
                </c:pt>
                <c:pt idx="985">
                  <c:v>1981</c:v>
                </c:pt>
                <c:pt idx="986">
                  <c:v>1982</c:v>
                </c:pt>
                <c:pt idx="987">
                  <c:v>1983</c:v>
                </c:pt>
                <c:pt idx="988">
                  <c:v>1984</c:v>
                </c:pt>
                <c:pt idx="989">
                  <c:v>1985</c:v>
                </c:pt>
                <c:pt idx="990">
                  <c:v>1986</c:v>
                </c:pt>
                <c:pt idx="991">
                  <c:v>1987</c:v>
                </c:pt>
                <c:pt idx="992">
                  <c:v>1988</c:v>
                </c:pt>
                <c:pt idx="993">
                  <c:v>1989</c:v>
                </c:pt>
                <c:pt idx="994">
                  <c:v>1990</c:v>
                </c:pt>
                <c:pt idx="995">
                  <c:v>1991</c:v>
                </c:pt>
                <c:pt idx="996">
                  <c:v>1992</c:v>
                </c:pt>
                <c:pt idx="997">
                  <c:v>1993</c:v>
                </c:pt>
                <c:pt idx="998">
                  <c:v>1994</c:v>
                </c:pt>
                <c:pt idx="999">
                  <c:v>1995</c:v>
                </c:pt>
                <c:pt idx="1000">
                  <c:v>1996</c:v>
                </c:pt>
                <c:pt idx="1001">
                  <c:v>1997</c:v>
                </c:pt>
                <c:pt idx="1002">
                  <c:v>1998</c:v>
                </c:pt>
                <c:pt idx="1003">
                  <c:v>1999</c:v>
                </c:pt>
                <c:pt idx="1004">
                  <c:v>2000</c:v>
                </c:pt>
                <c:pt idx="1005">
                  <c:v>2001</c:v>
                </c:pt>
                <c:pt idx="1006">
                  <c:v>2002</c:v>
                </c:pt>
                <c:pt idx="1007">
                  <c:v>2003</c:v>
                </c:pt>
              </c:numCache>
            </c:numRef>
          </c:xVal>
          <c:yVal>
            <c:numRef>
              <c:f>'net evap'!$D$3:$D$1010</c:f>
              <c:numCache>
                <c:formatCode>General</c:formatCode>
                <c:ptCount val="1008"/>
                <c:pt idx="0">
                  <c:v>2.4319999999999999</c:v>
                </c:pt>
                <c:pt idx="1">
                  <c:v>1.399</c:v>
                </c:pt>
                <c:pt idx="2">
                  <c:v>-2.3410000000000002</c:v>
                </c:pt>
                <c:pt idx="3">
                  <c:v>-2.6890000000000001</c:v>
                </c:pt>
                <c:pt idx="4">
                  <c:v>-2.5150000000000001</c:v>
                </c:pt>
                <c:pt idx="5">
                  <c:v>0.97099999999999997</c:v>
                </c:pt>
                <c:pt idx="6">
                  <c:v>1.133</c:v>
                </c:pt>
                <c:pt idx="7">
                  <c:v>-1.714</c:v>
                </c:pt>
                <c:pt idx="8">
                  <c:v>-2.601</c:v>
                </c:pt>
                <c:pt idx="9">
                  <c:v>-3.05</c:v>
                </c:pt>
                <c:pt idx="10">
                  <c:v>-2.6930000000000001</c:v>
                </c:pt>
                <c:pt idx="11">
                  <c:v>-2.1469999999999998</c:v>
                </c:pt>
                <c:pt idx="12">
                  <c:v>-0.89900000000000002</c:v>
                </c:pt>
                <c:pt idx="13">
                  <c:v>-0.68</c:v>
                </c:pt>
                <c:pt idx="14">
                  <c:v>-1.2549999999999999</c:v>
                </c:pt>
                <c:pt idx="15">
                  <c:v>-1.431</c:v>
                </c:pt>
                <c:pt idx="16">
                  <c:v>-1.27</c:v>
                </c:pt>
                <c:pt idx="17">
                  <c:v>-2.129</c:v>
                </c:pt>
                <c:pt idx="18">
                  <c:v>-4.5229999999999997</c:v>
                </c:pt>
                <c:pt idx="19">
                  <c:v>-4.0780000000000003</c:v>
                </c:pt>
                <c:pt idx="20">
                  <c:v>-0.04</c:v>
                </c:pt>
                <c:pt idx="21">
                  <c:v>3.573</c:v>
                </c:pt>
                <c:pt idx="22">
                  <c:v>4.6369999999999996</c:v>
                </c:pt>
                <c:pt idx="23">
                  <c:v>2.173</c:v>
                </c:pt>
                <c:pt idx="24">
                  <c:v>-3.0110000000000001</c:v>
                </c:pt>
                <c:pt idx="25">
                  <c:v>-0.68899999999999995</c:v>
                </c:pt>
                <c:pt idx="26">
                  <c:v>-2.4289999999999998</c:v>
                </c:pt>
                <c:pt idx="27">
                  <c:v>-0.38700000000000001</c:v>
                </c:pt>
                <c:pt idx="28">
                  <c:v>-0.34</c:v>
                </c:pt>
                <c:pt idx="29">
                  <c:v>-1.5389999999999999</c:v>
                </c:pt>
                <c:pt idx="30">
                  <c:v>1.456</c:v>
                </c:pt>
                <c:pt idx="31">
                  <c:v>1.1910000000000001</c:v>
                </c:pt>
                <c:pt idx="32">
                  <c:v>-1.7350000000000001</c:v>
                </c:pt>
                <c:pt idx="33">
                  <c:v>-0.17899999999999999</c:v>
                </c:pt>
                <c:pt idx="34">
                  <c:v>2.3479999999999999</c:v>
                </c:pt>
                <c:pt idx="35">
                  <c:v>0.96399999999999997</c:v>
                </c:pt>
                <c:pt idx="36">
                  <c:v>-1.04</c:v>
                </c:pt>
                <c:pt idx="37">
                  <c:v>-2.5190000000000001</c:v>
                </c:pt>
                <c:pt idx="38">
                  <c:v>-1.4390000000000001</c:v>
                </c:pt>
                <c:pt idx="39">
                  <c:v>-0.35899999999999999</c:v>
                </c:pt>
                <c:pt idx="40">
                  <c:v>-1.9E-2</c:v>
                </c:pt>
                <c:pt idx="41">
                  <c:v>0.56799999999999995</c:v>
                </c:pt>
                <c:pt idx="42">
                  <c:v>-2.9000000000000001E-2</c:v>
                </c:pt>
                <c:pt idx="43">
                  <c:v>-0.60799999999999998</c:v>
                </c:pt>
                <c:pt idx="44">
                  <c:v>-2.3149999999999999</c:v>
                </c:pt>
                <c:pt idx="45">
                  <c:v>-2.355</c:v>
                </c:pt>
                <c:pt idx="46">
                  <c:v>-1.6459999999999999</c:v>
                </c:pt>
                <c:pt idx="47">
                  <c:v>-3.1110000000000002</c:v>
                </c:pt>
                <c:pt idx="48">
                  <c:v>-4.1280000000000001</c:v>
                </c:pt>
                <c:pt idx="49">
                  <c:v>-1.2569999999999999</c:v>
                </c:pt>
                <c:pt idx="50">
                  <c:v>1.079</c:v>
                </c:pt>
                <c:pt idx="51">
                  <c:v>-1.1579999999999999</c:v>
                </c:pt>
                <c:pt idx="52">
                  <c:v>-0.79100000000000004</c:v>
                </c:pt>
                <c:pt idx="53">
                  <c:v>-0.247</c:v>
                </c:pt>
                <c:pt idx="54">
                  <c:v>-3.4729999999999999</c:v>
                </c:pt>
                <c:pt idx="55">
                  <c:v>-1.7450000000000001</c:v>
                </c:pt>
                <c:pt idx="56">
                  <c:v>2.7360000000000002</c:v>
                </c:pt>
                <c:pt idx="57">
                  <c:v>5.3440000000000003</c:v>
                </c:pt>
                <c:pt idx="58">
                  <c:v>6.2949999999999999</c:v>
                </c:pt>
                <c:pt idx="59">
                  <c:v>5.6509999999999998</c:v>
                </c:pt>
                <c:pt idx="60">
                  <c:v>1.946</c:v>
                </c:pt>
                <c:pt idx="61">
                  <c:v>-0.74</c:v>
                </c:pt>
                <c:pt idx="62">
                  <c:v>0.17599999999999999</c:v>
                </c:pt>
                <c:pt idx="63">
                  <c:v>2.2320000000000002</c:v>
                </c:pt>
                <c:pt idx="64">
                  <c:v>1.3819999999999999</c:v>
                </c:pt>
                <c:pt idx="65">
                  <c:v>-3.0710000000000002</c:v>
                </c:pt>
                <c:pt idx="66">
                  <c:v>-3.6709999999999998</c:v>
                </c:pt>
                <c:pt idx="67">
                  <c:v>-2.3929999999999998</c:v>
                </c:pt>
                <c:pt idx="68">
                  <c:v>0.55300000000000005</c:v>
                </c:pt>
                <c:pt idx="69">
                  <c:v>1.724</c:v>
                </c:pt>
                <c:pt idx="70">
                  <c:v>-0.13200000000000001</c:v>
                </c:pt>
                <c:pt idx="71">
                  <c:v>1.222</c:v>
                </c:pt>
                <c:pt idx="72">
                  <c:v>0.47499999999999998</c:v>
                </c:pt>
                <c:pt idx="73">
                  <c:v>-1.415</c:v>
                </c:pt>
                <c:pt idx="74">
                  <c:v>-2.9000000000000001E-2</c:v>
                </c:pt>
                <c:pt idx="75">
                  <c:v>-1.8129999999999999</c:v>
                </c:pt>
                <c:pt idx="76">
                  <c:v>-2.577</c:v>
                </c:pt>
                <c:pt idx="77">
                  <c:v>-3.4449999999999998</c:v>
                </c:pt>
                <c:pt idx="78">
                  <c:v>-2.5569999999999999</c:v>
                </c:pt>
                <c:pt idx="79">
                  <c:v>-0.71699999999999997</c:v>
                </c:pt>
                <c:pt idx="80">
                  <c:v>-0.254</c:v>
                </c:pt>
                <c:pt idx="81">
                  <c:v>-0.317</c:v>
                </c:pt>
                <c:pt idx="82">
                  <c:v>-2.8319999999999999</c:v>
                </c:pt>
                <c:pt idx="83">
                  <c:v>-3.794</c:v>
                </c:pt>
                <c:pt idx="84">
                  <c:v>-3.782</c:v>
                </c:pt>
                <c:pt idx="85">
                  <c:v>-1.74</c:v>
                </c:pt>
                <c:pt idx="86">
                  <c:v>-0.58699999999999997</c:v>
                </c:pt>
                <c:pt idx="87">
                  <c:v>1.5309999999999999</c:v>
                </c:pt>
                <c:pt idx="88">
                  <c:v>1.1539999999999999</c:v>
                </c:pt>
                <c:pt idx="89">
                  <c:v>-1.756</c:v>
                </c:pt>
                <c:pt idx="90">
                  <c:v>-2.7250000000000001</c:v>
                </c:pt>
                <c:pt idx="91">
                  <c:v>0.95399999999999996</c:v>
                </c:pt>
                <c:pt idx="92">
                  <c:v>0.86199999999999999</c:v>
                </c:pt>
                <c:pt idx="93">
                  <c:v>-2.9710000000000001</c:v>
                </c:pt>
                <c:pt idx="94">
                  <c:v>-2.734</c:v>
                </c:pt>
                <c:pt idx="95">
                  <c:v>-0.56200000000000006</c:v>
                </c:pt>
                <c:pt idx="96">
                  <c:v>-0.52500000000000002</c:v>
                </c:pt>
                <c:pt idx="97">
                  <c:v>0.32800000000000001</c:v>
                </c:pt>
                <c:pt idx="98">
                  <c:v>2.246</c:v>
                </c:pt>
                <c:pt idx="99">
                  <c:v>2.2709999999999999</c:v>
                </c:pt>
                <c:pt idx="100">
                  <c:v>1.1479999999999999</c:v>
                </c:pt>
                <c:pt idx="101">
                  <c:v>2.9079999999999999</c:v>
                </c:pt>
                <c:pt idx="102">
                  <c:v>1.079</c:v>
                </c:pt>
                <c:pt idx="103">
                  <c:v>-2.423</c:v>
                </c:pt>
                <c:pt idx="104">
                  <c:v>-1.8149999999999999</c:v>
                </c:pt>
                <c:pt idx="105">
                  <c:v>-0.70199999999999996</c:v>
                </c:pt>
                <c:pt idx="106">
                  <c:v>0.77800000000000002</c:v>
                </c:pt>
                <c:pt idx="107">
                  <c:v>-1.2829999999999999</c:v>
                </c:pt>
                <c:pt idx="108">
                  <c:v>-4.72</c:v>
                </c:pt>
                <c:pt idx="109">
                  <c:v>0.39500000000000002</c:v>
                </c:pt>
                <c:pt idx="110">
                  <c:v>4.8899999999999997</c:v>
                </c:pt>
                <c:pt idx="111">
                  <c:v>-0.28299999999999997</c:v>
                </c:pt>
                <c:pt idx="112">
                  <c:v>-2.9470000000000001</c:v>
                </c:pt>
                <c:pt idx="113">
                  <c:v>-2.1539999999999999</c:v>
                </c:pt>
                <c:pt idx="114">
                  <c:v>-2.2210000000000001</c:v>
                </c:pt>
                <c:pt idx="115">
                  <c:v>-2.843</c:v>
                </c:pt>
                <c:pt idx="116">
                  <c:v>-1.796</c:v>
                </c:pt>
                <c:pt idx="117">
                  <c:v>3.3879999999999999</c:v>
                </c:pt>
                <c:pt idx="118">
                  <c:v>1.613</c:v>
                </c:pt>
                <c:pt idx="119">
                  <c:v>-3.3740000000000001</c:v>
                </c:pt>
                <c:pt idx="120">
                  <c:v>-1.65</c:v>
                </c:pt>
                <c:pt idx="121">
                  <c:v>-1.4319999999999999</c:v>
                </c:pt>
                <c:pt idx="122">
                  <c:v>-1.706</c:v>
                </c:pt>
                <c:pt idx="123">
                  <c:v>-0.83899999999999997</c:v>
                </c:pt>
                <c:pt idx="124">
                  <c:v>6.4000000000000001E-2</c:v>
                </c:pt>
                <c:pt idx="125">
                  <c:v>-2.3420000000000001</c:v>
                </c:pt>
                <c:pt idx="126">
                  <c:v>-1.024</c:v>
                </c:pt>
                <c:pt idx="127">
                  <c:v>-0.70899999999999996</c:v>
                </c:pt>
                <c:pt idx="128">
                  <c:v>-3.516</c:v>
                </c:pt>
                <c:pt idx="129">
                  <c:v>-3.3410000000000002</c:v>
                </c:pt>
                <c:pt idx="130">
                  <c:v>-2.2530000000000001</c:v>
                </c:pt>
                <c:pt idx="131">
                  <c:v>-1.917</c:v>
                </c:pt>
                <c:pt idx="132">
                  <c:v>-4.12</c:v>
                </c:pt>
                <c:pt idx="133">
                  <c:v>-3.8439999999999999</c:v>
                </c:pt>
                <c:pt idx="134">
                  <c:v>-2.4009999999999998</c:v>
                </c:pt>
                <c:pt idx="135">
                  <c:v>-2.0840000000000001</c:v>
                </c:pt>
                <c:pt idx="136">
                  <c:v>-1.9950000000000001</c:v>
                </c:pt>
                <c:pt idx="137">
                  <c:v>-2.9049999999999998</c:v>
                </c:pt>
                <c:pt idx="138">
                  <c:v>-3.5670000000000002</c:v>
                </c:pt>
                <c:pt idx="139">
                  <c:v>1.431</c:v>
                </c:pt>
                <c:pt idx="140">
                  <c:v>2.1320000000000001</c:v>
                </c:pt>
                <c:pt idx="141">
                  <c:v>-3.073</c:v>
                </c:pt>
                <c:pt idx="142">
                  <c:v>-3.133</c:v>
                </c:pt>
                <c:pt idx="143">
                  <c:v>-0.42399999999999999</c:v>
                </c:pt>
                <c:pt idx="144">
                  <c:v>-1.5249999999999999</c:v>
                </c:pt>
                <c:pt idx="145">
                  <c:v>-0.77500000000000002</c:v>
                </c:pt>
                <c:pt idx="146">
                  <c:v>-1.976</c:v>
                </c:pt>
                <c:pt idx="147">
                  <c:v>-1.891</c:v>
                </c:pt>
                <c:pt idx="148">
                  <c:v>-1.788</c:v>
                </c:pt>
                <c:pt idx="149">
                  <c:v>-0.121</c:v>
                </c:pt>
                <c:pt idx="150">
                  <c:v>-1.677</c:v>
                </c:pt>
                <c:pt idx="151">
                  <c:v>0.113</c:v>
                </c:pt>
                <c:pt idx="152">
                  <c:v>-3.1890000000000001</c:v>
                </c:pt>
                <c:pt idx="153">
                  <c:v>-4.319</c:v>
                </c:pt>
                <c:pt idx="154">
                  <c:v>-0.40500000000000003</c:v>
                </c:pt>
                <c:pt idx="155">
                  <c:v>-1.1719999999999999</c:v>
                </c:pt>
                <c:pt idx="156">
                  <c:v>-2.8290000000000002</c:v>
                </c:pt>
                <c:pt idx="157">
                  <c:v>-0.89500000000000002</c:v>
                </c:pt>
                <c:pt idx="158">
                  <c:v>-2.39</c:v>
                </c:pt>
                <c:pt idx="159">
                  <c:v>-2.0870000000000002</c:v>
                </c:pt>
                <c:pt idx="160">
                  <c:v>-1.5449999999999999</c:v>
                </c:pt>
                <c:pt idx="161">
                  <c:v>-2.0089999999999999</c:v>
                </c:pt>
                <c:pt idx="162">
                  <c:v>-3.68</c:v>
                </c:pt>
                <c:pt idx="163">
                  <c:v>-1.44</c:v>
                </c:pt>
                <c:pt idx="164">
                  <c:v>-1.0629999999999999</c:v>
                </c:pt>
                <c:pt idx="165">
                  <c:v>-0.79400000000000004</c:v>
                </c:pt>
                <c:pt idx="166">
                  <c:v>-1.861</c:v>
                </c:pt>
                <c:pt idx="167">
                  <c:v>-2.5179999999999998</c:v>
                </c:pt>
                <c:pt idx="168">
                  <c:v>-1.847</c:v>
                </c:pt>
                <c:pt idx="169">
                  <c:v>0.55700000000000005</c:v>
                </c:pt>
                <c:pt idx="170">
                  <c:v>0.27300000000000002</c:v>
                </c:pt>
                <c:pt idx="171">
                  <c:v>-0.755</c:v>
                </c:pt>
                <c:pt idx="172">
                  <c:v>3.13</c:v>
                </c:pt>
                <c:pt idx="173">
                  <c:v>2.133</c:v>
                </c:pt>
                <c:pt idx="174">
                  <c:v>2.4009999999999998</c:v>
                </c:pt>
                <c:pt idx="175">
                  <c:v>2.4119999999999999</c:v>
                </c:pt>
                <c:pt idx="176">
                  <c:v>2.4529999999999998</c:v>
                </c:pt>
                <c:pt idx="177">
                  <c:v>3.5539999999999998</c:v>
                </c:pt>
                <c:pt idx="178">
                  <c:v>5.2169999999999996</c:v>
                </c:pt>
                <c:pt idx="179">
                  <c:v>4.8460000000000001</c:v>
                </c:pt>
                <c:pt idx="180">
                  <c:v>1.022</c:v>
                </c:pt>
                <c:pt idx="181">
                  <c:v>0.72499999999999998</c:v>
                </c:pt>
                <c:pt idx="182">
                  <c:v>2.0990000000000002</c:v>
                </c:pt>
                <c:pt idx="183">
                  <c:v>0.36499999999999999</c:v>
                </c:pt>
                <c:pt idx="184">
                  <c:v>0.13800000000000001</c:v>
                </c:pt>
                <c:pt idx="185">
                  <c:v>-0.67600000000000005</c:v>
                </c:pt>
                <c:pt idx="186">
                  <c:v>0.84599999999999997</c:v>
                </c:pt>
                <c:pt idx="187">
                  <c:v>-0.90600000000000003</c:v>
                </c:pt>
                <c:pt idx="188">
                  <c:v>-2.504</c:v>
                </c:pt>
                <c:pt idx="189">
                  <c:v>-1.4970000000000001</c:v>
                </c:pt>
                <c:pt idx="190">
                  <c:v>-1.2070000000000001</c:v>
                </c:pt>
                <c:pt idx="191">
                  <c:v>-1.538</c:v>
                </c:pt>
                <c:pt idx="192">
                  <c:v>1.103</c:v>
                </c:pt>
                <c:pt idx="193">
                  <c:v>0.27</c:v>
                </c:pt>
                <c:pt idx="194">
                  <c:v>2.0840000000000001</c:v>
                </c:pt>
                <c:pt idx="195">
                  <c:v>0.80100000000000005</c:v>
                </c:pt>
                <c:pt idx="196">
                  <c:v>-0.36899999999999999</c:v>
                </c:pt>
                <c:pt idx="197">
                  <c:v>-2.6930000000000001</c:v>
                </c:pt>
                <c:pt idx="198">
                  <c:v>-1.268</c:v>
                </c:pt>
                <c:pt idx="199">
                  <c:v>-0.216</c:v>
                </c:pt>
                <c:pt idx="200">
                  <c:v>2.98</c:v>
                </c:pt>
                <c:pt idx="201">
                  <c:v>0.64300000000000002</c:v>
                </c:pt>
                <c:pt idx="202">
                  <c:v>-4.0640000000000001</c:v>
                </c:pt>
                <c:pt idx="203">
                  <c:v>-2.5299999999999998</c:v>
                </c:pt>
                <c:pt idx="204">
                  <c:v>-2.3260000000000001</c:v>
                </c:pt>
                <c:pt idx="205">
                  <c:v>-2.496</c:v>
                </c:pt>
                <c:pt idx="206">
                  <c:v>-2.851</c:v>
                </c:pt>
                <c:pt idx="207">
                  <c:v>-1.5529999999999999</c:v>
                </c:pt>
                <c:pt idx="208">
                  <c:v>-0.65</c:v>
                </c:pt>
                <c:pt idx="209">
                  <c:v>0.66900000000000004</c:v>
                </c:pt>
                <c:pt idx="210">
                  <c:v>0.38500000000000001</c:v>
                </c:pt>
                <c:pt idx="211">
                  <c:v>-2.95</c:v>
                </c:pt>
                <c:pt idx="212">
                  <c:v>-1.9259999999999999</c:v>
                </c:pt>
                <c:pt idx="213">
                  <c:v>-2.8450000000000002</c:v>
                </c:pt>
                <c:pt idx="214">
                  <c:v>-3.9580000000000002</c:v>
                </c:pt>
                <c:pt idx="215">
                  <c:v>-3.036</c:v>
                </c:pt>
                <c:pt idx="216">
                  <c:v>-0.42899999999999999</c:v>
                </c:pt>
                <c:pt idx="217">
                  <c:v>-0.879</c:v>
                </c:pt>
                <c:pt idx="218">
                  <c:v>-1.7509999999999999</c:v>
                </c:pt>
                <c:pt idx="219">
                  <c:v>-4.931</c:v>
                </c:pt>
                <c:pt idx="220">
                  <c:v>-3.9329999999999998</c:v>
                </c:pt>
                <c:pt idx="221">
                  <c:v>-1.1419999999999999</c:v>
                </c:pt>
                <c:pt idx="222">
                  <c:v>0.76200000000000001</c:v>
                </c:pt>
                <c:pt idx="223">
                  <c:v>1.5509999999999999</c:v>
                </c:pt>
                <c:pt idx="224">
                  <c:v>3.5000000000000003E-2</c:v>
                </c:pt>
                <c:pt idx="225">
                  <c:v>-2.6840000000000002</c:v>
                </c:pt>
                <c:pt idx="226">
                  <c:v>-1.5649999999999999</c:v>
                </c:pt>
                <c:pt idx="227">
                  <c:v>-2.6429999999999998</c:v>
                </c:pt>
                <c:pt idx="228">
                  <c:v>-3.5619999999999998</c:v>
                </c:pt>
                <c:pt idx="229">
                  <c:v>-2.4710000000000001</c:v>
                </c:pt>
                <c:pt idx="230">
                  <c:v>-0.71199999999999997</c:v>
                </c:pt>
                <c:pt idx="231">
                  <c:v>1.2669999999999999</c:v>
                </c:pt>
                <c:pt idx="232">
                  <c:v>1.181</c:v>
                </c:pt>
                <c:pt idx="233">
                  <c:v>-2.81</c:v>
                </c:pt>
                <c:pt idx="234">
                  <c:v>-2.6669999999999998</c:v>
                </c:pt>
                <c:pt idx="235">
                  <c:v>-2.9860000000000002</c:v>
                </c:pt>
                <c:pt idx="236">
                  <c:v>-3.58</c:v>
                </c:pt>
                <c:pt idx="237">
                  <c:v>-3.7349999999999999</c:v>
                </c:pt>
                <c:pt idx="238">
                  <c:v>-1.534</c:v>
                </c:pt>
                <c:pt idx="239">
                  <c:v>0.51800000000000002</c:v>
                </c:pt>
                <c:pt idx="240">
                  <c:v>-4.0709999999999997</c:v>
                </c:pt>
                <c:pt idx="241">
                  <c:v>-0.85199999999999998</c:v>
                </c:pt>
                <c:pt idx="242">
                  <c:v>-1.7170000000000001</c:v>
                </c:pt>
                <c:pt idx="243">
                  <c:v>-2.9420000000000002</c:v>
                </c:pt>
                <c:pt idx="244">
                  <c:v>-5.7539999999999996</c:v>
                </c:pt>
                <c:pt idx="245">
                  <c:v>-3.6459999999999999</c:v>
                </c:pt>
                <c:pt idx="246">
                  <c:v>-0.77500000000000002</c:v>
                </c:pt>
                <c:pt idx="247">
                  <c:v>0.55200000000000005</c:v>
                </c:pt>
                <c:pt idx="248">
                  <c:v>-1.079</c:v>
                </c:pt>
                <c:pt idx="249">
                  <c:v>-2.0760000000000001</c:v>
                </c:pt>
                <c:pt idx="250">
                  <c:v>-2.9580000000000002</c:v>
                </c:pt>
                <c:pt idx="251">
                  <c:v>-2.2080000000000002</c:v>
                </c:pt>
                <c:pt idx="252">
                  <c:v>-1.7689999999999999</c:v>
                </c:pt>
                <c:pt idx="253">
                  <c:v>-1.1659999999999999</c:v>
                </c:pt>
                <c:pt idx="254">
                  <c:v>-0.12</c:v>
                </c:pt>
                <c:pt idx="255">
                  <c:v>-1.0660000000000001</c:v>
                </c:pt>
                <c:pt idx="256">
                  <c:v>0.92200000000000004</c:v>
                </c:pt>
                <c:pt idx="257">
                  <c:v>4.8000000000000001E-2</c:v>
                </c:pt>
                <c:pt idx="258">
                  <c:v>-2.274</c:v>
                </c:pt>
                <c:pt idx="259">
                  <c:v>-4.4550000000000001</c:v>
                </c:pt>
                <c:pt idx="260">
                  <c:v>-3.512</c:v>
                </c:pt>
                <c:pt idx="261">
                  <c:v>4.0000000000000001E-3</c:v>
                </c:pt>
                <c:pt idx="262">
                  <c:v>-0.753</c:v>
                </c:pt>
                <c:pt idx="263">
                  <c:v>0.90300000000000002</c:v>
                </c:pt>
                <c:pt idx="264">
                  <c:v>-0.54600000000000004</c:v>
                </c:pt>
                <c:pt idx="265">
                  <c:v>-0.77600000000000002</c:v>
                </c:pt>
                <c:pt idx="266">
                  <c:v>0.47399999999999998</c:v>
                </c:pt>
                <c:pt idx="267">
                  <c:v>1.478</c:v>
                </c:pt>
                <c:pt idx="268">
                  <c:v>0.76300000000000001</c:v>
                </c:pt>
                <c:pt idx="269">
                  <c:v>3.4449999999999998</c:v>
                </c:pt>
                <c:pt idx="270">
                  <c:v>2.4889999999999999</c:v>
                </c:pt>
                <c:pt idx="271">
                  <c:v>2.6469999999999998</c:v>
                </c:pt>
                <c:pt idx="272">
                  <c:v>1.9039999999999999</c:v>
                </c:pt>
                <c:pt idx="273">
                  <c:v>-3.1930000000000001</c:v>
                </c:pt>
                <c:pt idx="274">
                  <c:v>-4.1000000000000002E-2</c:v>
                </c:pt>
                <c:pt idx="275">
                  <c:v>3.87</c:v>
                </c:pt>
                <c:pt idx="276">
                  <c:v>-0.192</c:v>
                </c:pt>
                <c:pt idx="277">
                  <c:v>3.9750000000000001</c:v>
                </c:pt>
                <c:pt idx="278">
                  <c:v>-1.825</c:v>
                </c:pt>
                <c:pt idx="279">
                  <c:v>-3.9369999999999998</c:v>
                </c:pt>
                <c:pt idx="280">
                  <c:v>-2.798</c:v>
                </c:pt>
                <c:pt idx="281">
                  <c:v>-7.3999999999999996E-2</c:v>
                </c:pt>
                <c:pt idx="282">
                  <c:v>1.0529999999999999</c:v>
                </c:pt>
                <c:pt idx="283">
                  <c:v>-1.7250000000000001</c:v>
                </c:pt>
                <c:pt idx="284">
                  <c:v>1.804</c:v>
                </c:pt>
                <c:pt idx="285">
                  <c:v>-0.68600000000000005</c:v>
                </c:pt>
                <c:pt idx="286">
                  <c:v>0.40300000000000002</c:v>
                </c:pt>
                <c:pt idx="287">
                  <c:v>-1.583</c:v>
                </c:pt>
                <c:pt idx="288">
                  <c:v>0.13800000000000001</c:v>
                </c:pt>
                <c:pt idx="289">
                  <c:v>0.68500000000000005</c:v>
                </c:pt>
                <c:pt idx="290">
                  <c:v>1.026</c:v>
                </c:pt>
                <c:pt idx="291">
                  <c:v>-1.625</c:v>
                </c:pt>
                <c:pt idx="292">
                  <c:v>-0.751</c:v>
                </c:pt>
                <c:pt idx="293">
                  <c:v>-2.3330000000000002</c:v>
                </c:pt>
                <c:pt idx="294">
                  <c:v>1.53</c:v>
                </c:pt>
                <c:pt idx="295">
                  <c:v>-3.609</c:v>
                </c:pt>
                <c:pt idx="296">
                  <c:v>-3.6749999999999998</c:v>
                </c:pt>
                <c:pt idx="297">
                  <c:v>-2.698</c:v>
                </c:pt>
                <c:pt idx="298">
                  <c:v>-1.089</c:v>
                </c:pt>
                <c:pt idx="299">
                  <c:v>4.4450000000000003</c:v>
                </c:pt>
                <c:pt idx="300">
                  <c:v>-0.48499999999999999</c:v>
                </c:pt>
                <c:pt idx="301">
                  <c:v>-3.1549999999999998</c:v>
                </c:pt>
                <c:pt idx="302">
                  <c:v>2.3769999999999998</c:v>
                </c:pt>
                <c:pt idx="303">
                  <c:v>-0.72699999999999998</c:v>
                </c:pt>
                <c:pt idx="304">
                  <c:v>-1.278</c:v>
                </c:pt>
                <c:pt idx="305">
                  <c:v>-0.84199999999999997</c:v>
                </c:pt>
                <c:pt idx="306">
                  <c:v>-2.8519999999999999</c:v>
                </c:pt>
                <c:pt idx="307">
                  <c:v>-1.5549999999999999</c:v>
                </c:pt>
                <c:pt idx="308">
                  <c:v>0.59699999999999998</c:v>
                </c:pt>
                <c:pt idx="309">
                  <c:v>-2.16</c:v>
                </c:pt>
                <c:pt idx="310">
                  <c:v>-0.16200000000000001</c:v>
                </c:pt>
                <c:pt idx="311">
                  <c:v>-4.8760000000000003</c:v>
                </c:pt>
                <c:pt idx="312">
                  <c:v>-1.6859999999999999</c:v>
                </c:pt>
                <c:pt idx="313">
                  <c:v>0.78900000000000003</c:v>
                </c:pt>
                <c:pt idx="314">
                  <c:v>-1.5640000000000001</c:v>
                </c:pt>
                <c:pt idx="315">
                  <c:v>0.98399999999999999</c:v>
                </c:pt>
                <c:pt idx="316">
                  <c:v>1.1180000000000001</c:v>
                </c:pt>
                <c:pt idx="317">
                  <c:v>1.7270000000000001</c:v>
                </c:pt>
                <c:pt idx="318">
                  <c:v>4.1500000000000004</c:v>
                </c:pt>
                <c:pt idx="319">
                  <c:v>-4.0659999999999998</c:v>
                </c:pt>
                <c:pt idx="320">
                  <c:v>-2.1819999999999999</c:v>
                </c:pt>
                <c:pt idx="321">
                  <c:v>-1.863</c:v>
                </c:pt>
                <c:pt idx="322">
                  <c:v>1.9990000000000001</c:v>
                </c:pt>
                <c:pt idx="323">
                  <c:v>-2.601</c:v>
                </c:pt>
                <c:pt idx="324">
                  <c:v>-1.46</c:v>
                </c:pt>
                <c:pt idx="325">
                  <c:v>3.819</c:v>
                </c:pt>
                <c:pt idx="326">
                  <c:v>-1.32</c:v>
                </c:pt>
                <c:pt idx="327">
                  <c:v>2.1309999999999998</c:v>
                </c:pt>
                <c:pt idx="328">
                  <c:v>1.163</c:v>
                </c:pt>
                <c:pt idx="329">
                  <c:v>-0.13800000000000001</c:v>
                </c:pt>
                <c:pt idx="330">
                  <c:v>3.2349999999999999</c:v>
                </c:pt>
                <c:pt idx="331">
                  <c:v>-0.183</c:v>
                </c:pt>
                <c:pt idx="332">
                  <c:v>-0.55400000000000005</c:v>
                </c:pt>
                <c:pt idx="333">
                  <c:v>-2.2549999999999999</c:v>
                </c:pt>
                <c:pt idx="334">
                  <c:v>0.56100000000000005</c:v>
                </c:pt>
                <c:pt idx="335">
                  <c:v>0.93300000000000005</c:v>
                </c:pt>
                <c:pt idx="336">
                  <c:v>2.0350000000000001</c:v>
                </c:pt>
                <c:pt idx="337">
                  <c:v>2.6619999999999999</c:v>
                </c:pt>
                <c:pt idx="338">
                  <c:v>2.3969999999999998</c:v>
                </c:pt>
                <c:pt idx="339">
                  <c:v>0.91800000000000004</c:v>
                </c:pt>
                <c:pt idx="340">
                  <c:v>-1.8660000000000001</c:v>
                </c:pt>
                <c:pt idx="341">
                  <c:v>0.55300000000000005</c:v>
                </c:pt>
                <c:pt idx="342">
                  <c:v>1.385</c:v>
                </c:pt>
                <c:pt idx="343">
                  <c:v>0.83799999999999997</c:v>
                </c:pt>
                <c:pt idx="344">
                  <c:v>2.9929999999999999</c:v>
                </c:pt>
                <c:pt idx="345">
                  <c:v>4.976</c:v>
                </c:pt>
                <c:pt idx="346">
                  <c:v>1.36</c:v>
                </c:pt>
                <c:pt idx="347">
                  <c:v>0.53100000000000003</c:v>
                </c:pt>
                <c:pt idx="348">
                  <c:v>0.26800000000000002</c:v>
                </c:pt>
                <c:pt idx="349">
                  <c:v>-0.13800000000000001</c:v>
                </c:pt>
                <c:pt idx="350">
                  <c:v>-5.2149999999999999</c:v>
                </c:pt>
                <c:pt idx="351">
                  <c:v>-1.7749999999999999</c:v>
                </c:pt>
                <c:pt idx="352">
                  <c:v>0.30199999999999999</c:v>
                </c:pt>
                <c:pt idx="353">
                  <c:v>-4.0039999999999996</c:v>
                </c:pt>
                <c:pt idx="354">
                  <c:v>-0.52300000000000002</c:v>
                </c:pt>
                <c:pt idx="355">
                  <c:v>-0.46</c:v>
                </c:pt>
                <c:pt idx="356">
                  <c:v>-4.0860000000000003</c:v>
                </c:pt>
                <c:pt idx="357">
                  <c:v>-1.292</c:v>
                </c:pt>
                <c:pt idx="358">
                  <c:v>-0.26800000000000002</c:v>
                </c:pt>
                <c:pt idx="359">
                  <c:v>-0.32700000000000001</c:v>
                </c:pt>
                <c:pt idx="360">
                  <c:v>0.94699999999999995</c:v>
                </c:pt>
                <c:pt idx="361">
                  <c:v>3.0110000000000001</c:v>
                </c:pt>
                <c:pt idx="362">
                  <c:v>-2.3149999999999999</c:v>
                </c:pt>
                <c:pt idx="363">
                  <c:v>0.245</c:v>
                </c:pt>
                <c:pt idx="364">
                  <c:v>-3.806</c:v>
                </c:pt>
                <c:pt idx="365">
                  <c:v>-1.002</c:v>
                </c:pt>
                <c:pt idx="366">
                  <c:v>1.2490000000000001</c:v>
                </c:pt>
                <c:pt idx="367">
                  <c:v>1.0589999999999999</c:v>
                </c:pt>
                <c:pt idx="368">
                  <c:v>-0.83599999999999997</c:v>
                </c:pt>
                <c:pt idx="369">
                  <c:v>-2.6760000000000002</c:v>
                </c:pt>
                <c:pt idx="370">
                  <c:v>-2.714</c:v>
                </c:pt>
                <c:pt idx="371">
                  <c:v>-2.1869999999999998</c:v>
                </c:pt>
                <c:pt idx="372">
                  <c:v>3.0289999999999999</c:v>
                </c:pt>
                <c:pt idx="373">
                  <c:v>-4.0309999999999997</c:v>
                </c:pt>
                <c:pt idx="374">
                  <c:v>-4.8499999999999996</c:v>
                </c:pt>
                <c:pt idx="375">
                  <c:v>-1.78</c:v>
                </c:pt>
                <c:pt idx="376">
                  <c:v>-0.441</c:v>
                </c:pt>
                <c:pt idx="377">
                  <c:v>3.3450000000000002</c:v>
                </c:pt>
                <c:pt idx="378">
                  <c:v>-5.26</c:v>
                </c:pt>
                <c:pt idx="379">
                  <c:v>-0.48699999999999999</c:v>
                </c:pt>
                <c:pt idx="380">
                  <c:v>-0.57499999999999996</c:v>
                </c:pt>
                <c:pt idx="381">
                  <c:v>1.181</c:v>
                </c:pt>
                <c:pt idx="382">
                  <c:v>-0.54</c:v>
                </c:pt>
                <c:pt idx="383">
                  <c:v>-0.64700000000000002</c:v>
                </c:pt>
                <c:pt idx="384">
                  <c:v>1.528</c:v>
                </c:pt>
                <c:pt idx="385">
                  <c:v>-1.857</c:v>
                </c:pt>
                <c:pt idx="386">
                  <c:v>-2.1379999999999999</c:v>
                </c:pt>
                <c:pt idx="387">
                  <c:v>-1.8069999999999999</c:v>
                </c:pt>
                <c:pt idx="388">
                  <c:v>-0.999</c:v>
                </c:pt>
                <c:pt idx="389">
                  <c:v>4.8000000000000001E-2</c:v>
                </c:pt>
                <c:pt idx="390">
                  <c:v>-2.8540000000000001</c:v>
                </c:pt>
                <c:pt idx="391">
                  <c:v>-3.1019999999999999</c:v>
                </c:pt>
                <c:pt idx="392">
                  <c:v>1.2589999999999999</c:v>
                </c:pt>
                <c:pt idx="393">
                  <c:v>2.9329999999999998</c:v>
                </c:pt>
                <c:pt idx="394">
                  <c:v>-1.0029999999999999</c:v>
                </c:pt>
                <c:pt idx="395">
                  <c:v>2.4020000000000001</c:v>
                </c:pt>
                <c:pt idx="396">
                  <c:v>-0.96499999999999997</c:v>
                </c:pt>
                <c:pt idx="397">
                  <c:v>-0.58399999999999996</c:v>
                </c:pt>
                <c:pt idx="398">
                  <c:v>3.7429999999999999</c:v>
                </c:pt>
                <c:pt idx="399">
                  <c:v>2.54</c:v>
                </c:pt>
                <c:pt idx="400">
                  <c:v>4.1289999999999996</c:v>
                </c:pt>
                <c:pt idx="401">
                  <c:v>-1.018</c:v>
                </c:pt>
                <c:pt idx="402">
                  <c:v>2.1520000000000001</c:v>
                </c:pt>
                <c:pt idx="403">
                  <c:v>0.157</c:v>
                </c:pt>
                <c:pt idx="404">
                  <c:v>-0.125</c:v>
                </c:pt>
                <c:pt idx="405">
                  <c:v>-0.59499999999999997</c:v>
                </c:pt>
                <c:pt idx="406">
                  <c:v>-1.526</c:v>
                </c:pt>
                <c:pt idx="407">
                  <c:v>2.7909999999999999</c:v>
                </c:pt>
                <c:pt idx="408">
                  <c:v>-5.0999999999999997E-2</c:v>
                </c:pt>
                <c:pt idx="409">
                  <c:v>-1.5489999999999999</c:v>
                </c:pt>
                <c:pt idx="410">
                  <c:v>0.219</c:v>
                </c:pt>
                <c:pt idx="411">
                  <c:v>0.78500000000000003</c:v>
                </c:pt>
                <c:pt idx="412">
                  <c:v>3.4750000000000001</c:v>
                </c:pt>
                <c:pt idx="413">
                  <c:v>1.274</c:v>
                </c:pt>
                <c:pt idx="414">
                  <c:v>-1.986</c:v>
                </c:pt>
                <c:pt idx="415">
                  <c:v>-1.4319999999999999</c:v>
                </c:pt>
                <c:pt idx="416">
                  <c:v>-3.0590000000000002</c:v>
                </c:pt>
                <c:pt idx="417">
                  <c:v>0.64100000000000001</c:v>
                </c:pt>
                <c:pt idx="418">
                  <c:v>3.5870000000000002</c:v>
                </c:pt>
                <c:pt idx="419">
                  <c:v>-2.2959999999999998</c:v>
                </c:pt>
                <c:pt idx="420">
                  <c:v>1.0680000000000001</c:v>
                </c:pt>
                <c:pt idx="421">
                  <c:v>4.6710000000000003</c:v>
                </c:pt>
                <c:pt idx="422">
                  <c:v>-1.353</c:v>
                </c:pt>
                <c:pt idx="423">
                  <c:v>-0.191</c:v>
                </c:pt>
                <c:pt idx="424">
                  <c:v>1.3939999999999999</c:v>
                </c:pt>
                <c:pt idx="425">
                  <c:v>-5.8630000000000004</c:v>
                </c:pt>
                <c:pt idx="426">
                  <c:v>-1.3240000000000001</c:v>
                </c:pt>
                <c:pt idx="427">
                  <c:v>1.556</c:v>
                </c:pt>
                <c:pt idx="428">
                  <c:v>-2.161</c:v>
                </c:pt>
                <c:pt idx="429">
                  <c:v>-1.7869999999999999</c:v>
                </c:pt>
                <c:pt idx="430">
                  <c:v>3.298</c:v>
                </c:pt>
                <c:pt idx="431">
                  <c:v>-2.5219999999999998</c:v>
                </c:pt>
                <c:pt idx="432">
                  <c:v>0.55500000000000005</c:v>
                </c:pt>
                <c:pt idx="433">
                  <c:v>1.32</c:v>
                </c:pt>
                <c:pt idx="434">
                  <c:v>-2.665</c:v>
                </c:pt>
                <c:pt idx="435">
                  <c:v>-0.23200000000000001</c:v>
                </c:pt>
                <c:pt idx="436">
                  <c:v>2.8540000000000001</c:v>
                </c:pt>
                <c:pt idx="437">
                  <c:v>-0.371</c:v>
                </c:pt>
                <c:pt idx="438">
                  <c:v>0.64100000000000001</c:v>
                </c:pt>
                <c:pt idx="439">
                  <c:v>0.85099999999999998</c:v>
                </c:pt>
                <c:pt idx="440">
                  <c:v>-2.8359999999999999</c:v>
                </c:pt>
                <c:pt idx="441">
                  <c:v>-1.204</c:v>
                </c:pt>
                <c:pt idx="442">
                  <c:v>3.4569999999999999</c:v>
                </c:pt>
                <c:pt idx="443">
                  <c:v>0.82</c:v>
                </c:pt>
                <c:pt idx="444">
                  <c:v>-0.88600000000000001</c:v>
                </c:pt>
                <c:pt idx="445">
                  <c:v>0.78600000000000003</c:v>
                </c:pt>
                <c:pt idx="446">
                  <c:v>-0.32400000000000001</c:v>
                </c:pt>
                <c:pt idx="447">
                  <c:v>0.86399999999999999</c:v>
                </c:pt>
                <c:pt idx="448">
                  <c:v>-3.5859999999999999</c:v>
                </c:pt>
                <c:pt idx="449">
                  <c:v>-2.2999999999999998</c:v>
                </c:pt>
                <c:pt idx="450">
                  <c:v>-3.9039999999999999</c:v>
                </c:pt>
                <c:pt idx="451">
                  <c:v>-1.351</c:v>
                </c:pt>
                <c:pt idx="452">
                  <c:v>1.3009999999999999</c:v>
                </c:pt>
                <c:pt idx="453">
                  <c:v>0.50900000000000001</c:v>
                </c:pt>
                <c:pt idx="454">
                  <c:v>-3.601</c:v>
                </c:pt>
                <c:pt idx="455">
                  <c:v>-0.72</c:v>
                </c:pt>
                <c:pt idx="456">
                  <c:v>9.6000000000000002E-2</c:v>
                </c:pt>
                <c:pt idx="457">
                  <c:v>-1.786</c:v>
                </c:pt>
                <c:pt idx="458">
                  <c:v>-3.899</c:v>
                </c:pt>
                <c:pt idx="459">
                  <c:v>-6.7220000000000004</c:v>
                </c:pt>
                <c:pt idx="460">
                  <c:v>-2.9260000000000002</c:v>
                </c:pt>
                <c:pt idx="461">
                  <c:v>-2.4769999999999999</c:v>
                </c:pt>
                <c:pt idx="462">
                  <c:v>-4.1589999999999998</c:v>
                </c:pt>
                <c:pt idx="463">
                  <c:v>-1.137</c:v>
                </c:pt>
                <c:pt idx="464">
                  <c:v>-2.3809999999999998</c:v>
                </c:pt>
                <c:pt idx="465">
                  <c:v>-0.72499999999999998</c:v>
                </c:pt>
                <c:pt idx="466">
                  <c:v>-1.1220000000000001</c:v>
                </c:pt>
                <c:pt idx="467">
                  <c:v>-2.0430000000000001</c:v>
                </c:pt>
                <c:pt idx="468">
                  <c:v>0.40600000000000003</c:v>
                </c:pt>
                <c:pt idx="469">
                  <c:v>0.52900000000000003</c:v>
                </c:pt>
                <c:pt idx="470">
                  <c:v>1.012</c:v>
                </c:pt>
                <c:pt idx="471">
                  <c:v>1.8580000000000001</c:v>
                </c:pt>
                <c:pt idx="472">
                  <c:v>-2.2250000000000001</c:v>
                </c:pt>
                <c:pt idx="473">
                  <c:v>-2.3650000000000002</c:v>
                </c:pt>
                <c:pt idx="474">
                  <c:v>-1.2330000000000001</c:v>
                </c:pt>
                <c:pt idx="475">
                  <c:v>-0.40100000000000002</c:v>
                </c:pt>
                <c:pt idx="476">
                  <c:v>-2.6120000000000001</c:v>
                </c:pt>
                <c:pt idx="477">
                  <c:v>-2.8849999999999998</c:v>
                </c:pt>
                <c:pt idx="478">
                  <c:v>0.52400000000000002</c:v>
                </c:pt>
                <c:pt idx="479">
                  <c:v>1.331</c:v>
                </c:pt>
                <c:pt idx="480">
                  <c:v>0.41699999999999998</c:v>
                </c:pt>
                <c:pt idx="481">
                  <c:v>0.32300000000000001</c:v>
                </c:pt>
                <c:pt idx="482">
                  <c:v>1.167</c:v>
                </c:pt>
                <c:pt idx="483">
                  <c:v>6.1529999999999996</c:v>
                </c:pt>
                <c:pt idx="484">
                  <c:v>0.67</c:v>
                </c:pt>
                <c:pt idx="485">
                  <c:v>-2.089</c:v>
                </c:pt>
                <c:pt idx="486">
                  <c:v>2.0459999999999998</c:v>
                </c:pt>
                <c:pt idx="487">
                  <c:v>-7.0000000000000001E-3</c:v>
                </c:pt>
                <c:pt idx="488">
                  <c:v>3.4060000000000001</c:v>
                </c:pt>
                <c:pt idx="489">
                  <c:v>2.7810000000000001</c:v>
                </c:pt>
                <c:pt idx="490">
                  <c:v>0.27500000000000002</c:v>
                </c:pt>
                <c:pt idx="491">
                  <c:v>0.89300000000000002</c:v>
                </c:pt>
                <c:pt idx="492">
                  <c:v>-1.4810000000000001</c:v>
                </c:pt>
                <c:pt idx="493">
                  <c:v>-1.774</c:v>
                </c:pt>
                <c:pt idx="494">
                  <c:v>-0.40799999999999997</c:v>
                </c:pt>
                <c:pt idx="495">
                  <c:v>0.23100000000000001</c:v>
                </c:pt>
                <c:pt idx="496">
                  <c:v>-8.9999999999999993E-3</c:v>
                </c:pt>
                <c:pt idx="497">
                  <c:v>2.0859999999999999</c:v>
                </c:pt>
                <c:pt idx="498">
                  <c:v>4.9710000000000001</c:v>
                </c:pt>
                <c:pt idx="499">
                  <c:v>0.58399999999999996</c:v>
                </c:pt>
                <c:pt idx="500">
                  <c:v>-3.84</c:v>
                </c:pt>
                <c:pt idx="501">
                  <c:v>-4.9459999999999997</c:v>
                </c:pt>
                <c:pt idx="502">
                  <c:v>2.7879999999999998</c:v>
                </c:pt>
                <c:pt idx="503">
                  <c:v>1.635</c:v>
                </c:pt>
                <c:pt idx="504">
                  <c:v>1.639</c:v>
                </c:pt>
                <c:pt idx="505">
                  <c:v>-1.0149999999999999</c:v>
                </c:pt>
                <c:pt idx="506">
                  <c:v>-3.786</c:v>
                </c:pt>
                <c:pt idx="507">
                  <c:v>-3.4969999999999999</c:v>
                </c:pt>
                <c:pt idx="508">
                  <c:v>-0.54100000000000004</c:v>
                </c:pt>
                <c:pt idx="509">
                  <c:v>-1.905</c:v>
                </c:pt>
                <c:pt idx="510">
                  <c:v>-0.95699999999999996</c:v>
                </c:pt>
                <c:pt idx="511">
                  <c:v>-1.1539999999999999</c:v>
                </c:pt>
                <c:pt idx="512">
                  <c:v>1.51</c:v>
                </c:pt>
                <c:pt idx="513">
                  <c:v>0.98599999999999999</c:v>
                </c:pt>
                <c:pt idx="514">
                  <c:v>-0.66700000000000004</c:v>
                </c:pt>
                <c:pt idx="515">
                  <c:v>-3.081</c:v>
                </c:pt>
                <c:pt idx="516">
                  <c:v>-3.0449999999999999</c:v>
                </c:pt>
                <c:pt idx="517">
                  <c:v>0.82699999999999996</c:v>
                </c:pt>
                <c:pt idx="518">
                  <c:v>-0.247</c:v>
                </c:pt>
                <c:pt idx="519">
                  <c:v>-0.72599999999999998</c:v>
                </c:pt>
                <c:pt idx="520">
                  <c:v>-0.248</c:v>
                </c:pt>
                <c:pt idx="521">
                  <c:v>3.7349999999999999</c:v>
                </c:pt>
                <c:pt idx="522">
                  <c:v>-0.78500000000000003</c:v>
                </c:pt>
                <c:pt idx="523">
                  <c:v>3.2530000000000001</c:v>
                </c:pt>
                <c:pt idx="524">
                  <c:v>0.23</c:v>
                </c:pt>
                <c:pt idx="525">
                  <c:v>-0.42</c:v>
                </c:pt>
                <c:pt idx="526">
                  <c:v>0.996</c:v>
                </c:pt>
                <c:pt idx="527">
                  <c:v>3.4089999999999998</c:v>
                </c:pt>
                <c:pt idx="528">
                  <c:v>-2.1520000000000001</c:v>
                </c:pt>
                <c:pt idx="529">
                  <c:v>-3.569</c:v>
                </c:pt>
                <c:pt idx="530">
                  <c:v>1.161</c:v>
                </c:pt>
                <c:pt idx="531">
                  <c:v>-0.80800000000000005</c:v>
                </c:pt>
                <c:pt idx="532">
                  <c:v>-1.98</c:v>
                </c:pt>
                <c:pt idx="533">
                  <c:v>-2.0379999999999998</c:v>
                </c:pt>
                <c:pt idx="534">
                  <c:v>-2.6120000000000001</c:v>
                </c:pt>
                <c:pt idx="535">
                  <c:v>3.9E-2</c:v>
                </c:pt>
                <c:pt idx="536">
                  <c:v>-3.1619999999999999</c:v>
                </c:pt>
                <c:pt idx="537">
                  <c:v>-0.80700000000000005</c:v>
                </c:pt>
                <c:pt idx="538">
                  <c:v>1.63</c:v>
                </c:pt>
                <c:pt idx="539">
                  <c:v>-1.7729999999999999</c:v>
                </c:pt>
                <c:pt idx="540">
                  <c:v>0.30399999999999999</c:v>
                </c:pt>
                <c:pt idx="541">
                  <c:v>0.22800000000000001</c:v>
                </c:pt>
                <c:pt idx="542">
                  <c:v>1.66</c:v>
                </c:pt>
                <c:pt idx="543">
                  <c:v>0.80400000000000005</c:v>
                </c:pt>
                <c:pt idx="544">
                  <c:v>6.9279999999999999</c:v>
                </c:pt>
                <c:pt idx="545">
                  <c:v>2.57</c:v>
                </c:pt>
                <c:pt idx="546">
                  <c:v>-2.6419999999999999</c:v>
                </c:pt>
                <c:pt idx="547">
                  <c:v>-0.19400000000000001</c:v>
                </c:pt>
                <c:pt idx="548">
                  <c:v>-6.0030000000000001</c:v>
                </c:pt>
                <c:pt idx="549">
                  <c:v>0.23200000000000001</c:v>
                </c:pt>
                <c:pt idx="550">
                  <c:v>0.13800000000000001</c:v>
                </c:pt>
                <c:pt idx="551">
                  <c:v>-0.375</c:v>
                </c:pt>
                <c:pt idx="552">
                  <c:v>3</c:v>
                </c:pt>
                <c:pt idx="553">
                  <c:v>1.276</c:v>
                </c:pt>
                <c:pt idx="554">
                  <c:v>2.76</c:v>
                </c:pt>
                <c:pt idx="555">
                  <c:v>1.44</c:v>
                </c:pt>
                <c:pt idx="556">
                  <c:v>1.173</c:v>
                </c:pt>
                <c:pt idx="557">
                  <c:v>3.3570000000000002</c:v>
                </c:pt>
                <c:pt idx="558">
                  <c:v>5.6689999999999996</c:v>
                </c:pt>
                <c:pt idx="559">
                  <c:v>-1.321</c:v>
                </c:pt>
                <c:pt idx="560">
                  <c:v>-0.43099999999999999</c:v>
                </c:pt>
                <c:pt idx="561">
                  <c:v>0.997</c:v>
                </c:pt>
                <c:pt idx="562">
                  <c:v>2.27</c:v>
                </c:pt>
                <c:pt idx="563">
                  <c:v>2.0049999999999999</c:v>
                </c:pt>
                <c:pt idx="564">
                  <c:v>-3.67</c:v>
                </c:pt>
                <c:pt idx="565">
                  <c:v>-0.94899999999999995</c:v>
                </c:pt>
                <c:pt idx="566">
                  <c:v>0.10299999999999999</c:v>
                </c:pt>
                <c:pt idx="567">
                  <c:v>-0.56100000000000005</c:v>
                </c:pt>
                <c:pt idx="568">
                  <c:v>0.16</c:v>
                </c:pt>
                <c:pt idx="569">
                  <c:v>1.7000000000000001E-2</c:v>
                </c:pt>
                <c:pt idx="570">
                  <c:v>-1.3420000000000001</c:v>
                </c:pt>
                <c:pt idx="571">
                  <c:v>-2.2440000000000002</c:v>
                </c:pt>
                <c:pt idx="572">
                  <c:v>-1.772</c:v>
                </c:pt>
                <c:pt idx="573">
                  <c:v>-0.78900000000000003</c:v>
                </c:pt>
                <c:pt idx="574">
                  <c:v>-2.0760000000000001</c:v>
                </c:pt>
                <c:pt idx="575">
                  <c:v>-2.1760000000000002</c:v>
                </c:pt>
                <c:pt idx="576">
                  <c:v>-1.3959999999999999</c:v>
                </c:pt>
                <c:pt idx="577">
                  <c:v>-3.069</c:v>
                </c:pt>
                <c:pt idx="578">
                  <c:v>-0.621</c:v>
                </c:pt>
                <c:pt idx="579">
                  <c:v>3.641</c:v>
                </c:pt>
                <c:pt idx="580">
                  <c:v>1.7529999999999999</c:v>
                </c:pt>
                <c:pt idx="581">
                  <c:v>-3.2069999999999999</c:v>
                </c:pt>
                <c:pt idx="582">
                  <c:v>2.6669999999999998</c:v>
                </c:pt>
                <c:pt idx="583">
                  <c:v>1.288</c:v>
                </c:pt>
                <c:pt idx="584">
                  <c:v>0.72899999999999998</c:v>
                </c:pt>
                <c:pt idx="585">
                  <c:v>-0.38500000000000001</c:v>
                </c:pt>
                <c:pt idx="586">
                  <c:v>-1.0389999999999999</c:v>
                </c:pt>
                <c:pt idx="587">
                  <c:v>0.14699999999999999</c:v>
                </c:pt>
                <c:pt idx="588">
                  <c:v>2.2690000000000001</c:v>
                </c:pt>
                <c:pt idx="589">
                  <c:v>-0.36</c:v>
                </c:pt>
                <c:pt idx="590">
                  <c:v>4.5339999999999998</c:v>
                </c:pt>
                <c:pt idx="591">
                  <c:v>0.498</c:v>
                </c:pt>
                <c:pt idx="592">
                  <c:v>4.7690000000000001</c:v>
                </c:pt>
                <c:pt idx="593">
                  <c:v>0.63</c:v>
                </c:pt>
                <c:pt idx="594">
                  <c:v>-1.482</c:v>
                </c:pt>
                <c:pt idx="595">
                  <c:v>-0.99399999999999999</c:v>
                </c:pt>
                <c:pt idx="596">
                  <c:v>-0.221</c:v>
                </c:pt>
                <c:pt idx="597">
                  <c:v>3.9740000000000002</c:v>
                </c:pt>
                <c:pt idx="598">
                  <c:v>2.1160000000000001</c:v>
                </c:pt>
                <c:pt idx="599">
                  <c:v>-1.6839999999999999</c:v>
                </c:pt>
                <c:pt idx="600">
                  <c:v>0.44700000000000001</c:v>
                </c:pt>
                <c:pt idx="601">
                  <c:v>-3.2429999999999999</c:v>
                </c:pt>
                <c:pt idx="602">
                  <c:v>-3.0590000000000002</c:v>
                </c:pt>
                <c:pt idx="603">
                  <c:v>-0.33100000000000002</c:v>
                </c:pt>
                <c:pt idx="604">
                  <c:v>-0.85699999999999998</c:v>
                </c:pt>
                <c:pt idx="605">
                  <c:v>-2.2509999999999999</c:v>
                </c:pt>
                <c:pt idx="606">
                  <c:v>0.55300000000000005</c:v>
                </c:pt>
                <c:pt idx="607">
                  <c:v>2.2370000000000001</c:v>
                </c:pt>
                <c:pt idx="608">
                  <c:v>2.2559999999999998</c:v>
                </c:pt>
                <c:pt idx="609">
                  <c:v>2.3460000000000001</c:v>
                </c:pt>
                <c:pt idx="610">
                  <c:v>2.6829999999999998</c:v>
                </c:pt>
                <c:pt idx="611">
                  <c:v>4.1000000000000002E-2</c:v>
                </c:pt>
                <c:pt idx="612">
                  <c:v>-3.556</c:v>
                </c:pt>
                <c:pt idx="613">
                  <c:v>1.6459999999999999</c:v>
                </c:pt>
                <c:pt idx="614">
                  <c:v>1.9690000000000001</c:v>
                </c:pt>
                <c:pt idx="615">
                  <c:v>1.105</c:v>
                </c:pt>
                <c:pt idx="616">
                  <c:v>2.5449999999999999</c:v>
                </c:pt>
                <c:pt idx="617">
                  <c:v>1.0549999999999999</c:v>
                </c:pt>
                <c:pt idx="618">
                  <c:v>0.73499999999999999</c:v>
                </c:pt>
                <c:pt idx="619">
                  <c:v>1.778</c:v>
                </c:pt>
                <c:pt idx="620">
                  <c:v>-0.61199999999999999</c:v>
                </c:pt>
                <c:pt idx="621">
                  <c:v>0.41199999999999998</c:v>
                </c:pt>
                <c:pt idx="622">
                  <c:v>-1.5920000000000001</c:v>
                </c:pt>
                <c:pt idx="623">
                  <c:v>-1.498</c:v>
                </c:pt>
                <c:pt idx="624">
                  <c:v>2.56</c:v>
                </c:pt>
                <c:pt idx="625">
                  <c:v>2.6059999999999999</c:v>
                </c:pt>
                <c:pt idx="626">
                  <c:v>2.907</c:v>
                </c:pt>
                <c:pt idx="627">
                  <c:v>-1.859</c:v>
                </c:pt>
                <c:pt idx="628">
                  <c:v>1.7529999999999999</c:v>
                </c:pt>
                <c:pt idx="629">
                  <c:v>-2.7829999999999999</c:v>
                </c:pt>
                <c:pt idx="630">
                  <c:v>-2.7389999999999999</c:v>
                </c:pt>
                <c:pt idx="631">
                  <c:v>-3.2829999999999999</c:v>
                </c:pt>
                <c:pt idx="632">
                  <c:v>0.49399999999999999</c:v>
                </c:pt>
                <c:pt idx="633">
                  <c:v>2.85</c:v>
                </c:pt>
                <c:pt idx="634">
                  <c:v>-0.224</c:v>
                </c:pt>
                <c:pt idx="635">
                  <c:v>-2.38</c:v>
                </c:pt>
                <c:pt idx="636">
                  <c:v>-3.6469999999999998</c:v>
                </c:pt>
                <c:pt idx="637">
                  <c:v>1.8220000000000001</c:v>
                </c:pt>
                <c:pt idx="638">
                  <c:v>0.28799999999999998</c:v>
                </c:pt>
                <c:pt idx="639">
                  <c:v>1.2889999999999999</c:v>
                </c:pt>
                <c:pt idx="640">
                  <c:v>0.89200000000000002</c:v>
                </c:pt>
                <c:pt idx="641">
                  <c:v>1.038</c:v>
                </c:pt>
                <c:pt idx="642">
                  <c:v>-1.4259999999999999</c:v>
                </c:pt>
                <c:pt idx="643">
                  <c:v>2.556</c:v>
                </c:pt>
                <c:pt idx="644">
                  <c:v>0.40200000000000002</c:v>
                </c:pt>
                <c:pt idx="645">
                  <c:v>-2.7250000000000001</c:v>
                </c:pt>
                <c:pt idx="646">
                  <c:v>-0.7</c:v>
                </c:pt>
                <c:pt idx="647">
                  <c:v>-1.641</c:v>
                </c:pt>
                <c:pt idx="648">
                  <c:v>-2.5369999999999999</c:v>
                </c:pt>
                <c:pt idx="649">
                  <c:v>-1.234</c:v>
                </c:pt>
                <c:pt idx="650">
                  <c:v>-0.45900000000000002</c:v>
                </c:pt>
                <c:pt idx="651">
                  <c:v>-2.2949999999999999</c:v>
                </c:pt>
                <c:pt idx="652">
                  <c:v>-3.1030000000000002</c:v>
                </c:pt>
                <c:pt idx="653">
                  <c:v>3.5550000000000002</c:v>
                </c:pt>
                <c:pt idx="654">
                  <c:v>1.53</c:v>
                </c:pt>
                <c:pt idx="655">
                  <c:v>0.51500000000000001</c:v>
                </c:pt>
                <c:pt idx="656">
                  <c:v>-0.91900000000000004</c:v>
                </c:pt>
                <c:pt idx="657">
                  <c:v>1.681</c:v>
                </c:pt>
                <c:pt idx="658">
                  <c:v>-4.0890000000000004</c:v>
                </c:pt>
                <c:pt idx="659">
                  <c:v>0.12</c:v>
                </c:pt>
                <c:pt idx="660">
                  <c:v>-0.74299999999999999</c:v>
                </c:pt>
                <c:pt idx="661">
                  <c:v>0.89400000000000002</c:v>
                </c:pt>
                <c:pt idx="662">
                  <c:v>-7.4999999999999997E-2</c:v>
                </c:pt>
                <c:pt idx="663">
                  <c:v>-2.1110000000000002</c:v>
                </c:pt>
                <c:pt idx="664">
                  <c:v>2.9489999999999998</c:v>
                </c:pt>
                <c:pt idx="665">
                  <c:v>-0.312</c:v>
                </c:pt>
                <c:pt idx="666">
                  <c:v>3.931</c:v>
                </c:pt>
                <c:pt idx="667">
                  <c:v>0.72399999999999998</c:v>
                </c:pt>
                <c:pt idx="668">
                  <c:v>-1.623</c:v>
                </c:pt>
                <c:pt idx="669">
                  <c:v>1.4279999999999999</c:v>
                </c:pt>
                <c:pt idx="670">
                  <c:v>-0.629</c:v>
                </c:pt>
                <c:pt idx="671">
                  <c:v>2.1469999999999998</c:v>
                </c:pt>
                <c:pt idx="672">
                  <c:v>4.5869999999999997</c:v>
                </c:pt>
                <c:pt idx="673">
                  <c:v>0.53200000000000003</c:v>
                </c:pt>
                <c:pt idx="674">
                  <c:v>-3.613</c:v>
                </c:pt>
                <c:pt idx="675">
                  <c:v>0.27</c:v>
                </c:pt>
                <c:pt idx="676">
                  <c:v>1.1539999999999999</c:v>
                </c:pt>
                <c:pt idx="677">
                  <c:v>-0.59799999999999998</c:v>
                </c:pt>
                <c:pt idx="678">
                  <c:v>1.5449999999999999</c:v>
                </c:pt>
                <c:pt idx="679">
                  <c:v>-3.8559999999999999</c:v>
                </c:pt>
                <c:pt idx="680">
                  <c:v>-1.98</c:v>
                </c:pt>
                <c:pt idx="681">
                  <c:v>4.5279999999999996</c:v>
                </c:pt>
                <c:pt idx="682">
                  <c:v>1.7010000000000001</c:v>
                </c:pt>
                <c:pt idx="683">
                  <c:v>0.442</c:v>
                </c:pt>
                <c:pt idx="684">
                  <c:v>2.25</c:v>
                </c:pt>
                <c:pt idx="685">
                  <c:v>-3.4359999999999999</c:v>
                </c:pt>
                <c:pt idx="686">
                  <c:v>-2.3239999999999998</c:v>
                </c:pt>
                <c:pt idx="687">
                  <c:v>1.7709999999999999</c:v>
                </c:pt>
                <c:pt idx="688">
                  <c:v>-2.5550000000000002</c:v>
                </c:pt>
                <c:pt idx="689">
                  <c:v>-2.0230000000000001</c:v>
                </c:pt>
                <c:pt idx="690">
                  <c:v>1.0049999999999999</c:v>
                </c:pt>
                <c:pt idx="691">
                  <c:v>-0.27900000000000003</c:v>
                </c:pt>
                <c:pt idx="692">
                  <c:v>-0.51500000000000001</c:v>
                </c:pt>
                <c:pt idx="693">
                  <c:v>-0.70899999999999996</c:v>
                </c:pt>
                <c:pt idx="694">
                  <c:v>-1.6639999999999999</c:v>
                </c:pt>
                <c:pt idx="695">
                  <c:v>-2.4409999999999998</c:v>
                </c:pt>
                <c:pt idx="696">
                  <c:v>0.98699999999999999</c:v>
                </c:pt>
                <c:pt idx="697">
                  <c:v>-0.14599999999999999</c:v>
                </c:pt>
                <c:pt idx="698">
                  <c:v>3.0819999999999999</c:v>
                </c:pt>
                <c:pt idx="699">
                  <c:v>5.2380000000000004</c:v>
                </c:pt>
                <c:pt idx="700">
                  <c:v>-0.86799999999999999</c:v>
                </c:pt>
                <c:pt idx="701">
                  <c:v>-1.54</c:v>
                </c:pt>
                <c:pt idx="702">
                  <c:v>-1.5029999999999999</c:v>
                </c:pt>
                <c:pt idx="703">
                  <c:v>-3.1080000000000001</c:v>
                </c:pt>
                <c:pt idx="704">
                  <c:v>0.27100000000000002</c:v>
                </c:pt>
                <c:pt idx="705">
                  <c:v>2.0529999999999999</c:v>
                </c:pt>
                <c:pt idx="706">
                  <c:v>2.343</c:v>
                </c:pt>
                <c:pt idx="707">
                  <c:v>-2.1520000000000001</c:v>
                </c:pt>
                <c:pt idx="708">
                  <c:v>-4.1100000000000003</c:v>
                </c:pt>
                <c:pt idx="709">
                  <c:v>-1.5740000000000001</c:v>
                </c:pt>
                <c:pt idx="710">
                  <c:v>2.3959999999999999</c:v>
                </c:pt>
                <c:pt idx="711">
                  <c:v>0.97599999999999998</c:v>
                </c:pt>
                <c:pt idx="712">
                  <c:v>-2.036</c:v>
                </c:pt>
                <c:pt idx="713">
                  <c:v>-1.0409999999999999</c:v>
                </c:pt>
                <c:pt idx="714">
                  <c:v>-0.51700000000000002</c:v>
                </c:pt>
                <c:pt idx="715">
                  <c:v>0.3</c:v>
                </c:pt>
                <c:pt idx="716">
                  <c:v>-0.42699999999999999</c:v>
                </c:pt>
                <c:pt idx="717">
                  <c:v>0.57599999999999996</c:v>
                </c:pt>
                <c:pt idx="718">
                  <c:v>-2.2040000000000002</c:v>
                </c:pt>
                <c:pt idx="719">
                  <c:v>-2.7290000000000001</c:v>
                </c:pt>
                <c:pt idx="720">
                  <c:v>-0.755</c:v>
                </c:pt>
                <c:pt idx="721">
                  <c:v>-1.966</c:v>
                </c:pt>
                <c:pt idx="722">
                  <c:v>3.298</c:v>
                </c:pt>
                <c:pt idx="723">
                  <c:v>4.8390000000000004</c:v>
                </c:pt>
                <c:pt idx="724">
                  <c:v>1.893</c:v>
                </c:pt>
                <c:pt idx="725">
                  <c:v>2.2309999999999999</c:v>
                </c:pt>
                <c:pt idx="726">
                  <c:v>-1.649</c:v>
                </c:pt>
                <c:pt idx="727">
                  <c:v>1.536</c:v>
                </c:pt>
                <c:pt idx="728">
                  <c:v>-1.522</c:v>
                </c:pt>
                <c:pt idx="729">
                  <c:v>-1.804</c:v>
                </c:pt>
                <c:pt idx="730">
                  <c:v>6.5000000000000002E-2</c:v>
                </c:pt>
                <c:pt idx="731">
                  <c:v>-1.8180000000000001</c:v>
                </c:pt>
                <c:pt idx="732">
                  <c:v>-2.7290000000000001</c:v>
                </c:pt>
                <c:pt idx="733">
                  <c:v>-0.73399999999999999</c:v>
                </c:pt>
                <c:pt idx="734">
                  <c:v>-3.9990000000000001</c:v>
                </c:pt>
                <c:pt idx="735">
                  <c:v>-1.9259999999999999</c:v>
                </c:pt>
                <c:pt idx="736">
                  <c:v>1.9610000000000001</c:v>
                </c:pt>
                <c:pt idx="737">
                  <c:v>1.2170000000000001</c:v>
                </c:pt>
                <c:pt idx="738">
                  <c:v>-0.376</c:v>
                </c:pt>
                <c:pt idx="739">
                  <c:v>3.532</c:v>
                </c:pt>
                <c:pt idx="740">
                  <c:v>-3.343</c:v>
                </c:pt>
                <c:pt idx="741">
                  <c:v>-1.448</c:v>
                </c:pt>
                <c:pt idx="742">
                  <c:v>-1.778</c:v>
                </c:pt>
                <c:pt idx="743">
                  <c:v>2.2639999999999998</c:v>
                </c:pt>
                <c:pt idx="744">
                  <c:v>4.5190000000000001</c:v>
                </c:pt>
                <c:pt idx="745">
                  <c:v>-6.6000000000000003E-2</c:v>
                </c:pt>
                <c:pt idx="746">
                  <c:v>-2.1659999999999999</c:v>
                </c:pt>
                <c:pt idx="747">
                  <c:v>-1.637</c:v>
                </c:pt>
                <c:pt idx="748">
                  <c:v>0.56999999999999995</c:v>
                </c:pt>
                <c:pt idx="749">
                  <c:v>0.35799999999999998</c:v>
                </c:pt>
                <c:pt idx="750">
                  <c:v>4.3280000000000003</c:v>
                </c:pt>
                <c:pt idx="751">
                  <c:v>2.6379999999999999</c:v>
                </c:pt>
                <c:pt idx="752">
                  <c:v>1.4179999999999999</c:v>
                </c:pt>
                <c:pt idx="753">
                  <c:v>0.57699999999999996</c:v>
                </c:pt>
                <c:pt idx="754">
                  <c:v>-1.474</c:v>
                </c:pt>
                <c:pt idx="755">
                  <c:v>-1.2669999999999999</c:v>
                </c:pt>
                <c:pt idx="756">
                  <c:v>-4.0860000000000003</c:v>
                </c:pt>
                <c:pt idx="757">
                  <c:v>-0.221</c:v>
                </c:pt>
                <c:pt idx="758">
                  <c:v>-1.923</c:v>
                </c:pt>
                <c:pt idx="759">
                  <c:v>-3.4359999999999999</c:v>
                </c:pt>
                <c:pt idx="760">
                  <c:v>-1.234</c:v>
                </c:pt>
                <c:pt idx="761">
                  <c:v>-0.71199999999999997</c:v>
                </c:pt>
                <c:pt idx="762">
                  <c:v>4.141</c:v>
                </c:pt>
                <c:pt idx="763">
                  <c:v>2.0720000000000001</c:v>
                </c:pt>
                <c:pt idx="764">
                  <c:v>2.4889999999999999</c:v>
                </c:pt>
                <c:pt idx="765">
                  <c:v>1.9390000000000001</c:v>
                </c:pt>
                <c:pt idx="766">
                  <c:v>1.274</c:v>
                </c:pt>
                <c:pt idx="767">
                  <c:v>-1.31</c:v>
                </c:pt>
                <c:pt idx="768">
                  <c:v>-0.58399999999999996</c:v>
                </c:pt>
                <c:pt idx="769">
                  <c:v>-0.55300000000000005</c:v>
                </c:pt>
                <c:pt idx="770">
                  <c:v>-0.49</c:v>
                </c:pt>
                <c:pt idx="771">
                  <c:v>-2.0529999999999999</c:v>
                </c:pt>
                <c:pt idx="772">
                  <c:v>-1.266</c:v>
                </c:pt>
                <c:pt idx="773">
                  <c:v>-0.61399999999999999</c:v>
                </c:pt>
                <c:pt idx="774">
                  <c:v>4.9000000000000002E-2</c:v>
                </c:pt>
                <c:pt idx="775">
                  <c:v>0.14099999999999999</c:v>
                </c:pt>
                <c:pt idx="776">
                  <c:v>-6.351</c:v>
                </c:pt>
                <c:pt idx="777">
                  <c:v>-2.3180000000000001</c:v>
                </c:pt>
                <c:pt idx="778">
                  <c:v>-0.18099999999999999</c:v>
                </c:pt>
                <c:pt idx="779">
                  <c:v>-1.234</c:v>
                </c:pt>
                <c:pt idx="780">
                  <c:v>-0.875</c:v>
                </c:pt>
                <c:pt idx="781">
                  <c:v>-1.569</c:v>
                </c:pt>
                <c:pt idx="782">
                  <c:v>-2.0030000000000001</c:v>
                </c:pt>
                <c:pt idx="783">
                  <c:v>0.23899999999999999</c:v>
                </c:pt>
                <c:pt idx="784">
                  <c:v>-1.657</c:v>
                </c:pt>
                <c:pt idx="785">
                  <c:v>2.4E-2</c:v>
                </c:pt>
                <c:pt idx="786">
                  <c:v>3.8820000000000001</c:v>
                </c:pt>
                <c:pt idx="787">
                  <c:v>2.6589999999999998</c:v>
                </c:pt>
                <c:pt idx="788">
                  <c:v>0.60499999999999998</c:v>
                </c:pt>
                <c:pt idx="789">
                  <c:v>-2.7829999999999999</c:v>
                </c:pt>
                <c:pt idx="790">
                  <c:v>-4.2169999999999996</c:v>
                </c:pt>
                <c:pt idx="791">
                  <c:v>3.5000000000000003E-2</c:v>
                </c:pt>
                <c:pt idx="792">
                  <c:v>2.1360000000000001</c:v>
                </c:pt>
                <c:pt idx="793">
                  <c:v>-4.0720000000000001</c:v>
                </c:pt>
                <c:pt idx="794">
                  <c:v>-3.8820000000000001</c:v>
                </c:pt>
                <c:pt idx="795">
                  <c:v>-0.70499999999999996</c:v>
                </c:pt>
                <c:pt idx="796">
                  <c:v>1.786</c:v>
                </c:pt>
                <c:pt idx="797">
                  <c:v>4.069</c:v>
                </c:pt>
                <c:pt idx="798">
                  <c:v>2.2410000000000001</c:v>
                </c:pt>
                <c:pt idx="799">
                  <c:v>2.5960000000000001</c:v>
                </c:pt>
                <c:pt idx="800">
                  <c:v>2.625</c:v>
                </c:pt>
                <c:pt idx="801">
                  <c:v>1.948</c:v>
                </c:pt>
                <c:pt idx="802">
                  <c:v>-0.80400000000000005</c:v>
                </c:pt>
                <c:pt idx="803">
                  <c:v>2.73</c:v>
                </c:pt>
                <c:pt idx="804">
                  <c:v>-0.42599999999999999</c:v>
                </c:pt>
                <c:pt idx="805">
                  <c:v>-4.05</c:v>
                </c:pt>
                <c:pt idx="806">
                  <c:v>3.9E-2</c:v>
                </c:pt>
                <c:pt idx="807">
                  <c:v>1.0680000000000001</c:v>
                </c:pt>
                <c:pt idx="808">
                  <c:v>0.95899999999999996</c:v>
                </c:pt>
                <c:pt idx="809">
                  <c:v>-3.806</c:v>
                </c:pt>
                <c:pt idx="810">
                  <c:v>-2.8130000000000002</c:v>
                </c:pt>
                <c:pt idx="811">
                  <c:v>0.42699999999999999</c:v>
                </c:pt>
                <c:pt idx="812">
                  <c:v>-1.911</c:v>
                </c:pt>
                <c:pt idx="813">
                  <c:v>1.054</c:v>
                </c:pt>
                <c:pt idx="814">
                  <c:v>2.0110000000000001</c:v>
                </c:pt>
                <c:pt idx="815">
                  <c:v>2.3980000000000001</c:v>
                </c:pt>
                <c:pt idx="816">
                  <c:v>-0.9</c:v>
                </c:pt>
                <c:pt idx="817">
                  <c:v>0.12</c:v>
                </c:pt>
                <c:pt idx="818">
                  <c:v>1.234</c:v>
                </c:pt>
                <c:pt idx="819">
                  <c:v>0.57599999999999996</c:v>
                </c:pt>
                <c:pt idx="820">
                  <c:v>-0.373</c:v>
                </c:pt>
                <c:pt idx="821">
                  <c:v>2.5379999999999998</c:v>
                </c:pt>
                <c:pt idx="822">
                  <c:v>0.16700000000000001</c:v>
                </c:pt>
                <c:pt idx="823">
                  <c:v>-0.23499999999999999</c:v>
                </c:pt>
                <c:pt idx="824">
                  <c:v>-3.1320000000000001</c:v>
                </c:pt>
                <c:pt idx="825">
                  <c:v>0.34799999999999998</c:v>
                </c:pt>
                <c:pt idx="826">
                  <c:v>-3.258</c:v>
                </c:pt>
                <c:pt idx="827">
                  <c:v>1.4999999999999999E-2</c:v>
                </c:pt>
                <c:pt idx="828">
                  <c:v>-3.95</c:v>
                </c:pt>
                <c:pt idx="829">
                  <c:v>1.3640000000000001</c:v>
                </c:pt>
                <c:pt idx="830">
                  <c:v>1.2889999999999999</c:v>
                </c:pt>
                <c:pt idx="831">
                  <c:v>1.0529999999999999</c:v>
                </c:pt>
                <c:pt idx="832">
                  <c:v>0.69299999999999995</c:v>
                </c:pt>
                <c:pt idx="833">
                  <c:v>-0.14000000000000001</c:v>
                </c:pt>
                <c:pt idx="834">
                  <c:v>-0.93100000000000005</c:v>
                </c:pt>
                <c:pt idx="835">
                  <c:v>-2.9340000000000002</c:v>
                </c:pt>
                <c:pt idx="836">
                  <c:v>-1.171</c:v>
                </c:pt>
                <c:pt idx="837">
                  <c:v>5.7939999999999996</c:v>
                </c:pt>
                <c:pt idx="838">
                  <c:v>2.637</c:v>
                </c:pt>
                <c:pt idx="839">
                  <c:v>-1.5349999999999999</c:v>
                </c:pt>
                <c:pt idx="840">
                  <c:v>4.6340000000000003</c:v>
                </c:pt>
                <c:pt idx="841">
                  <c:v>-0.26700000000000002</c:v>
                </c:pt>
                <c:pt idx="842">
                  <c:v>-0.74199999999999999</c:v>
                </c:pt>
                <c:pt idx="843">
                  <c:v>-1.8089999999999999</c:v>
                </c:pt>
                <c:pt idx="844">
                  <c:v>0.30099999999999999</c:v>
                </c:pt>
                <c:pt idx="845">
                  <c:v>-2.794</c:v>
                </c:pt>
                <c:pt idx="846">
                  <c:v>-3.8679999999999999</c:v>
                </c:pt>
                <c:pt idx="847">
                  <c:v>2.6829999999999998</c:v>
                </c:pt>
                <c:pt idx="848">
                  <c:v>1.393</c:v>
                </c:pt>
                <c:pt idx="849">
                  <c:v>-0.89900000000000002</c:v>
                </c:pt>
                <c:pt idx="850">
                  <c:v>-4.0000000000000001E-3</c:v>
                </c:pt>
                <c:pt idx="851">
                  <c:v>-1.45</c:v>
                </c:pt>
                <c:pt idx="852">
                  <c:v>-1.8919999999999999</c:v>
                </c:pt>
                <c:pt idx="853">
                  <c:v>2.327</c:v>
                </c:pt>
                <c:pt idx="854">
                  <c:v>1.91</c:v>
                </c:pt>
                <c:pt idx="855">
                  <c:v>0.17699999999999999</c:v>
                </c:pt>
                <c:pt idx="856">
                  <c:v>-0.441</c:v>
                </c:pt>
                <c:pt idx="857">
                  <c:v>0.23100000000000001</c:v>
                </c:pt>
                <c:pt idx="858">
                  <c:v>-6.0999999999999999E-2</c:v>
                </c:pt>
                <c:pt idx="859">
                  <c:v>-5.65</c:v>
                </c:pt>
                <c:pt idx="860">
                  <c:v>-1.504</c:v>
                </c:pt>
                <c:pt idx="861">
                  <c:v>-3.6619999999999999</c:v>
                </c:pt>
                <c:pt idx="862">
                  <c:v>0.7</c:v>
                </c:pt>
                <c:pt idx="863">
                  <c:v>-3.3069999999999999</c:v>
                </c:pt>
                <c:pt idx="864">
                  <c:v>-3.3679999999999999</c:v>
                </c:pt>
                <c:pt idx="865">
                  <c:v>-1.256</c:v>
                </c:pt>
                <c:pt idx="866">
                  <c:v>-4.16</c:v>
                </c:pt>
                <c:pt idx="867">
                  <c:v>-2.5990000000000002</c:v>
                </c:pt>
                <c:pt idx="868">
                  <c:v>-2.5489999999999999</c:v>
                </c:pt>
                <c:pt idx="869">
                  <c:v>0.245</c:v>
                </c:pt>
                <c:pt idx="870">
                  <c:v>0.46899999999999997</c:v>
                </c:pt>
                <c:pt idx="871">
                  <c:v>4.2560000000000002</c:v>
                </c:pt>
                <c:pt idx="872">
                  <c:v>0.995</c:v>
                </c:pt>
                <c:pt idx="873">
                  <c:v>4.8380000000000001</c:v>
                </c:pt>
                <c:pt idx="874">
                  <c:v>1.3120000000000001</c:v>
                </c:pt>
                <c:pt idx="875">
                  <c:v>1.425</c:v>
                </c:pt>
                <c:pt idx="876">
                  <c:v>0.16300000000000001</c:v>
                </c:pt>
                <c:pt idx="877">
                  <c:v>1.5</c:v>
                </c:pt>
                <c:pt idx="878">
                  <c:v>-2.2650000000000001</c:v>
                </c:pt>
                <c:pt idx="879">
                  <c:v>0.22800000000000001</c:v>
                </c:pt>
                <c:pt idx="880">
                  <c:v>0.55600000000000005</c:v>
                </c:pt>
                <c:pt idx="881">
                  <c:v>1.5369999999999999</c:v>
                </c:pt>
                <c:pt idx="882">
                  <c:v>0.90900000000000003</c:v>
                </c:pt>
                <c:pt idx="883">
                  <c:v>-2.6480000000000001</c:v>
                </c:pt>
                <c:pt idx="884">
                  <c:v>-0.20499999999999999</c:v>
                </c:pt>
                <c:pt idx="885">
                  <c:v>0.308</c:v>
                </c:pt>
                <c:pt idx="886">
                  <c:v>0.36399999999999999</c:v>
                </c:pt>
                <c:pt idx="887">
                  <c:v>0.46300000000000002</c:v>
                </c:pt>
                <c:pt idx="888">
                  <c:v>1.8759999999999999</c:v>
                </c:pt>
                <c:pt idx="889">
                  <c:v>1.633</c:v>
                </c:pt>
                <c:pt idx="890">
                  <c:v>-3.4580000000000002</c:v>
                </c:pt>
                <c:pt idx="891">
                  <c:v>-4.12</c:v>
                </c:pt>
                <c:pt idx="892">
                  <c:v>1.5569999999999999</c:v>
                </c:pt>
                <c:pt idx="893">
                  <c:v>-0.9</c:v>
                </c:pt>
                <c:pt idx="894">
                  <c:v>3.173</c:v>
                </c:pt>
                <c:pt idx="895">
                  <c:v>1.8420000000000001</c:v>
                </c:pt>
                <c:pt idx="896">
                  <c:v>0.27300000000000002</c:v>
                </c:pt>
                <c:pt idx="897">
                  <c:v>-0.53200000000000003</c:v>
                </c:pt>
                <c:pt idx="898">
                  <c:v>-2.9420000000000002</c:v>
                </c:pt>
                <c:pt idx="899">
                  <c:v>-1.57</c:v>
                </c:pt>
                <c:pt idx="900">
                  <c:v>-2.6549999999999998</c:v>
                </c:pt>
                <c:pt idx="901">
                  <c:v>-0.13800000000000001</c:v>
                </c:pt>
                <c:pt idx="902">
                  <c:v>0.78900000000000003</c:v>
                </c:pt>
                <c:pt idx="903">
                  <c:v>-0.28499999999999998</c:v>
                </c:pt>
                <c:pt idx="904">
                  <c:v>2.3570000000000002</c:v>
                </c:pt>
                <c:pt idx="905">
                  <c:v>-2.2810000000000001</c:v>
                </c:pt>
                <c:pt idx="906">
                  <c:v>-2.7610000000000001</c:v>
                </c:pt>
                <c:pt idx="907">
                  <c:v>2.5760000000000001</c:v>
                </c:pt>
                <c:pt idx="908">
                  <c:v>-1.6459999999999999</c:v>
                </c:pt>
                <c:pt idx="909">
                  <c:v>2.2919999999999998</c:v>
                </c:pt>
                <c:pt idx="910">
                  <c:v>-0.51800000000000002</c:v>
                </c:pt>
                <c:pt idx="911">
                  <c:v>0.89700000000000002</c:v>
                </c:pt>
                <c:pt idx="912">
                  <c:v>3.0830000000000002</c:v>
                </c:pt>
                <c:pt idx="913">
                  <c:v>-1.0089999999999999</c:v>
                </c:pt>
                <c:pt idx="914">
                  <c:v>-1.01</c:v>
                </c:pt>
                <c:pt idx="915">
                  <c:v>-2.3969999999999998</c:v>
                </c:pt>
                <c:pt idx="916">
                  <c:v>0.40899999999999997</c:v>
                </c:pt>
                <c:pt idx="917">
                  <c:v>-1.569</c:v>
                </c:pt>
                <c:pt idx="918">
                  <c:v>1.105</c:v>
                </c:pt>
                <c:pt idx="919">
                  <c:v>2.1230000000000002</c:v>
                </c:pt>
                <c:pt idx="920">
                  <c:v>-1.3420000000000001</c:v>
                </c:pt>
                <c:pt idx="921">
                  <c:v>-3.98</c:v>
                </c:pt>
                <c:pt idx="922">
                  <c:v>-2.597</c:v>
                </c:pt>
                <c:pt idx="923">
                  <c:v>4.1130000000000004</c:v>
                </c:pt>
                <c:pt idx="924">
                  <c:v>2.2400000000000002</c:v>
                </c:pt>
                <c:pt idx="925">
                  <c:v>2.0059999999999998</c:v>
                </c:pt>
                <c:pt idx="926">
                  <c:v>1.2130000000000001</c:v>
                </c:pt>
                <c:pt idx="927">
                  <c:v>1.544</c:v>
                </c:pt>
                <c:pt idx="928">
                  <c:v>3.3140000000000001</c:v>
                </c:pt>
                <c:pt idx="929">
                  <c:v>-6.444</c:v>
                </c:pt>
                <c:pt idx="930">
                  <c:v>0.63400000000000001</c:v>
                </c:pt>
                <c:pt idx="931">
                  <c:v>0.77</c:v>
                </c:pt>
                <c:pt idx="932">
                  <c:v>0.68799999999999994</c:v>
                </c:pt>
                <c:pt idx="933">
                  <c:v>1.663</c:v>
                </c:pt>
                <c:pt idx="934">
                  <c:v>0.126</c:v>
                </c:pt>
                <c:pt idx="935">
                  <c:v>-0.20899999999999999</c:v>
                </c:pt>
                <c:pt idx="936">
                  <c:v>1.7370000000000001</c:v>
                </c:pt>
                <c:pt idx="937">
                  <c:v>0.74</c:v>
                </c:pt>
                <c:pt idx="938">
                  <c:v>-2.673</c:v>
                </c:pt>
                <c:pt idx="939">
                  <c:v>3.1869999999999998</c:v>
                </c:pt>
                <c:pt idx="940">
                  <c:v>-1.1519999999999999</c:v>
                </c:pt>
                <c:pt idx="941">
                  <c:v>-0.70299999999999996</c:v>
                </c:pt>
                <c:pt idx="942">
                  <c:v>-0.40600000000000003</c:v>
                </c:pt>
                <c:pt idx="943">
                  <c:v>-3.4140000000000001</c:v>
                </c:pt>
                <c:pt idx="944">
                  <c:v>-0.8</c:v>
                </c:pt>
                <c:pt idx="945">
                  <c:v>2.3889999999999998</c:v>
                </c:pt>
                <c:pt idx="946">
                  <c:v>1.6259999999999999</c:v>
                </c:pt>
                <c:pt idx="947">
                  <c:v>-0.10199999999999999</c:v>
                </c:pt>
                <c:pt idx="948">
                  <c:v>1.853</c:v>
                </c:pt>
                <c:pt idx="949">
                  <c:v>2.1320000000000001</c:v>
                </c:pt>
                <c:pt idx="950">
                  <c:v>1.66</c:v>
                </c:pt>
                <c:pt idx="951">
                  <c:v>2.0310000000000001</c:v>
                </c:pt>
                <c:pt idx="952">
                  <c:v>-0.246</c:v>
                </c:pt>
                <c:pt idx="953">
                  <c:v>1.21</c:v>
                </c:pt>
                <c:pt idx="954">
                  <c:v>0.77500000000000002</c:v>
                </c:pt>
                <c:pt idx="955">
                  <c:v>-1.07</c:v>
                </c:pt>
                <c:pt idx="956">
                  <c:v>-3.6520000000000001</c:v>
                </c:pt>
                <c:pt idx="957">
                  <c:v>-4.2869999999999999</c:v>
                </c:pt>
                <c:pt idx="958">
                  <c:v>-2.8860000000000001</c:v>
                </c:pt>
                <c:pt idx="959">
                  <c:v>-2.2770000000000001</c:v>
                </c:pt>
                <c:pt idx="960">
                  <c:v>-4.806</c:v>
                </c:pt>
                <c:pt idx="961">
                  <c:v>0.45200000000000001</c:v>
                </c:pt>
                <c:pt idx="962">
                  <c:v>0.68</c:v>
                </c:pt>
                <c:pt idx="963">
                  <c:v>-0.41699999999999998</c:v>
                </c:pt>
                <c:pt idx="964">
                  <c:v>0.23100000000000001</c:v>
                </c:pt>
                <c:pt idx="965">
                  <c:v>-0.36299999999999999</c:v>
                </c:pt>
                <c:pt idx="966">
                  <c:v>0.16400000000000001</c:v>
                </c:pt>
                <c:pt idx="967">
                  <c:v>-2.6</c:v>
                </c:pt>
                <c:pt idx="968">
                  <c:v>-2.0089999999999999</c:v>
                </c:pt>
                <c:pt idx="969">
                  <c:v>2.0510000000000002</c:v>
                </c:pt>
                <c:pt idx="970">
                  <c:v>-0.64500000000000002</c:v>
                </c:pt>
                <c:pt idx="971">
                  <c:v>-2.7090000000000001</c:v>
                </c:pt>
                <c:pt idx="972">
                  <c:v>2.722</c:v>
                </c:pt>
                <c:pt idx="973">
                  <c:v>0.67400000000000004</c:v>
                </c:pt>
                <c:pt idx="974">
                  <c:v>1</c:v>
                </c:pt>
                <c:pt idx="975">
                  <c:v>-4.2050000000000001</c:v>
                </c:pt>
                <c:pt idx="976">
                  <c:v>-1.194</c:v>
                </c:pt>
                <c:pt idx="977">
                  <c:v>2.883</c:v>
                </c:pt>
                <c:pt idx="978">
                  <c:v>-0.34200000000000003</c:v>
                </c:pt>
                <c:pt idx="979">
                  <c:v>3.3959999999999999</c:v>
                </c:pt>
                <c:pt idx="980">
                  <c:v>1.069</c:v>
                </c:pt>
                <c:pt idx="981">
                  <c:v>0.23</c:v>
                </c:pt>
                <c:pt idx="982">
                  <c:v>-2.4350000000000001</c:v>
                </c:pt>
                <c:pt idx="983">
                  <c:v>3.1179999999999999</c:v>
                </c:pt>
                <c:pt idx="984">
                  <c:v>-1.617</c:v>
                </c:pt>
                <c:pt idx="985">
                  <c:v>1.4930000000000001</c:v>
                </c:pt>
                <c:pt idx="986">
                  <c:v>1.52</c:v>
                </c:pt>
                <c:pt idx="987">
                  <c:v>1.635</c:v>
                </c:pt>
                <c:pt idx="988">
                  <c:v>-2.0619999999999998</c:v>
                </c:pt>
                <c:pt idx="989">
                  <c:v>1.482</c:v>
                </c:pt>
                <c:pt idx="990">
                  <c:v>0.29599999999999999</c:v>
                </c:pt>
                <c:pt idx="991">
                  <c:v>3.7709999999999999</c:v>
                </c:pt>
                <c:pt idx="992">
                  <c:v>-1.306</c:v>
                </c:pt>
                <c:pt idx="993">
                  <c:v>1.665</c:v>
                </c:pt>
                <c:pt idx="994">
                  <c:v>0.94299999999999995</c:v>
                </c:pt>
                <c:pt idx="995">
                  <c:v>1.645</c:v>
                </c:pt>
                <c:pt idx="996">
                  <c:v>4.569</c:v>
                </c:pt>
                <c:pt idx="997">
                  <c:v>2.2229999999999999</c:v>
                </c:pt>
                <c:pt idx="998">
                  <c:v>1.3049999999999999</c:v>
                </c:pt>
                <c:pt idx="999">
                  <c:v>3.18</c:v>
                </c:pt>
                <c:pt idx="1000">
                  <c:v>-1.619</c:v>
                </c:pt>
                <c:pt idx="1001">
                  <c:v>3.5409999999999999</c:v>
                </c:pt>
                <c:pt idx="1002">
                  <c:v>-2.3820000000000001</c:v>
                </c:pt>
                <c:pt idx="1003">
                  <c:v>-0.247</c:v>
                </c:pt>
                <c:pt idx="1004">
                  <c:v>-1.472</c:v>
                </c:pt>
                <c:pt idx="1005">
                  <c:v>1.2929999999999999</c:v>
                </c:pt>
                <c:pt idx="1006">
                  <c:v>1.327</c:v>
                </c:pt>
                <c:pt idx="1007">
                  <c:v>-0.72599999999999998</c:v>
                </c:pt>
              </c:numCache>
            </c:numRef>
          </c:yVal>
        </c:ser>
        <c:axId val="47240320"/>
        <c:axId val="47242240"/>
      </c:scatterChart>
      <c:valAx>
        <c:axId val="47240320"/>
        <c:scaling>
          <c:orientation val="minMax"/>
          <c:max val="2003"/>
          <c:min val="998"/>
        </c:scaling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Year</a:t>
                </a:r>
              </a:p>
            </c:rich>
          </c:tx>
        </c:title>
        <c:numFmt formatCode="General" sourceLinked="1"/>
        <c:tickLblPos val="low"/>
        <c:crossAx val="47242240"/>
        <c:crosses val="autoZero"/>
        <c:crossBetween val="midCat"/>
      </c:valAx>
      <c:valAx>
        <c:axId val="47242240"/>
        <c:scaling>
          <c:orientation val="minMax"/>
        </c:scaling>
        <c:axPos val="l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Palmer Drought Index </a:t>
                </a:r>
              </a:p>
            </c:rich>
          </c:tx>
        </c:title>
        <c:numFmt formatCode="General" sourceLinked="1"/>
        <c:tickLblPos val="nextTo"/>
        <c:crossAx val="47240320"/>
        <c:crosses val="autoZero"/>
        <c:crossBetween val="midCat"/>
      </c:valAx>
    </c:plotArea>
    <c:plotVisOnly val="1"/>
  </c:chart>
  <c:spPr>
    <a:ln>
      <a:noFill/>
    </a:ln>
  </c:spPr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autoTitleDeleted val="1"/>
    <c:plotArea>
      <c:layout/>
      <c:scatterChart>
        <c:scatterStyle val="smoothMarker"/>
        <c:ser>
          <c:idx val="0"/>
          <c:order val="0"/>
          <c:marker>
            <c:symbol val="none"/>
          </c:marker>
          <c:xVal>
            <c:numRef>
              <c:f>'net evap'!$A$947:$A$1010</c:f>
              <c:numCache>
                <c:formatCode>General</c:formatCode>
                <c:ptCount val="64"/>
                <c:pt idx="0">
                  <c:v>1940</c:v>
                </c:pt>
                <c:pt idx="1">
                  <c:v>1941</c:v>
                </c:pt>
                <c:pt idx="2">
                  <c:v>1942</c:v>
                </c:pt>
                <c:pt idx="3">
                  <c:v>1943</c:v>
                </c:pt>
                <c:pt idx="4">
                  <c:v>1944</c:v>
                </c:pt>
                <c:pt idx="5">
                  <c:v>1945</c:v>
                </c:pt>
                <c:pt idx="6">
                  <c:v>1946</c:v>
                </c:pt>
                <c:pt idx="7">
                  <c:v>1947</c:v>
                </c:pt>
                <c:pt idx="8">
                  <c:v>1948</c:v>
                </c:pt>
                <c:pt idx="9">
                  <c:v>1949</c:v>
                </c:pt>
                <c:pt idx="10">
                  <c:v>1950</c:v>
                </c:pt>
                <c:pt idx="11">
                  <c:v>1951</c:v>
                </c:pt>
                <c:pt idx="12">
                  <c:v>1952</c:v>
                </c:pt>
                <c:pt idx="13">
                  <c:v>1953</c:v>
                </c:pt>
                <c:pt idx="14">
                  <c:v>1954</c:v>
                </c:pt>
                <c:pt idx="15">
                  <c:v>1955</c:v>
                </c:pt>
                <c:pt idx="16">
                  <c:v>1956</c:v>
                </c:pt>
                <c:pt idx="17">
                  <c:v>1957</c:v>
                </c:pt>
                <c:pt idx="18">
                  <c:v>1958</c:v>
                </c:pt>
                <c:pt idx="19">
                  <c:v>1959</c:v>
                </c:pt>
                <c:pt idx="20">
                  <c:v>1960</c:v>
                </c:pt>
                <c:pt idx="21">
                  <c:v>1961</c:v>
                </c:pt>
                <c:pt idx="22">
                  <c:v>1962</c:v>
                </c:pt>
                <c:pt idx="23">
                  <c:v>1963</c:v>
                </c:pt>
                <c:pt idx="24">
                  <c:v>1964</c:v>
                </c:pt>
                <c:pt idx="25">
                  <c:v>1965</c:v>
                </c:pt>
                <c:pt idx="26">
                  <c:v>1966</c:v>
                </c:pt>
                <c:pt idx="27">
                  <c:v>1967</c:v>
                </c:pt>
                <c:pt idx="28">
                  <c:v>1968</c:v>
                </c:pt>
                <c:pt idx="29">
                  <c:v>1969</c:v>
                </c:pt>
                <c:pt idx="30">
                  <c:v>1970</c:v>
                </c:pt>
                <c:pt idx="31">
                  <c:v>1971</c:v>
                </c:pt>
                <c:pt idx="32">
                  <c:v>1972</c:v>
                </c:pt>
                <c:pt idx="33">
                  <c:v>1973</c:v>
                </c:pt>
                <c:pt idx="34">
                  <c:v>1974</c:v>
                </c:pt>
                <c:pt idx="35">
                  <c:v>1975</c:v>
                </c:pt>
                <c:pt idx="36">
                  <c:v>1976</c:v>
                </c:pt>
                <c:pt idx="37">
                  <c:v>1977</c:v>
                </c:pt>
                <c:pt idx="38">
                  <c:v>1978</c:v>
                </c:pt>
                <c:pt idx="39">
                  <c:v>1979</c:v>
                </c:pt>
                <c:pt idx="40">
                  <c:v>1980</c:v>
                </c:pt>
                <c:pt idx="41">
                  <c:v>1981</c:v>
                </c:pt>
                <c:pt idx="42">
                  <c:v>1982</c:v>
                </c:pt>
                <c:pt idx="43">
                  <c:v>1983</c:v>
                </c:pt>
                <c:pt idx="44">
                  <c:v>1984</c:v>
                </c:pt>
                <c:pt idx="45">
                  <c:v>1985</c:v>
                </c:pt>
                <c:pt idx="46">
                  <c:v>1986</c:v>
                </c:pt>
                <c:pt idx="47">
                  <c:v>1987</c:v>
                </c:pt>
                <c:pt idx="48">
                  <c:v>1988</c:v>
                </c:pt>
                <c:pt idx="49">
                  <c:v>1989</c:v>
                </c:pt>
                <c:pt idx="50">
                  <c:v>1990</c:v>
                </c:pt>
                <c:pt idx="51">
                  <c:v>1991</c:v>
                </c:pt>
                <c:pt idx="52">
                  <c:v>1992</c:v>
                </c:pt>
                <c:pt idx="53">
                  <c:v>1993</c:v>
                </c:pt>
                <c:pt idx="54">
                  <c:v>1994</c:v>
                </c:pt>
                <c:pt idx="55">
                  <c:v>1995</c:v>
                </c:pt>
                <c:pt idx="56">
                  <c:v>1996</c:v>
                </c:pt>
                <c:pt idx="57">
                  <c:v>1997</c:v>
                </c:pt>
                <c:pt idx="58">
                  <c:v>1998</c:v>
                </c:pt>
                <c:pt idx="59">
                  <c:v>1999</c:v>
                </c:pt>
                <c:pt idx="60">
                  <c:v>2000</c:v>
                </c:pt>
                <c:pt idx="61">
                  <c:v>2001</c:v>
                </c:pt>
                <c:pt idx="62">
                  <c:v>2002</c:v>
                </c:pt>
                <c:pt idx="63">
                  <c:v>2003</c:v>
                </c:pt>
              </c:numCache>
            </c:numRef>
          </c:xVal>
          <c:yVal>
            <c:numRef>
              <c:f>'net evap'!$D$947:$D$1010</c:f>
              <c:numCache>
                <c:formatCode>General</c:formatCode>
                <c:ptCount val="64"/>
                <c:pt idx="0">
                  <c:v>-0.8</c:v>
                </c:pt>
                <c:pt idx="1">
                  <c:v>2.3889999999999998</c:v>
                </c:pt>
                <c:pt idx="2">
                  <c:v>1.6259999999999999</c:v>
                </c:pt>
                <c:pt idx="3">
                  <c:v>-0.10199999999999999</c:v>
                </c:pt>
                <c:pt idx="4">
                  <c:v>1.853</c:v>
                </c:pt>
                <c:pt idx="5">
                  <c:v>2.1320000000000001</c:v>
                </c:pt>
                <c:pt idx="6">
                  <c:v>1.66</c:v>
                </c:pt>
                <c:pt idx="7">
                  <c:v>2.0310000000000001</c:v>
                </c:pt>
                <c:pt idx="8">
                  <c:v>-0.246</c:v>
                </c:pt>
                <c:pt idx="9">
                  <c:v>1.21</c:v>
                </c:pt>
                <c:pt idx="10">
                  <c:v>0.77500000000000002</c:v>
                </c:pt>
                <c:pt idx="11">
                  <c:v>-1.07</c:v>
                </c:pt>
                <c:pt idx="12">
                  <c:v>-3.6520000000000001</c:v>
                </c:pt>
                <c:pt idx="13">
                  <c:v>-4.2869999999999999</c:v>
                </c:pt>
                <c:pt idx="14">
                  <c:v>-2.8860000000000001</c:v>
                </c:pt>
                <c:pt idx="15">
                  <c:v>-2.2770000000000001</c:v>
                </c:pt>
                <c:pt idx="16">
                  <c:v>-4.806</c:v>
                </c:pt>
                <c:pt idx="17">
                  <c:v>0.45200000000000001</c:v>
                </c:pt>
                <c:pt idx="18">
                  <c:v>0.68</c:v>
                </c:pt>
                <c:pt idx="19">
                  <c:v>-0.41699999999999998</c:v>
                </c:pt>
                <c:pt idx="20">
                  <c:v>0.23100000000000001</c:v>
                </c:pt>
                <c:pt idx="21">
                  <c:v>-0.36299999999999999</c:v>
                </c:pt>
                <c:pt idx="22">
                  <c:v>0.16400000000000001</c:v>
                </c:pt>
                <c:pt idx="23">
                  <c:v>-2.6</c:v>
                </c:pt>
                <c:pt idx="24">
                  <c:v>-2.0089999999999999</c:v>
                </c:pt>
                <c:pt idx="25">
                  <c:v>2.0510000000000002</c:v>
                </c:pt>
                <c:pt idx="26">
                  <c:v>-0.64500000000000002</c:v>
                </c:pt>
                <c:pt idx="27">
                  <c:v>-2.7090000000000001</c:v>
                </c:pt>
                <c:pt idx="28">
                  <c:v>2.722</c:v>
                </c:pt>
                <c:pt idx="29">
                  <c:v>0.67400000000000004</c:v>
                </c:pt>
                <c:pt idx="30">
                  <c:v>1</c:v>
                </c:pt>
                <c:pt idx="31">
                  <c:v>-4.2050000000000001</c:v>
                </c:pt>
                <c:pt idx="32">
                  <c:v>-1.194</c:v>
                </c:pt>
                <c:pt idx="33">
                  <c:v>2.883</c:v>
                </c:pt>
                <c:pt idx="34">
                  <c:v>-0.34200000000000003</c:v>
                </c:pt>
                <c:pt idx="35">
                  <c:v>3.3959999999999999</c:v>
                </c:pt>
                <c:pt idx="36">
                  <c:v>1.069</c:v>
                </c:pt>
                <c:pt idx="37">
                  <c:v>0.23</c:v>
                </c:pt>
                <c:pt idx="38">
                  <c:v>-2.4350000000000001</c:v>
                </c:pt>
                <c:pt idx="39">
                  <c:v>3.1179999999999999</c:v>
                </c:pt>
                <c:pt idx="40">
                  <c:v>-1.617</c:v>
                </c:pt>
                <c:pt idx="41">
                  <c:v>1.4930000000000001</c:v>
                </c:pt>
                <c:pt idx="42">
                  <c:v>1.52</c:v>
                </c:pt>
                <c:pt idx="43">
                  <c:v>1.635</c:v>
                </c:pt>
                <c:pt idx="44">
                  <c:v>-2.0619999999999998</c:v>
                </c:pt>
                <c:pt idx="45">
                  <c:v>1.482</c:v>
                </c:pt>
                <c:pt idx="46">
                  <c:v>0.29599999999999999</c:v>
                </c:pt>
                <c:pt idx="47">
                  <c:v>3.7709999999999999</c:v>
                </c:pt>
                <c:pt idx="48">
                  <c:v>-1.306</c:v>
                </c:pt>
                <c:pt idx="49">
                  <c:v>1.665</c:v>
                </c:pt>
                <c:pt idx="50">
                  <c:v>0.94299999999999995</c:v>
                </c:pt>
                <c:pt idx="51">
                  <c:v>1.645</c:v>
                </c:pt>
                <c:pt idx="52">
                  <c:v>4.569</c:v>
                </c:pt>
                <c:pt idx="53">
                  <c:v>2.2229999999999999</c:v>
                </c:pt>
                <c:pt idx="54">
                  <c:v>1.3049999999999999</c:v>
                </c:pt>
                <c:pt idx="55">
                  <c:v>3.18</c:v>
                </c:pt>
                <c:pt idx="56">
                  <c:v>-1.619</c:v>
                </c:pt>
                <c:pt idx="57">
                  <c:v>3.5409999999999999</c:v>
                </c:pt>
                <c:pt idx="58">
                  <c:v>-2.3820000000000001</c:v>
                </c:pt>
                <c:pt idx="59">
                  <c:v>-0.247</c:v>
                </c:pt>
                <c:pt idx="60">
                  <c:v>-1.472</c:v>
                </c:pt>
                <c:pt idx="61">
                  <c:v>1.2929999999999999</c:v>
                </c:pt>
                <c:pt idx="62">
                  <c:v>1.327</c:v>
                </c:pt>
                <c:pt idx="63">
                  <c:v>-0.72599999999999998</c:v>
                </c:pt>
              </c:numCache>
            </c:numRef>
          </c:yVal>
          <c:smooth val="1"/>
        </c:ser>
        <c:axId val="95468160"/>
        <c:axId val="95109888"/>
      </c:scatterChart>
      <c:valAx>
        <c:axId val="95468160"/>
        <c:scaling>
          <c:orientation val="minMax"/>
          <c:max val="2003"/>
          <c:min val="1940"/>
        </c:scaling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Year</a:t>
                </a:r>
              </a:p>
            </c:rich>
          </c:tx>
        </c:title>
        <c:numFmt formatCode="General" sourceLinked="1"/>
        <c:tickLblPos val="low"/>
        <c:crossAx val="95109888"/>
        <c:crosses val="autoZero"/>
        <c:crossBetween val="midCat"/>
      </c:valAx>
      <c:valAx>
        <c:axId val="95109888"/>
        <c:scaling>
          <c:orientation val="minMax"/>
        </c:scaling>
        <c:axPos val="l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Palmer Drought Index </a:t>
                </a:r>
              </a:p>
            </c:rich>
          </c:tx>
        </c:title>
        <c:numFmt formatCode="General" sourceLinked="1"/>
        <c:tickLblPos val="nextTo"/>
        <c:crossAx val="95468160"/>
        <c:crosses val="autoZero"/>
        <c:crossBetween val="midCat"/>
      </c:valAx>
    </c:plotArea>
    <c:plotVisOnly val="1"/>
  </c:chart>
  <c:spPr>
    <a:ln>
      <a:noFill/>
    </a:ln>
  </c:spPr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autoTitleDeleted val="1"/>
    <c:plotArea>
      <c:layout/>
      <c:scatterChart>
        <c:scatterStyle val="smoothMarker"/>
        <c:ser>
          <c:idx val="0"/>
          <c:order val="0"/>
          <c:marker>
            <c:symbol val="none"/>
          </c:marker>
          <c:xVal>
            <c:numRef>
              <c:f>'net evap'!$A$947:$A$1010</c:f>
              <c:numCache>
                <c:formatCode>General</c:formatCode>
                <c:ptCount val="64"/>
                <c:pt idx="0">
                  <c:v>1940</c:v>
                </c:pt>
                <c:pt idx="1">
                  <c:v>1941</c:v>
                </c:pt>
                <c:pt idx="2">
                  <c:v>1942</c:v>
                </c:pt>
                <c:pt idx="3">
                  <c:v>1943</c:v>
                </c:pt>
                <c:pt idx="4">
                  <c:v>1944</c:v>
                </c:pt>
                <c:pt idx="5">
                  <c:v>1945</c:v>
                </c:pt>
                <c:pt idx="6">
                  <c:v>1946</c:v>
                </c:pt>
                <c:pt idx="7">
                  <c:v>1947</c:v>
                </c:pt>
                <c:pt idx="8">
                  <c:v>1948</c:v>
                </c:pt>
                <c:pt idx="9">
                  <c:v>1949</c:v>
                </c:pt>
                <c:pt idx="10">
                  <c:v>1950</c:v>
                </c:pt>
                <c:pt idx="11">
                  <c:v>1951</c:v>
                </c:pt>
                <c:pt idx="12">
                  <c:v>1952</c:v>
                </c:pt>
                <c:pt idx="13">
                  <c:v>1953</c:v>
                </c:pt>
                <c:pt idx="14">
                  <c:v>1954</c:v>
                </c:pt>
                <c:pt idx="15">
                  <c:v>1955</c:v>
                </c:pt>
                <c:pt idx="16">
                  <c:v>1956</c:v>
                </c:pt>
                <c:pt idx="17">
                  <c:v>1957</c:v>
                </c:pt>
                <c:pt idx="18">
                  <c:v>1958</c:v>
                </c:pt>
                <c:pt idx="19">
                  <c:v>1959</c:v>
                </c:pt>
                <c:pt idx="20">
                  <c:v>1960</c:v>
                </c:pt>
                <c:pt idx="21">
                  <c:v>1961</c:v>
                </c:pt>
                <c:pt idx="22">
                  <c:v>1962</c:v>
                </c:pt>
                <c:pt idx="23">
                  <c:v>1963</c:v>
                </c:pt>
                <c:pt idx="24">
                  <c:v>1964</c:v>
                </c:pt>
                <c:pt idx="25">
                  <c:v>1965</c:v>
                </c:pt>
                <c:pt idx="26">
                  <c:v>1966</c:v>
                </c:pt>
                <c:pt idx="27">
                  <c:v>1967</c:v>
                </c:pt>
                <c:pt idx="28">
                  <c:v>1968</c:v>
                </c:pt>
                <c:pt idx="29">
                  <c:v>1969</c:v>
                </c:pt>
                <c:pt idx="30">
                  <c:v>1970</c:v>
                </c:pt>
                <c:pt idx="31">
                  <c:v>1971</c:v>
                </c:pt>
                <c:pt idx="32">
                  <c:v>1972</c:v>
                </c:pt>
                <c:pt idx="33">
                  <c:v>1973</c:v>
                </c:pt>
                <c:pt idx="34">
                  <c:v>1974</c:v>
                </c:pt>
                <c:pt idx="35">
                  <c:v>1975</c:v>
                </c:pt>
                <c:pt idx="36">
                  <c:v>1976</c:v>
                </c:pt>
                <c:pt idx="37">
                  <c:v>1977</c:v>
                </c:pt>
                <c:pt idx="38">
                  <c:v>1978</c:v>
                </c:pt>
                <c:pt idx="39">
                  <c:v>1979</c:v>
                </c:pt>
                <c:pt idx="40">
                  <c:v>1980</c:v>
                </c:pt>
                <c:pt idx="41">
                  <c:v>1981</c:v>
                </c:pt>
                <c:pt idx="42">
                  <c:v>1982</c:v>
                </c:pt>
                <c:pt idx="43">
                  <c:v>1983</c:v>
                </c:pt>
                <c:pt idx="44">
                  <c:v>1984</c:v>
                </c:pt>
                <c:pt idx="45">
                  <c:v>1985</c:v>
                </c:pt>
                <c:pt idx="46">
                  <c:v>1986</c:v>
                </c:pt>
                <c:pt idx="47">
                  <c:v>1987</c:v>
                </c:pt>
                <c:pt idx="48">
                  <c:v>1988</c:v>
                </c:pt>
                <c:pt idx="49">
                  <c:v>1989</c:v>
                </c:pt>
                <c:pt idx="50">
                  <c:v>1990</c:v>
                </c:pt>
                <c:pt idx="51">
                  <c:v>1991</c:v>
                </c:pt>
                <c:pt idx="52">
                  <c:v>1992</c:v>
                </c:pt>
                <c:pt idx="53">
                  <c:v>1993</c:v>
                </c:pt>
                <c:pt idx="54">
                  <c:v>1994</c:v>
                </c:pt>
                <c:pt idx="55">
                  <c:v>1995</c:v>
                </c:pt>
                <c:pt idx="56">
                  <c:v>1996</c:v>
                </c:pt>
                <c:pt idx="57">
                  <c:v>1997</c:v>
                </c:pt>
                <c:pt idx="58">
                  <c:v>1998</c:v>
                </c:pt>
                <c:pt idx="59">
                  <c:v>1999</c:v>
                </c:pt>
                <c:pt idx="60">
                  <c:v>2000</c:v>
                </c:pt>
                <c:pt idx="61">
                  <c:v>2001</c:v>
                </c:pt>
                <c:pt idx="62">
                  <c:v>2002</c:v>
                </c:pt>
                <c:pt idx="63">
                  <c:v>2003</c:v>
                </c:pt>
              </c:numCache>
            </c:numRef>
          </c:xVal>
          <c:yVal>
            <c:numRef>
              <c:f>'net evap'!$D$947:$D$1010</c:f>
              <c:numCache>
                <c:formatCode>General</c:formatCode>
                <c:ptCount val="64"/>
                <c:pt idx="0">
                  <c:v>-0.8</c:v>
                </c:pt>
                <c:pt idx="1">
                  <c:v>2.3889999999999998</c:v>
                </c:pt>
                <c:pt idx="2">
                  <c:v>1.6259999999999999</c:v>
                </c:pt>
                <c:pt idx="3">
                  <c:v>-0.10199999999999999</c:v>
                </c:pt>
                <c:pt idx="4">
                  <c:v>1.853</c:v>
                </c:pt>
                <c:pt idx="5">
                  <c:v>2.1320000000000001</c:v>
                </c:pt>
                <c:pt idx="6">
                  <c:v>1.66</c:v>
                </c:pt>
                <c:pt idx="7">
                  <c:v>2.0310000000000001</c:v>
                </c:pt>
                <c:pt idx="8">
                  <c:v>-0.246</c:v>
                </c:pt>
                <c:pt idx="9">
                  <c:v>1.21</c:v>
                </c:pt>
                <c:pt idx="10">
                  <c:v>0.77500000000000002</c:v>
                </c:pt>
                <c:pt idx="11">
                  <c:v>-1.07</c:v>
                </c:pt>
                <c:pt idx="12">
                  <c:v>-3.6520000000000001</c:v>
                </c:pt>
                <c:pt idx="13">
                  <c:v>-4.2869999999999999</c:v>
                </c:pt>
                <c:pt idx="14">
                  <c:v>-2.8860000000000001</c:v>
                </c:pt>
                <c:pt idx="15">
                  <c:v>-2.2770000000000001</c:v>
                </c:pt>
                <c:pt idx="16">
                  <c:v>-4.806</c:v>
                </c:pt>
                <c:pt idx="17">
                  <c:v>0.45200000000000001</c:v>
                </c:pt>
                <c:pt idx="18">
                  <c:v>0.68</c:v>
                </c:pt>
                <c:pt idx="19">
                  <c:v>-0.41699999999999998</c:v>
                </c:pt>
                <c:pt idx="20">
                  <c:v>0.23100000000000001</c:v>
                </c:pt>
                <c:pt idx="21">
                  <c:v>-0.36299999999999999</c:v>
                </c:pt>
                <c:pt idx="22">
                  <c:v>0.16400000000000001</c:v>
                </c:pt>
                <c:pt idx="23">
                  <c:v>-2.6</c:v>
                </c:pt>
                <c:pt idx="24">
                  <c:v>-2.0089999999999999</c:v>
                </c:pt>
                <c:pt idx="25">
                  <c:v>2.0510000000000002</c:v>
                </c:pt>
                <c:pt idx="26">
                  <c:v>-0.64500000000000002</c:v>
                </c:pt>
                <c:pt idx="27">
                  <c:v>-2.7090000000000001</c:v>
                </c:pt>
                <c:pt idx="28">
                  <c:v>2.722</c:v>
                </c:pt>
                <c:pt idx="29">
                  <c:v>0.67400000000000004</c:v>
                </c:pt>
                <c:pt idx="30">
                  <c:v>1</c:v>
                </c:pt>
                <c:pt idx="31">
                  <c:v>-4.2050000000000001</c:v>
                </c:pt>
                <c:pt idx="32">
                  <c:v>-1.194</c:v>
                </c:pt>
                <c:pt idx="33">
                  <c:v>2.883</c:v>
                </c:pt>
                <c:pt idx="34">
                  <c:v>-0.34200000000000003</c:v>
                </c:pt>
                <c:pt idx="35">
                  <c:v>3.3959999999999999</c:v>
                </c:pt>
                <c:pt idx="36">
                  <c:v>1.069</c:v>
                </c:pt>
                <c:pt idx="37">
                  <c:v>0.23</c:v>
                </c:pt>
                <c:pt idx="38">
                  <c:v>-2.4350000000000001</c:v>
                </c:pt>
                <c:pt idx="39">
                  <c:v>3.1179999999999999</c:v>
                </c:pt>
                <c:pt idx="40">
                  <c:v>-1.617</c:v>
                </c:pt>
                <c:pt idx="41">
                  <c:v>1.4930000000000001</c:v>
                </c:pt>
                <c:pt idx="42">
                  <c:v>1.52</c:v>
                </c:pt>
                <c:pt idx="43">
                  <c:v>1.635</c:v>
                </c:pt>
                <c:pt idx="44">
                  <c:v>-2.0619999999999998</c:v>
                </c:pt>
                <c:pt idx="45">
                  <c:v>1.482</c:v>
                </c:pt>
                <c:pt idx="46">
                  <c:v>0.29599999999999999</c:v>
                </c:pt>
                <c:pt idx="47">
                  <c:v>3.7709999999999999</c:v>
                </c:pt>
                <c:pt idx="48">
                  <c:v>-1.306</c:v>
                </c:pt>
                <c:pt idx="49">
                  <c:v>1.665</c:v>
                </c:pt>
                <c:pt idx="50">
                  <c:v>0.94299999999999995</c:v>
                </c:pt>
                <c:pt idx="51">
                  <c:v>1.645</c:v>
                </c:pt>
                <c:pt idx="52">
                  <c:v>4.569</c:v>
                </c:pt>
                <c:pt idx="53">
                  <c:v>2.2229999999999999</c:v>
                </c:pt>
                <c:pt idx="54">
                  <c:v>1.3049999999999999</c:v>
                </c:pt>
                <c:pt idx="55">
                  <c:v>3.18</c:v>
                </c:pt>
                <c:pt idx="56">
                  <c:v>-1.619</c:v>
                </c:pt>
                <c:pt idx="57">
                  <c:v>3.5409999999999999</c:v>
                </c:pt>
                <c:pt idx="58">
                  <c:v>-2.3820000000000001</c:v>
                </c:pt>
                <c:pt idx="59">
                  <c:v>-0.247</c:v>
                </c:pt>
                <c:pt idx="60">
                  <c:v>-1.472</c:v>
                </c:pt>
                <c:pt idx="61">
                  <c:v>1.2929999999999999</c:v>
                </c:pt>
                <c:pt idx="62">
                  <c:v>1.327</c:v>
                </c:pt>
                <c:pt idx="63">
                  <c:v>-0.72599999999999998</c:v>
                </c:pt>
              </c:numCache>
            </c:numRef>
          </c:yVal>
          <c:smooth val="1"/>
        </c:ser>
        <c:axId val="47397504"/>
        <c:axId val="47399680"/>
      </c:scatterChart>
      <c:scatterChart>
        <c:scatterStyle val="smoothMarker"/>
        <c:ser>
          <c:idx val="1"/>
          <c:order val="1"/>
          <c:marker>
            <c:symbol val="none"/>
          </c:marker>
          <c:xVal>
            <c:numRef>
              <c:f>'net evap'!$S$961:$S$1003</c:f>
              <c:numCache>
                <c:formatCode>General</c:formatCode>
                <c:ptCount val="43"/>
                <c:pt idx="0">
                  <c:v>1954</c:v>
                </c:pt>
                <c:pt idx="1">
                  <c:v>1955</c:v>
                </c:pt>
                <c:pt idx="2">
                  <c:v>1956</c:v>
                </c:pt>
                <c:pt idx="3">
                  <c:v>1957</c:v>
                </c:pt>
                <c:pt idx="4">
                  <c:v>1958</c:v>
                </c:pt>
                <c:pt idx="5">
                  <c:v>1959</c:v>
                </c:pt>
                <c:pt idx="6">
                  <c:v>1960</c:v>
                </c:pt>
                <c:pt idx="7">
                  <c:v>1961</c:v>
                </c:pt>
                <c:pt idx="8">
                  <c:v>1962</c:v>
                </c:pt>
                <c:pt idx="9">
                  <c:v>1963</c:v>
                </c:pt>
                <c:pt idx="10">
                  <c:v>1964</c:v>
                </c:pt>
                <c:pt idx="11">
                  <c:v>1965</c:v>
                </c:pt>
                <c:pt idx="12">
                  <c:v>1966</c:v>
                </c:pt>
                <c:pt idx="13">
                  <c:v>1967</c:v>
                </c:pt>
                <c:pt idx="14">
                  <c:v>1968</c:v>
                </c:pt>
                <c:pt idx="15">
                  <c:v>1969</c:v>
                </c:pt>
                <c:pt idx="16">
                  <c:v>1970</c:v>
                </c:pt>
                <c:pt idx="17">
                  <c:v>1971</c:v>
                </c:pt>
                <c:pt idx="18">
                  <c:v>1972</c:v>
                </c:pt>
                <c:pt idx="19">
                  <c:v>1973</c:v>
                </c:pt>
                <c:pt idx="20">
                  <c:v>1974</c:v>
                </c:pt>
                <c:pt idx="21">
                  <c:v>1975</c:v>
                </c:pt>
                <c:pt idx="22">
                  <c:v>1976</c:v>
                </c:pt>
                <c:pt idx="23">
                  <c:v>1977</c:v>
                </c:pt>
                <c:pt idx="24">
                  <c:v>1978</c:v>
                </c:pt>
                <c:pt idx="25">
                  <c:v>1979</c:v>
                </c:pt>
                <c:pt idx="26">
                  <c:v>1980</c:v>
                </c:pt>
                <c:pt idx="27">
                  <c:v>1981</c:v>
                </c:pt>
                <c:pt idx="28">
                  <c:v>1982</c:v>
                </c:pt>
                <c:pt idx="29">
                  <c:v>1983</c:v>
                </c:pt>
                <c:pt idx="30">
                  <c:v>1984</c:v>
                </c:pt>
                <c:pt idx="31">
                  <c:v>1985</c:v>
                </c:pt>
                <c:pt idx="32">
                  <c:v>1986</c:v>
                </c:pt>
                <c:pt idx="33">
                  <c:v>1987</c:v>
                </c:pt>
                <c:pt idx="34">
                  <c:v>1988</c:v>
                </c:pt>
                <c:pt idx="35">
                  <c:v>1989</c:v>
                </c:pt>
                <c:pt idx="36">
                  <c:v>1990</c:v>
                </c:pt>
                <c:pt idx="37">
                  <c:v>1991</c:v>
                </c:pt>
                <c:pt idx="38">
                  <c:v>1992</c:v>
                </c:pt>
                <c:pt idx="39">
                  <c:v>1993</c:v>
                </c:pt>
                <c:pt idx="40">
                  <c:v>1994</c:v>
                </c:pt>
                <c:pt idx="41">
                  <c:v>1995</c:v>
                </c:pt>
                <c:pt idx="42">
                  <c:v>1996</c:v>
                </c:pt>
              </c:numCache>
            </c:numRef>
          </c:xVal>
          <c:yVal>
            <c:numRef>
              <c:f>'net evap'!$T$961:$T$1003</c:f>
              <c:numCache>
                <c:formatCode>General</c:formatCode>
                <c:ptCount val="43"/>
                <c:pt idx="0">
                  <c:v>14468</c:v>
                </c:pt>
                <c:pt idx="1">
                  <c:v>34419</c:v>
                </c:pt>
                <c:pt idx="2">
                  <c:v>0</c:v>
                </c:pt>
                <c:pt idx="3">
                  <c:v>337834</c:v>
                </c:pt>
                <c:pt idx="4">
                  <c:v>155082</c:v>
                </c:pt>
                <c:pt idx="5">
                  <c:v>67372</c:v>
                </c:pt>
                <c:pt idx="6">
                  <c:v>53000</c:v>
                </c:pt>
                <c:pt idx="7">
                  <c:v>38662</c:v>
                </c:pt>
                <c:pt idx="8">
                  <c:v>133581</c:v>
                </c:pt>
                <c:pt idx="9">
                  <c:v>24088</c:v>
                </c:pt>
                <c:pt idx="10">
                  <c:v>124547</c:v>
                </c:pt>
                <c:pt idx="11">
                  <c:v>79505</c:v>
                </c:pt>
                <c:pt idx="12">
                  <c:v>171604</c:v>
                </c:pt>
                <c:pt idx="13">
                  <c:v>48436</c:v>
                </c:pt>
                <c:pt idx="14">
                  <c:v>158509</c:v>
                </c:pt>
                <c:pt idx="15">
                  <c:v>195399</c:v>
                </c:pt>
                <c:pt idx="16">
                  <c:v>148574</c:v>
                </c:pt>
                <c:pt idx="17">
                  <c:v>118535</c:v>
                </c:pt>
                <c:pt idx="18">
                  <c:v>37890</c:v>
                </c:pt>
                <c:pt idx="19">
                  <c:v>179784</c:v>
                </c:pt>
                <c:pt idx="20">
                  <c:v>182142</c:v>
                </c:pt>
                <c:pt idx="21">
                  <c:v>133241</c:v>
                </c:pt>
                <c:pt idx="22">
                  <c:v>33941</c:v>
                </c:pt>
                <c:pt idx="23">
                  <c:v>95103</c:v>
                </c:pt>
                <c:pt idx="24">
                  <c:v>9940</c:v>
                </c:pt>
                <c:pt idx="25">
                  <c:v>104414</c:v>
                </c:pt>
                <c:pt idx="26">
                  <c:v>39821</c:v>
                </c:pt>
                <c:pt idx="27">
                  <c:v>465621</c:v>
                </c:pt>
                <c:pt idx="28">
                  <c:v>227218</c:v>
                </c:pt>
                <c:pt idx="29">
                  <c:v>43424</c:v>
                </c:pt>
                <c:pt idx="30">
                  <c:v>71473</c:v>
                </c:pt>
                <c:pt idx="31">
                  <c:v>145619.37499999997</c:v>
                </c:pt>
                <c:pt idx="32">
                  <c:v>182497.65</c:v>
                </c:pt>
                <c:pt idx="33">
                  <c:v>204673.08</c:v>
                </c:pt>
                <c:pt idx="34">
                  <c:v>33717.279999999999</c:v>
                </c:pt>
                <c:pt idx="35">
                  <c:v>394205.33500000002</c:v>
                </c:pt>
                <c:pt idx="36">
                  <c:v>514561.88</c:v>
                </c:pt>
                <c:pt idx="37">
                  <c:v>232800.73</c:v>
                </c:pt>
                <c:pt idx="38">
                  <c:v>195326.51500000001</c:v>
                </c:pt>
                <c:pt idx="39">
                  <c:v>278837.09499999997</c:v>
                </c:pt>
                <c:pt idx="40">
                  <c:v>196066.05500000002</c:v>
                </c:pt>
                <c:pt idx="41">
                  <c:v>151395.68499999997</c:v>
                </c:pt>
                <c:pt idx="42">
                  <c:v>65232.094999999994</c:v>
                </c:pt>
              </c:numCache>
            </c:numRef>
          </c:yVal>
          <c:smooth val="1"/>
        </c:ser>
        <c:axId val="47407488"/>
        <c:axId val="47401600"/>
      </c:scatterChart>
      <c:valAx>
        <c:axId val="47397504"/>
        <c:scaling>
          <c:orientation val="minMax"/>
          <c:max val="2003"/>
          <c:min val="1940"/>
        </c:scaling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Year</a:t>
                </a:r>
              </a:p>
            </c:rich>
          </c:tx>
        </c:title>
        <c:numFmt formatCode="General" sourceLinked="1"/>
        <c:tickLblPos val="low"/>
        <c:crossAx val="47399680"/>
        <c:crosses val="autoZero"/>
        <c:crossBetween val="midCat"/>
      </c:valAx>
      <c:valAx>
        <c:axId val="47399680"/>
        <c:scaling>
          <c:orientation val="minMax"/>
        </c:scaling>
        <c:axPos val="l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Palmer Drought Index </a:t>
                </a:r>
              </a:p>
            </c:rich>
          </c:tx>
        </c:title>
        <c:numFmt formatCode="General" sourceLinked="1"/>
        <c:tickLblPos val="nextTo"/>
        <c:crossAx val="47397504"/>
        <c:crosses val="autoZero"/>
        <c:crossBetween val="midCat"/>
      </c:valAx>
      <c:valAx>
        <c:axId val="47401600"/>
        <c:scaling>
          <c:orientation val="minMax"/>
          <c:max val="2000000"/>
          <c:min val="0"/>
        </c:scaling>
        <c:axPos val="r"/>
        <c:numFmt formatCode="General" sourceLinked="1"/>
        <c:tickLblPos val="nextTo"/>
        <c:crossAx val="47407488"/>
        <c:crosses val="max"/>
        <c:crossBetween val="midCat"/>
      </c:valAx>
      <c:valAx>
        <c:axId val="47407488"/>
        <c:scaling>
          <c:orientation val="minMax"/>
        </c:scaling>
        <c:delete val="1"/>
        <c:axPos val="b"/>
        <c:numFmt formatCode="General" sourceLinked="1"/>
        <c:tickLblPos val="none"/>
        <c:crossAx val="47401600"/>
        <c:crosses val="autoZero"/>
        <c:crossBetween val="midCat"/>
      </c:valAx>
    </c:plotArea>
    <c:plotVisOnly val="1"/>
  </c:chart>
  <c:spPr>
    <a:ln>
      <a:noFill/>
    </a:ln>
  </c:spPr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>
        <c:manualLayout>
          <c:layoutTarget val="inner"/>
          <c:xMode val="edge"/>
          <c:yMode val="edge"/>
          <c:x val="6.0822951160476993E-2"/>
          <c:y val="5.0119331742243534E-2"/>
          <c:w val="0.9033997157659075"/>
          <c:h val="0.87589498806682575"/>
        </c:manualLayout>
      </c:layout>
      <c:lineChart>
        <c:grouping val="standard"/>
        <c:ser>
          <c:idx val="0"/>
          <c:order val="0"/>
          <c:spPr>
            <a:ln w="12700">
              <a:solidFill>
                <a:srgbClr val="FF00FF"/>
              </a:solidFill>
              <a:prstDash val="solid"/>
            </a:ln>
          </c:spPr>
          <c:marker>
            <c:symbol val="none"/>
          </c:marker>
          <c:dPt>
            <c:idx val="0"/>
            <c:spPr>
              <a:ln w="28575">
                <a:noFill/>
              </a:ln>
            </c:spPr>
          </c:dPt>
          <c:cat>
            <c:numRef>
              <c:f>Histogram!$A$1:$A$29</c:f>
              <c:numCache>
                <c:formatCode>General</c:formatCode>
                <c:ptCount val="29"/>
                <c:pt idx="0">
                  <c:v>-7</c:v>
                </c:pt>
                <c:pt idx="1">
                  <c:v>-6.5</c:v>
                </c:pt>
                <c:pt idx="2">
                  <c:v>-6</c:v>
                </c:pt>
                <c:pt idx="3">
                  <c:v>-5.5</c:v>
                </c:pt>
                <c:pt idx="4">
                  <c:v>-5</c:v>
                </c:pt>
                <c:pt idx="5">
                  <c:v>-4.5</c:v>
                </c:pt>
                <c:pt idx="6">
                  <c:v>-4</c:v>
                </c:pt>
                <c:pt idx="7">
                  <c:v>-3.5</c:v>
                </c:pt>
                <c:pt idx="8">
                  <c:v>-3</c:v>
                </c:pt>
                <c:pt idx="9">
                  <c:v>-2.5</c:v>
                </c:pt>
                <c:pt idx="10">
                  <c:v>-2</c:v>
                </c:pt>
                <c:pt idx="11">
                  <c:v>-1.5</c:v>
                </c:pt>
                <c:pt idx="12">
                  <c:v>-1</c:v>
                </c:pt>
                <c:pt idx="13">
                  <c:v>-0.5</c:v>
                </c:pt>
                <c:pt idx="14">
                  <c:v>0</c:v>
                </c:pt>
                <c:pt idx="15">
                  <c:v>0.5</c:v>
                </c:pt>
                <c:pt idx="16">
                  <c:v>1</c:v>
                </c:pt>
                <c:pt idx="17">
                  <c:v>1.5</c:v>
                </c:pt>
                <c:pt idx="18">
                  <c:v>2</c:v>
                </c:pt>
                <c:pt idx="19">
                  <c:v>2.5</c:v>
                </c:pt>
                <c:pt idx="20">
                  <c:v>3</c:v>
                </c:pt>
                <c:pt idx="21">
                  <c:v>3.5</c:v>
                </c:pt>
                <c:pt idx="22">
                  <c:v>4</c:v>
                </c:pt>
                <c:pt idx="23">
                  <c:v>4.5</c:v>
                </c:pt>
                <c:pt idx="24">
                  <c:v>5</c:v>
                </c:pt>
                <c:pt idx="25">
                  <c:v>5.5</c:v>
                </c:pt>
                <c:pt idx="26">
                  <c:v>6</c:v>
                </c:pt>
                <c:pt idx="27">
                  <c:v>6.5</c:v>
                </c:pt>
                <c:pt idx="28">
                  <c:v>7</c:v>
                </c:pt>
              </c:numCache>
            </c:numRef>
          </c:cat>
          <c:val>
            <c:numRef>
              <c:f>Histogram!$B$1:$B$29</c:f>
              <c:numCache>
                <c:formatCode>General</c:formatCode>
                <c:ptCount val="29"/>
                <c:pt idx="0">
                  <c:v>0</c:v>
                </c:pt>
                <c:pt idx="1">
                  <c:v>3</c:v>
                </c:pt>
                <c:pt idx="2">
                  <c:v>3</c:v>
                </c:pt>
                <c:pt idx="3">
                  <c:v>2</c:v>
                </c:pt>
                <c:pt idx="4">
                  <c:v>6</c:v>
                </c:pt>
                <c:pt idx="5">
                  <c:v>5</c:v>
                </c:pt>
                <c:pt idx="6">
                  <c:v>37</c:v>
                </c:pt>
                <c:pt idx="7">
                  <c:v>34</c:v>
                </c:pt>
                <c:pt idx="8">
                  <c:v>49</c:v>
                </c:pt>
                <c:pt idx="9">
                  <c:v>73</c:v>
                </c:pt>
                <c:pt idx="10">
                  <c:v>72</c:v>
                </c:pt>
                <c:pt idx="11">
                  <c:v>80</c:v>
                </c:pt>
                <c:pt idx="12">
                  <c:v>68</c:v>
                </c:pt>
                <c:pt idx="13">
                  <c:v>91</c:v>
                </c:pt>
                <c:pt idx="14">
                  <c:v>87</c:v>
                </c:pt>
                <c:pt idx="15">
                  <c:v>79</c:v>
                </c:pt>
                <c:pt idx="16">
                  <c:v>77</c:v>
                </c:pt>
                <c:pt idx="17">
                  <c:v>63</c:v>
                </c:pt>
                <c:pt idx="18">
                  <c:v>49</c:v>
                </c:pt>
                <c:pt idx="19">
                  <c:v>45</c:v>
                </c:pt>
                <c:pt idx="20">
                  <c:v>24</c:v>
                </c:pt>
                <c:pt idx="21">
                  <c:v>22</c:v>
                </c:pt>
                <c:pt idx="22">
                  <c:v>12</c:v>
                </c:pt>
                <c:pt idx="23">
                  <c:v>11</c:v>
                </c:pt>
                <c:pt idx="24">
                  <c:v>9</c:v>
                </c:pt>
                <c:pt idx="25">
                  <c:v>3</c:v>
                </c:pt>
                <c:pt idx="26">
                  <c:v>2</c:v>
                </c:pt>
                <c:pt idx="27">
                  <c:v>1</c:v>
                </c:pt>
                <c:pt idx="28">
                  <c:v>1</c:v>
                </c:pt>
              </c:numCache>
            </c:numRef>
          </c:val>
        </c:ser>
        <c:marker val="1"/>
        <c:axId val="95868032"/>
        <c:axId val="95869568"/>
      </c:lineChart>
      <c:catAx>
        <c:axId val="95868032"/>
        <c:scaling>
          <c:orientation val="minMax"/>
        </c:scaling>
        <c:axPos val="b"/>
        <c:numFmt formatCode="General" sourceLinked="1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48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95869568"/>
        <c:crossesAt val="0"/>
        <c:auto val="1"/>
        <c:lblAlgn val="ctr"/>
        <c:lblOffset val="100"/>
        <c:tickLblSkip val="1"/>
        <c:tickMarkSkip val="1"/>
      </c:catAx>
      <c:valAx>
        <c:axId val="95869568"/>
        <c:scaling>
          <c:orientation val="minMax"/>
        </c:scaling>
        <c:axPos val="l"/>
        <c:majorGridlines>
          <c:spPr>
            <a:ln w="12700">
              <a:solidFill>
                <a:srgbClr val="000000"/>
              </a:solidFill>
              <a:prstDash val="solid"/>
            </a:ln>
          </c:spPr>
        </c:majorGridlines>
        <c:numFmt formatCode="General" sourceLinked="0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48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95868032"/>
        <c:crosses val="autoZero"/>
        <c:crossBetween val="midCat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dispBlanksAs val="gap"/>
  </c:chart>
  <c:spPr>
    <a:solidFill>
      <a:srgbClr val="EAEAEA"/>
    </a:solidFill>
    <a:ln w="12700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144" r="0.75000000000000144" t="1" header="0.49212598450000067" footer="0.49212598450000067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0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Using RECON</a:t>
            </a:r>
          </a:p>
        </c:rich>
      </c:tx>
      <c:layout>
        <c:manualLayout>
          <c:xMode val="edge"/>
          <c:yMode val="edge"/>
          <c:x val="0.42810526135213556"/>
          <c:y val="3.4482758620689655E-2"/>
        </c:manualLayout>
      </c:layout>
      <c:spPr>
        <a:noFill/>
        <a:ln w="25400">
          <a:noFill/>
        </a:ln>
      </c:spPr>
    </c:title>
    <c:plotArea>
      <c:layout>
        <c:manualLayout>
          <c:layoutTarget val="inner"/>
          <c:xMode val="edge"/>
          <c:yMode val="edge"/>
          <c:x val="0.18627480704083541"/>
          <c:y val="0.18808806219396323"/>
          <c:w val="0.78268098747859949"/>
          <c:h val="0.61442100316694503"/>
        </c:manualLayout>
      </c:layout>
      <c:lineChart>
        <c:grouping val="standard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6"/>
            <c:spPr>
              <a:solidFill>
                <a:srgbClr val="00008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dPt>
            <c:idx val="0"/>
            <c:marker>
              <c:spPr>
                <a:solidFill>
                  <a:srgbClr val="000000"/>
                </a:solidFill>
                <a:ln>
                  <a:solidFill>
                    <a:srgbClr val="000000"/>
                  </a:solidFill>
                  <a:prstDash val="solid"/>
                </a:ln>
              </c:spPr>
            </c:marker>
            <c:spPr>
              <a:ln w="28575">
                <a:noFill/>
              </a:ln>
            </c:spPr>
          </c:dPt>
          <c:val>
            <c:numRef>
              <c:f>Calculations!$F$3:$F$9</c:f>
              <c:numCache>
                <c:formatCode>0.00%</c:formatCode>
                <c:ptCount val="7"/>
                <c:pt idx="0">
                  <c:v>1.3875123885034646E-2</c:v>
                </c:pt>
                <c:pt idx="1">
                  <c:v>6.7476956251706133E-2</c:v>
                </c:pt>
                <c:pt idx="2">
                  <c:v>0.13040077287841756</c:v>
                </c:pt>
                <c:pt idx="3">
                  <c:v>0.24379718418954643</c:v>
                </c:pt>
                <c:pt idx="4">
                  <c:v>0.34240661582406517</c:v>
                </c:pt>
                <c:pt idx="5">
                  <c:v>0.50272603122783277</c:v>
                </c:pt>
                <c:pt idx="6">
                  <c:v>0.75271859998157764</c:v>
                </c:pt>
              </c:numCache>
            </c:numRef>
          </c:val>
          <c:smooth val="1"/>
        </c:ser>
        <c:marker val="1"/>
        <c:axId val="47573632"/>
        <c:axId val="95965952"/>
      </c:lineChart>
      <c:catAx>
        <c:axId val="47573632"/>
        <c:scaling>
          <c:orientation val="minMax"/>
        </c:scaling>
        <c:axPos val="b"/>
        <c:title>
          <c:tx>
            <c:rich>
              <a:bodyPr/>
              <a:lstStyle/>
              <a:p>
                <a:pPr>
                  <a:defRPr sz="85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N Years</a:t>
                </a:r>
              </a:p>
            </c:rich>
          </c:tx>
          <c:layout>
            <c:manualLayout>
              <c:xMode val="edge"/>
              <c:yMode val="edge"/>
              <c:x val="0.53921654401042829"/>
              <c:y val="0.88714865187306124"/>
            </c:manualLayout>
          </c:layout>
          <c:spPr>
            <a:noFill/>
            <a:ln w="25400">
              <a:noFill/>
            </a:ln>
          </c:spPr>
        </c:title>
        <c:numFmt formatCode="General" sourceLinked="1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95965952"/>
        <c:crossesAt val="0"/>
        <c:auto val="1"/>
        <c:lblAlgn val="ctr"/>
        <c:lblOffset val="100"/>
        <c:tickLblSkip val="1"/>
        <c:tickMarkSkip val="1"/>
      </c:catAx>
      <c:valAx>
        <c:axId val="95965952"/>
        <c:scaling>
          <c:orientation val="minMax"/>
        </c:scaling>
        <c:axPos val="l"/>
        <c:majorGridlines>
          <c:spPr>
            <a:ln w="12700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85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Probablity that a drought that equals or exceeds the magnitude of the 1956 drought will occur in N years</a:t>
                </a:r>
              </a:p>
            </c:rich>
          </c:tx>
          <c:layout>
            <c:manualLayout>
              <c:xMode val="edge"/>
              <c:yMode val="edge"/>
              <c:x val="2.6143790849673276E-2"/>
              <c:y val="0.17868371469240324"/>
            </c:manualLayout>
          </c:layout>
          <c:spPr>
            <a:noFill/>
            <a:ln w="25400">
              <a:noFill/>
            </a:ln>
          </c:spPr>
        </c:title>
        <c:numFmt formatCode="0.00%" sourceLinked="0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7573632"/>
        <c:crosses val="autoZero"/>
        <c:crossBetween val="midCat"/>
      </c:valAx>
      <c:spPr>
        <a:solidFill>
          <a:srgbClr val="EAEAEA"/>
        </a:solidFill>
        <a:ln w="12700">
          <a:solidFill>
            <a:srgbClr val="808080"/>
          </a:solidFill>
          <a:prstDash val="solid"/>
        </a:ln>
      </c:spPr>
    </c:plotArea>
    <c:dispBlanksAs val="gap"/>
  </c:chart>
  <c:spPr>
    <a:solidFill>
      <a:srgbClr val="FFFFFF"/>
    </a:solidFill>
    <a:ln w="12700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144" r="0.75000000000000144" t="1" header="0.49212598450000067" footer="0.49212598450000067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0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Using 20LP filter</a:t>
            </a:r>
          </a:p>
        </c:rich>
      </c:tx>
      <c:layout>
        <c:manualLayout>
          <c:xMode val="edge"/>
          <c:yMode val="edge"/>
          <c:x val="0.41435597059339846"/>
          <c:y val="3.437500000000001E-2"/>
        </c:manualLayout>
      </c:layout>
      <c:spPr>
        <a:noFill/>
        <a:ln w="25400">
          <a:noFill/>
        </a:ln>
      </c:spPr>
    </c:title>
    <c:plotArea>
      <c:layout>
        <c:manualLayout>
          <c:layoutTarget val="inner"/>
          <c:xMode val="edge"/>
          <c:yMode val="edge"/>
          <c:x val="0.19575872036755737"/>
          <c:y val="0.18750000000000036"/>
          <c:w val="0.77324694545185169"/>
          <c:h val="0.61562500000000231"/>
        </c:manualLayout>
      </c:layout>
      <c:lineChart>
        <c:grouping val="standard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6"/>
            <c:spPr>
              <a:solidFill>
                <a:srgbClr val="00008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dPt>
            <c:idx val="0"/>
            <c:marker>
              <c:spPr>
                <a:solidFill>
                  <a:srgbClr val="000000"/>
                </a:solidFill>
                <a:ln>
                  <a:solidFill>
                    <a:srgbClr val="000000"/>
                  </a:solidFill>
                  <a:prstDash val="solid"/>
                </a:ln>
              </c:spPr>
            </c:marker>
            <c:spPr>
              <a:ln w="28575">
                <a:noFill/>
              </a:ln>
            </c:spPr>
          </c:dPt>
          <c:val>
            <c:numRef>
              <c:f>Calculations!$F$15:$F$21</c:f>
              <c:numCache>
                <c:formatCode>0.00%</c:formatCode>
                <c:ptCount val="7"/>
                <c:pt idx="0">
                  <c:v>8.3250743310208097E-2</c:v>
                </c:pt>
                <c:pt idx="1">
                  <c:v>0.35248052860360213</c:v>
                </c:pt>
                <c:pt idx="2">
                  <c:v>0.58071853416252939</c:v>
                </c:pt>
                <c:pt idx="3">
                  <c:v>0.82420305240518199</c:v>
                </c:pt>
                <c:pt idx="4">
                  <c:v>0.92629159812269179</c:v>
                </c:pt>
                <c:pt idx="5">
                  <c:v>0.98704228793787707</c:v>
                </c:pt>
                <c:pt idx="6">
                  <c:v>0.9998320976981151</c:v>
                </c:pt>
              </c:numCache>
            </c:numRef>
          </c:val>
          <c:smooth val="1"/>
        </c:ser>
        <c:marker val="1"/>
        <c:axId val="96007296"/>
        <c:axId val="96009216"/>
      </c:lineChart>
      <c:catAx>
        <c:axId val="96007296"/>
        <c:scaling>
          <c:orientation val="minMax"/>
        </c:scaling>
        <c:axPos val="b"/>
        <c:title>
          <c:tx>
            <c:rich>
              <a:bodyPr/>
              <a:lstStyle/>
              <a:p>
                <a:pPr>
                  <a:defRPr sz="85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N Years</a:t>
                </a:r>
              </a:p>
            </c:rich>
          </c:tx>
          <c:layout>
            <c:manualLayout>
              <c:xMode val="edge"/>
              <c:yMode val="edge"/>
              <c:x val="0.54486185148553146"/>
              <c:y val="0.88749999999999996"/>
            </c:manualLayout>
          </c:layout>
          <c:spPr>
            <a:noFill/>
            <a:ln w="25400">
              <a:noFill/>
            </a:ln>
          </c:spPr>
        </c:title>
        <c:numFmt formatCode="General" sourceLinked="1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96009216"/>
        <c:crossesAt val="0"/>
        <c:auto val="1"/>
        <c:lblAlgn val="ctr"/>
        <c:lblOffset val="100"/>
        <c:tickLblSkip val="1"/>
        <c:tickMarkSkip val="1"/>
      </c:catAx>
      <c:valAx>
        <c:axId val="96009216"/>
        <c:scaling>
          <c:orientation val="minMax"/>
        </c:scaling>
        <c:axPos val="l"/>
        <c:majorGridlines>
          <c:spPr>
            <a:ln w="12700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85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Probablity that a drought that equals or exceeds the magnitude of the 1956 drought will occur in N years</a:t>
                </a:r>
              </a:p>
            </c:rich>
          </c:tx>
          <c:layout>
            <c:manualLayout>
              <c:xMode val="edge"/>
              <c:yMode val="edge"/>
              <c:x val="2.6101141924959301E-2"/>
              <c:y val="0.17812500000000001"/>
            </c:manualLayout>
          </c:layout>
          <c:spPr>
            <a:noFill/>
            <a:ln w="25400">
              <a:noFill/>
            </a:ln>
          </c:spPr>
        </c:title>
        <c:numFmt formatCode="0.00%" sourceLinked="0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96007296"/>
        <c:crosses val="autoZero"/>
        <c:crossBetween val="midCat"/>
      </c:valAx>
      <c:spPr>
        <a:solidFill>
          <a:srgbClr val="EAEAEA"/>
        </a:solidFill>
        <a:ln w="12700">
          <a:solidFill>
            <a:srgbClr val="808080"/>
          </a:solidFill>
          <a:prstDash val="solid"/>
        </a:ln>
      </c:spPr>
    </c:plotArea>
    <c:dispBlanksAs val="gap"/>
  </c:chart>
  <c:spPr>
    <a:solidFill>
      <a:srgbClr val="FFFFFF"/>
    </a:solidFill>
    <a:ln w="12700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144" r="0.75000000000000144" t="1" header="0.49212598450000067" footer="0.49212598450000067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58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Using RECON</a:t>
            </a:r>
          </a:p>
        </c:rich>
      </c:tx>
      <c:layout>
        <c:manualLayout>
          <c:xMode val="edge"/>
          <c:yMode val="edge"/>
          <c:x val="0.41114058355437688"/>
          <c:y val="4.7368421052631955E-2"/>
        </c:manualLayout>
      </c:layout>
      <c:spPr>
        <a:noFill/>
        <a:ln w="25400">
          <a:noFill/>
        </a:ln>
      </c:spPr>
    </c:title>
    <c:plotArea>
      <c:layout>
        <c:manualLayout>
          <c:layoutTarget val="inner"/>
          <c:xMode val="edge"/>
          <c:yMode val="edge"/>
          <c:x val="0.28381962864721488"/>
          <c:y val="0.23157954250499221"/>
          <c:w val="0.67108753315650038"/>
          <c:h val="0.51052762779509608"/>
        </c:manualLayout>
      </c:layout>
      <c:lineChart>
        <c:grouping val="standard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6"/>
            <c:spPr>
              <a:solidFill>
                <a:srgbClr val="00008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dPt>
            <c:idx val="0"/>
            <c:marker>
              <c:spPr>
                <a:solidFill>
                  <a:srgbClr val="000000"/>
                </a:solidFill>
                <a:ln>
                  <a:solidFill>
                    <a:srgbClr val="000000"/>
                  </a:solidFill>
                  <a:prstDash val="solid"/>
                </a:ln>
              </c:spPr>
            </c:marker>
            <c:spPr>
              <a:ln w="28575">
                <a:noFill/>
              </a:ln>
            </c:spPr>
          </c:dPt>
          <c:val>
            <c:numRef>
              <c:f>basic_stats!$Y$4:$Y$10</c:f>
              <c:numCache>
                <c:formatCode>0.00%</c:formatCode>
                <c:ptCount val="7"/>
                <c:pt idx="0">
                  <c:v>4.0609137055837574E-2</c:v>
                </c:pt>
                <c:pt idx="1">
                  <c:v>0.18721086400223619</c:v>
                </c:pt>
                <c:pt idx="2">
                  <c:v>0.33937382040400854</c:v>
                </c:pt>
                <c:pt idx="3">
                  <c:v>0.56357305083240483</c:v>
                </c:pt>
                <c:pt idx="4">
                  <c:v>0.71168493189867754</c:v>
                </c:pt>
                <c:pt idx="5">
                  <c:v>0.87417153442949247</c:v>
                </c:pt>
                <c:pt idx="6">
                  <c:v>0.98416719725217161</c:v>
                </c:pt>
              </c:numCache>
            </c:numRef>
          </c:val>
          <c:smooth val="1"/>
        </c:ser>
        <c:marker val="1"/>
        <c:axId val="96071680"/>
        <c:axId val="96073600"/>
      </c:lineChart>
      <c:catAx>
        <c:axId val="96071680"/>
        <c:scaling>
          <c:orientation val="minMax"/>
        </c:scaling>
        <c:axPos val="b"/>
        <c:title>
          <c:tx>
            <c:rich>
              <a:bodyPr/>
              <a:lstStyle/>
              <a:p>
                <a:pPr>
                  <a:defRPr sz="5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N Years</a:t>
                </a:r>
              </a:p>
            </c:rich>
          </c:tx>
          <c:layout>
            <c:manualLayout>
              <c:xMode val="edge"/>
              <c:yMode val="edge"/>
              <c:x val="0.57029177718833035"/>
              <c:y val="0.84210747340792924"/>
            </c:manualLayout>
          </c:layout>
          <c:spPr>
            <a:noFill/>
            <a:ln w="25400">
              <a:noFill/>
            </a:ln>
          </c:spPr>
        </c:title>
        <c:numFmt formatCode="General" sourceLinked="1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96073600"/>
        <c:crossesAt val="0"/>
        <c:auto val="1"/>
        <c:lblAlgn val="ctr"/>
        <c:lblOffset val="100"/>
        <c:tickLblSkip val="1"/>
        <c:tickMarkSkip val="1"/>
      </c:catAx>
      <c:valAx>
        <c:axId val="96073600"/>
        <c:scaling>
          <c:orientation val="minMax"/>
        </c:scaling>
        <c:axPos val="l"/>
        <c:majorGridlines>
          <c:spPr>
            <a:ln w="12700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5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Probablity that a drought that equals or exceeds the magnitude of the 1956 drought will occur in N years</a:t>
                </a:r>
              </a:p>
            </c:rich>
          </c:tx>
          <c:layout>
            <c:manualLayout>
              <c:xMode val="edge"/>
              <c:yMode val="edge"/>
              <c:x val="4.2440318302387266E-2"/>
              <c:y val="0.18421107887829863"/>
            </c:manualLayout>
          </c:layout>
          <c:spPr>
            <a:noFill/>
            <a:ln w="25400">
              <a:noFill/>
            </a:ln>
          </c:spPr>
        </c:title>
        <c:numFmt formatCode="0.00%" sourceLinked="0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96071680"/>
        <c:crosses val="autoZero"/>
        <c:crossBetween val="midCat"/>
      </c:valAx>
      <c:spPr>
        <a:solidFill>
          <a:srgbClr val="EAEAEA"/>
        </a:solidFill>
        <a:ln w="12700">
          <a:solidFill>
            <a:srgbClr val="808080"/>
          </a:solidFill>
          <a:prstDash val="solid"/>
        </a:ln>
      </c:spPr>
    </c:plotArea>
    <c:dispBlanksAs val="gap"/>
  </c:chart>
  <c:spPr>
    <a:solidFill>
      <a:srgbClr val="FFFFFF"/>
    </a:solidFill>
    <a:ln w="12700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144" r="0.75000000000000144" t="1" header="0.49212598450000067" footer="0.49212598450000067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0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Using RECON</a:t>
            </a:r>
          </a:p>
        </c:rich>
      </c:tx>
      <c:layout>
        <c:manualLayout>
          <c:xMode val="edge"/>
          <c:yMode val="edge"/>
          <c:x val="0.42903786292618806"/>
          <c:y val="3.437500000000001E-2"/>
        </c:manualLayout>
      </c:layout>
      <c:spPr>
        <a:noFill/>
        <a:ln w="25400">
          <a:noFill/>
        </a:ln>
      </c:spPr>
    </c:title>
    <c:plotArea>
      <c:layout>
        <c:manualLayout>
          <c:layoutTarget val="inner"/>
          <c:xMode val="edge"/>
          <c:yMode val="edge"/>
          <c:x val="0.19575872036755737"/>
          <c:y val="0.18750000000000036"/>
          <c:w val="0.77324694545185169"/>
          <c:h val="0.61562500000000231"/>
        </c:manualLayout>
      </c:layout>
      <c:lineChart>
        <c:grouping val="standard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6"/>
            <c:spPr>
              <a:solidFill>
                <a:srgbClr val="00008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dPt>
            <c:idx val="0"/>
            <c:marker>
              <c:spPr>
                <a:solidFill>
                  <a:srgbClr val="000000"/>
                </a:solidFill>
                <a:ln>
                  <a:solidFill>
                    <a:srgbClr val="000000"/>
                  </a:solidFill>
                  <a:prstDash val="solid"/>
                </a:ln>
              </c:spPr>
            </c:marker>
            <c:spPr>
              <a:ln w="28575">
                <a:noFill/>
              </a:ln>
            </c:spPr>
          </c:dPt>
          <c:val>
            <c:numRef>
              <c:f>'basic_stats _2_'!$L$3:$L$9</c:f>
              <c:numCache>
                <c:formatCode>0.00%</c:formatCode>
                <c:ptCount val="7"/>
                <c:pt idx="0">
                  <c:v>2.0304568527918732E-2</c:v>
                </c:pt>
                <c:pt idx="1">
                  <c:v>9.7482951966333276E-2</c:v>
                </c:pt>
                <c:pt idx="2">
                  <c:v>0.18546297800859612</c:v>
                </c:pt>
                <c:pt idx="3">
                  <c:v>0.3365294398053752</c:v>
                </c:pt>
                <c:pt idx="4">
                  <c:v>0.45957866572010186</c:v>
                </c:pt>
                <c:pt idx="5">
                  <c:v>0.64144635460418942</c:v>
                </c:pt>
                <c:pt idx="6">
                  <c:v>0.87143928337337528</c:v>
                </c:pt>
              </c:numCache>
            </c:numRef>
          </c:val>
          <c:smooth val="1"/>
        </c:ser>
        <c:marker val="1"/>
        <c:axId val="96430720"/>
        <c:axId val="96432896"/>
      </c:lineChart>
      <c:catAx>
        <c:axId val="96430720"/>
        <c:scaling>
          <c:orientation val="minMax"/>
        </c:scaling>
        <c:axPos val="b"/>
        <c:title>
          <c:tx>
            <c:rich>
              <a:bodyPr/>
              <a:lstStyle/>
              <a:p>
                <a:pPr>
                  <a:defRPr sz="85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N Years</a:t>
                </a:r>
              </a:p>
            </c:rich>
          </c:tx>
          <c:layout>
            <c:manualLayout>
              <c:xMode val="edge"/>
              <c:yMode val="edge"/>
              <c:x val="0.54486185148553146"/>
              <c:y val="0.88749999999999996"/>
            </c:manualLayout>
          </c:layout>
          <c:spPr>
            <a:noFill/>
            <a:ln w="25400">
              <a:noFill/>
            </a:ln>
          </c:spPr>
        </c:title>
        <c:numFmt formatCode="General" sourceLinked="1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96432896"/>
        <c:crossesAt val="0"/>
        <c:auto val="1"/>
        <c:lblAlgn val="ctr"/>
        <c:lblOffset val="100"/>
        <c:tickLblSkip val="1"/>
        <c:tickMarkSkip val="1"/>
      </c:catAx>
      <c:valAx>
        <c:axId val="96432896"/>
        <c:scaling>
          <c:orientation val="minMax"/>
        </c:scaling>
        <c:axPos val="l"/>
        <c:majorGridlines>
          <c:spPr>
            <a:ln w="12700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85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Probablity that a drought that equals or exceeds the magnitude of the 1956 drought will occur in N years</a:t>
                </a:r>
              </a:p>
            </c:rich>
          </c:tx>
          <c:layout>
            <c:manualLayout>
              <c:xMode val="edge"/>
              <c:yMode val="edge"/>
              <c:x val="2.6101141924959301E-2"/>
              <c:y val="0.17812500000000001"/>
            </c:manualLayout>
          </c:layout>
          <c:spPr>
            <a:noFill/>
            <a:ln w="25400">
              <a:noFill/>
            </a:ln>
          </c:spPr>
        </c:title>
        <c:numFmt formatCode="0.00%" sourceLinked="0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96430720"/>
        <c:crosses val="autoZero"/>
        <c:crossBetween val="midCat"/>
      </c:valAx>
      <c:spPr>
        <a:solidFill>
          <a:srgbClr val="EAEAEA"/>
        </a:solidFill>
        <a:ln w="12700">
          <a:solidFill>
            <a:srgbClr val="808080"/>
          </a:solidFill>
          <a:prstDash val="solid"/>
        </a:ln>
      </c:spPr>
    </c:plotArea>
    <c:dispBlanksAs val="gap"/>
  </c:chart>
  <c:spPr>
    <a:solidFill>
      <a:srgbClr val="FFFFFF"/>
    </a:solidFill>
    <a:ln w="12700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144" r="0.75000000000000144" t="1" header="0.49212598450000067" footer="0.49212598450000067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>
        <c:manualLayout>
          <c:layoutTarget val="inner"/>
          <c:xMode val="edge"/>
          <c:yMode val="edge"/>
          <c:x val="7.6660530370038019E-2"/>
          <c:y val="2.2458924245530188E-2"/>
          <c:w val="0.89677813751300794"/>
          <c:h val="0.86894161192580788"/>
        </c:manualLayout>
      </c:layout>
      <c:scatterChart>
        <c:scatterStyle val="smoothMarker"/>
        <c:ser>
          <c:idx val="0"/>
          <c:order val="0"/>
          <c:tx>
            <c:v>Observed</c:v>
          </c:tx>
          <c:marker>
            <c:symbol val="none"/>
          </c:marker>
          <c:xVal>
            <c:numRef>
              <c:f>severity!$B$2:$B$196</c:f>
              <c:numCache>
                <c:formatCode>General</c:formatCode>
                <c:ptCount val="195"/>
                <c:pt idx="0">
                  <c:v>36.018000000000001</c:v>
                </c:pt>
                <c:pt idx="1">
                  <c:v>34.043000000000006</c:v>
                </c:pt>
                <c:pt idx="2">
                  <c:v>29.376999999999999</c:v>
                </c:pt>
                <c:pt idx="3">
                  <c:v>28.51</c:v>
                </c:pt>
                <c:pt idx="4">
                  <c:v>27.78</c:v>
                </c:pt>
                <c:pt idx="5">
                  <c:v>25.858999999999998</c:v>
                </c:pt>
                <c:pt idx="6">
                  <c:v>19.756999999999998</c:v>
                </c:pt>
                <c:pt idx="7">
                  <c:v>18.978000000000002</c:v>
                </c:pt>
                <c:pt idx="8">
                  <c:v>17.312000000000001</c:v>
                </c:pt>
                <c:pt idx="9">
                  <c:v>17.239000000000001</c:v>
                </c:pt>
                <c:pt idx="10">
                  <c:v>16.47</c:v>
                </c:pt>
                <c:pt idx="11">
                  <c:v>16.382999999999999</c:v>
                </c:pt>
                <c:pt idx="12">
                  <c:v>15.484999999999999</c:v>
                </c:pt>
                <c:pt idx="13">
                  <c:v>15.449</c:v>
                </c:pt>
                <c:pt idx="14">
                  <c:v>14.693999999999999</c:v>
                </c:pt>
                <c:pt idx="15">
                  <c:v>14.530999999999999</c:v>
                </c:pt>
                <c:pt idx="16">
                  <c:v>14.353</c:v>
                </c:pt>
                <c:pt idx="17">
                  <c:v>13.637</c:v>
                </c:pt>
                <c:pt idx="18">
                  <c:v>12.855</c:v>
                </c:pt>
                <c:pt idx="19">
                  <c:v>12.442000000000002</c:v>
                </c:pt>
                <c:pt idx="20">
                  <c:v>12.244</c:v>
                </c:pt>
                <c:pt idx="21">
                  <c:v>11.721</c:v>
                </c:pt>
                <c:pt idx="22">
                  <c:v>11.206000000000001</c:v>
                </c:pt>
                <c:pt idx="23">
                  <c:v>11.140999999999998</c:v>
                </c:pt>
                <c:pt idx="24">
                  <c:v>11.102</c:v>
                </c:pt>
                <c:pt idx="25">
                  <c:v>11.071</c:v>
                </c:pt>
                <c:pt idx="26">
                  <c:v>10.96</c:v>
                </c:pt>
                <c:pt idx="27">
                  <c:v>10.876999999999999</c:v>
                </c:pt>
                <c:pt idx="28">
                  <c:v>10.241</c:v>
                </c:pt>
                <c:pt idx="29">
                  <c:v>9.7409999999999997</c:v>
                </c:pt>
                <c:pt idx="30">
                  <c:v>9.1349999999999998</c:v>
                </c:pt>
                <c:pt idx="31">
                  <c:v>9.0009999999999994</c:v>
                </c:pt>
                <c:pt idx="32">
                  <c:v>8.8840000000000003</c:v>
                </c:pt>
                <c:pt idx="33">
                  <c:v>8.8390000000000004</c:v>
                </c:pt>
                <c:pt idx="34">
                  <c:v>8.8049999999999997</c:v>
                </c:pt>
                <c:pt idx="35">
                  <c:v>8.7859999999999996</c:v>
                </c:pt>
                <c:pt idx="36">
                  <c:v>8.6590000000000007</c:v>
                </c:pt>
                <c:pt idx="37">
                  <c:v>8.6339999999999986</c:v>
                </c:pt>
                <c:pt idx="38">
                  <c:v>8.4130000000000003</c:v>
                </c:pt>
                <c:pt idx="39">
                  <c:v>8.3949999999999996</c:v>
                </c:pt>
                <c:pt idx="40">
                  <c:v>8.1109999999999989</c:v>
                </c:pt>
                <c:pt idx="41">
                  <c:v>7.9190000000000005</c:v>
                </c:pt>
                <c:pt idx="42">
                  <c:v>7.8369999999999997</c:v>
                </c:pt>
                <c:pt idx="43">
                  <c:v>7.8360000000000003</c:v>
                </c:pt>
                <c:pt idx="44">
                  <c:v>7.6539999999999999</c:v>
                </c:pt>
                <c:pt idx="45">
                  <c:v>7.6520000000000001</c:v>
                </c:pt>
                <c:pt idx="46">
                  <c:v>7.5780000000000003</c:v>
                </c:pt>
                <c:pt idx="47">
                  <c:v>7.5449999999999999</c:v>
                </c:pt>
                <c:pt idx="48">
                  <c:v>7.4380000000000006</c:v>
                </c:pt>
                <c:pt idx="49">
                  <c:v>7.4139999999999997</c:v>
                </c:pt>
                <c:pt idx="50">
                  <c:v>7.2539999999999996</c:v>
                </c:pt>
                <c:pt idx="51">
                  <c:v>7.1870000000000003</c:v>
                </c:pt>
                <c:pt idx="52">
                  <c:v>7.1280000000000001</c:v>
                </c:pt>
                <c:pt idx="53">
                  <c:v>7.0190000000000001</c:v>
                </c:pt>
                <c:pt idx="54">
                  <c:v>7</c:v>
                </c:pt>
                <c:pt idx="55">
                  <c:v>6.87</c:v>
                </c:pt>
                <c:pt idx="56">
                  <c:v>6.8009999999999993</c:v>
                </c:pt>
                <c:pt idx="57">
                  <c:v>6.7930000000000001</c:v>
                </c:pt>
                <c:pt idx="58">
                  <c:v>6.7920000000000007</c:v>
                </c:pt>
                <c:pt idx="59">
                  <c:v>6.6619999999999999</c:v>
                </c:pt>
                <c:pt idx="60">
                  <c:v>6.6189999999999998</c:v>
                </c:pt>
                <c:pt idx="61">
                  <c:v>6.5690000000000008</c:v>
                </c:pt>
                <c:pt idx="62">
                  <c:v>6.4770000000000003</c:v>
                </c:pt>
                <c:pt idx="63">
                  <c:v>6.4749999999999996</c:v>
                </c:pt>
                <c:pt idx="64">
                  <c:v>6.444</c:v>
                </c:pt>
                <c:pt idx="65">
                  <c:v>6.3220000000000001</c:v>
                </c:pt>
                <c:pt idx="66">
                  <c:v>6.2509999999999994</c:v>
                </c:pt>
                <c:pt idx="67">
                  <c:v>6.0030000000000001</c:v>
                </c:pt>
                <c:pt idx="68">
                  <c:v>5.9559999999999995</c:v>
                </c:pt>
                <c:pt idx="69">
                  <c:v>5.8360000000000003</c:v>
                </c:pt>
                <c:pt idx="70">
                  <c:v>5.76</c:v>
                </c:pt>
                <c:pt idx="71">
                  <c:v>5.7210000000000001</c:v>
                </c:pt>
                <c:pt idx="72">
                  <c:v>5.6079999999999997</c:v>
                </c:pt>
                <c:pt idx="73">
                  <c:v>5.399</c:v>
                </c:pt>
                <c:pt idx="74">
                  <c:v>5.3760000000000003</c:v>
                </c:pt>
                <c:pt idx="75">
                  <c:v>5.176000000000001</c:v>
                </c:pt>
                <c:pt idx="76">
                  <c:v>5.0419999999999998</c:v>
                </c:pt>
                <c:pt idx="77">
                  <c:v>4.9400000000000004</c:v>
                </c:pt>
                <c:pt idx="78">
                  <c:v>4.8079999999999998</c:v>
                </c:pt>
                <c:pt idx="79">
                  <c:v>4.7089999999999996</c:v>
                </c:pt>
                <c:pt idx="80">
                  <c:v>4.6189999999999998</c:v>
                </c:pt>
                <c:pt idx="81">
                  <c:v>4.609</c:v>
                </c:pt>
                <c:pt idx="82">
                  <c:v>4.5780000000000003</c:v>
                </c:pt>
                <c:pt idx="83">
                  <c:v>4.5460000000000003</c:v>
                </c:pt>
                <c:pt idx="84">
                  <c:v>4.4809999999999999</c:v>
                </c:pt>
                <c:pt idx="85">
                  <c:v>4.476</c:v>
                </c:pt>
                <c:pt idx="86">
                  <c:v>4.4160000000000004</c:v>
                </c:pt>
                <c:pt idx="87">
                  <c:v>4.3209999999999997</c:v>
                </c:pt>
                <c:pt idx="88">
                  <c:v>4.2450000000000001</c:v>
                </c:pt>
                <c:pt idx="89">
                  <c:v>4.101</c:v>
                </c:pt>
                <c:pt idx="90">
                  <c:v>4.0890000000000004</c:v>
                </c:pt>
                <c:pt idx="91">
                  <c:v>4.0609999999999999</c:v>
                </c:pt>
                <c:pt idx="92">
                  <c:v>4.04</c:v>
                </c:pt>
                <c:pt idx="93">
                  <c:v>3.9689999999999999</c:v>
                </c:pt>
                <c:pt idx="94">
                  <c:v>3.95</c:v>
                </c:pt>
                <c:pt idx="95">
                  <c:v>3.948</c:v>
                </c:pt>
                <c:pt idx="96">
                  <c:v>3.8689999999999998</c:v>
                </c:pt>
                <c:pt idx="97">
                  <c:v>3.6629999999999998</c:v>
                </c:pt>
                <c:pt idx="98">
                  <c:v>3.64</c:v>
                </c:pt>
                <c:pt idx="99">
                  <c:v>3.613</c:v>
                </c:pt>
                <c:pt idx="100">
                  <c:v>3.5939999999999999</c:v>
                </c:pt>
                <c:pt idx="101">
                  <c:v>3.556</c:v>
                </c:pt>
                <c:pt idx="102">
                  <c:v>3.367</c:v>
                </c:pt>
                <c:pt idx="103">
                  <c:v>3.3540000000000001</c:v>
                </c:pt>
                <c:pt idx="104">
                  <c:v>3.3260000000000001</c:v>
                </c:pt>
                <c:pt idx="105">
                  <c:v>3.258</c:v>
                </c:pt>
                <c:pt idx="106">
                  <c:v>3.234</c:v>
                </c:pt>
                <c:pt idx="107">
                  <c:v>3.2069999999999999</c:v>
                </c:pt>
                <c:pt idx="108">
                  <c:v>3.09</c:v>
                </c:pt>
                <c:pt idx="109">
                  <c:v>2.992</c:v>
                </c:pt>
                <c:pt idx="110">
                  <c:v>2.8970000000000002</c:v>
                </c:pt>
                <c:pt idx="111">
                  <c:v>2.8530000000000002</c:v>
                </c:pt>
                <c:pt idx="112">
                  <c:v>2.8179999999999996</c:v>
                </c:pt>
                <c:pt idx="113">
                  <c:v>2.6970000000000001</c:v>
                </c:pt>
                <c:pt idx="114">
                  <c:v>2.673</c:v>
                </c:pt>
                <c:pt idx="115">
                  <c:v>2.5219999999999998</c:v>
                </c:pt>
                <c:pt idx="116">
                  <c:v>2.4350000000000001</c:v>
                </c:pt>
                <c:pt idx="117">
                  <c:v>2.3149999999999999</c:v>
                </c:pt>
                <c:pt idx="118">
                  <c:v>2.2959999999999998</c:v>
                </c:pt>
                <c:pt idx="119">
                  <c:v>2.2650000000000001</c:v>
                </c:pt>
                <c:pt idx="120">
                  <c:v>2.246</c:v>
                </c:pt>
                <c:pt idx="121">
                  <c:v>2.1860000000000004</c:v>
                </c:pt>
                <c:pt idx="122">
                  <c:v>2.089</c:v>
                </c:pt>
                <c:pt idx="123">
                  <c:v>2.0619999999999998</c:v>
                </c:pt>
                <c:pt idx="124">
                  <c:v>1.9140000000000001</c:v>
                </c:pt>
                <c:pt idx="125">
                  <c:v>1.911</c:v>
                </c:pt>
                <c:pt idx="126">
                  <c:v>1.8660000000000001</c:v>
                </c:pt>
                <c:pt idx="127">
                  <c:v>1.859</c:v>
                </c:pt>
                <c:pt idx="128">
                  <c:v>1.7729999999999999</c:v>
                </c:pt>
                <c:pt idx="129">
                  <c:v>1.752</c:v>
                </c:pt>
                <c:pt idx="130">
                  <c:v>1.7250000000000001</c:v>
                </c:pt>
                <c:pt idx="131">
                  <c:v>1.6839999999999999</c:v>
                </c:pt>
                <c:pt idx="132">
                  <c:v>1.657</c:v>
                </c:pt>
                <c:pt idx="133">
                  <c:v>1.649</c:v>
                </c:pt>
                <c:pt idx="134">
                  <c:v>1.6459999999999999</c:v>
                </c:pt>
                <c:pt idx="135">
                  <c:v>1.623</c:v>
                </c:pt>
                <c:pt idx="136">
                  <c:v>1.619</c:v>
                </c:pt>
                <c:pt idx="137">
                  <c:v>1.617</c:v>
                </c:pt>
                <c:pt idx="138">
                  <c:v>1.6</c:v>
                </c:pt>
                <c:pt idx="139">
                  <c:v>1.583</c:v>
                </c:pt>
                <c:pt idx="140">
                  <c:v>1.569</c:v>
                </c:pt>
                <c:pt idx="141">
                  <c:v>1.5640000000000001</c:v>
                </c:pt>
                <c:pt idx="142">
                  <c:v>1.5489999999999999</c:v>
                </c:pt>
                <c:pt idx="143">
                  <c:v>1.544</c:v>
                </c:pt>
                <c:pt idx="144">
                  <c:v>1.5349999999999999</c:v>
                </c:pt>
                <c:pt idx="145">
                  <c:v>1.4259999999999999</c:v>
                </c:pt>
                <c:pt idx="146">
                  <c:v>1.4239999999999999</c:v>
                </c:pt>
                <c:pt idx="147">
                  <c:v>1.3220000000000001</c:v>
                </c:pt>
                <c:pt idx="148">
                  <c:v>1.32</c:v>
                </c:pt>
                <c:pt idx="149">
                  <c:v>1.306</c:v>
                </c:pt>
                <c:pt idx="150">
                  <c:v>1.2210000000000001</c:v>
                </c:pt>
                <c:pt idx="151">
                  <c:v>1.1870000000000001</c:v>
                </c:pt>
                <c:pt idx="152">
                  <c:v>1.018</c:v>
                </c:pt>
                <c:pt idx="153">
                  <c:v>1.0029999999999999</c:v>
                </c:pt>
                <c:pt idx="154">
                  <c:v>0.91900000000000004</c:v>
                </c:pt>
                <c:pt idx="155">
                  <c:v>0.9</c:v>
                </c:pt>
                <c:pt idx="156">
                  <c:v>0.9</c:v>
                </c:pt>
                <c:pt idx="157">
                  <c:v>0.88600000000000001</c:v>
                </c:pt>
                <c:pt idx="158">
                  <c:v>0.80400000000000005</c:v>
                </c:pt>
                <c:pt idx="159">
                  <c:v>0.78500000000000003</c:v>
                </c:pt>
                <c:pt idx="160">
                  <c:v>0.755</c:v>
                </c:pt>
                <c:pt idx="161">
                  <c:v>0.753</c:v>
                </c:pt>
                <c:pt idx="162">
                  <c:v>0.74299999999999999</c:v>
                </c:pt>
                <c:pt idx="163">
                  <c:v>0.74</c:v>
                </c:pt>
                <c:pt idx="164">
                  <c:v>0.72599999999999998</c:v>
                </c:pt>
                <c:pt idx="165">
                  <c:v>0.68600000000000005</c:v>
                </c:pt>
                <c:pt idx="166">
                  <c:v>0.67600000000000005</c:v>
                </c:pt>
                <c:pt idx="167">
                  <c:v>0.629</c:v>
                </c:pt>
                <c:pt idx="168">
                  <c:v>0.61199999999999999</c:v>
                </c:pt>
                <c:pt idx="169">
                  <c:v>0.59799999999999998</c:v>
                </c:pt>
                <c:pt idx="170">
                  <c:v>0.56100000000000005</c:v>
                </c:pt>
                <c:pt idx="171">
                  <c:v>0.51800000000000002</c:v>
                </c:pt>
                <c:pt idx="172">
                  <c:v>0.441</c:v>
                </c:pt>
                <c:pt idx="173">
                  <c:v>0.42699999999999999</c:v>
                </c:pt>
                <c:pt idx="174">
                  <c:v>0.42</c:v>
                </c:pt>
                <c:pt idx="175">
                  <c:v>0.41699999999999998</c:v>
                </c:pt>
                <c:pt idx="176">
                  <c:v>0.376</c:v>
                </c:pt>
                <c:pt idx="177">
                  <c:v>0.375</c:v>
                </c:pt>
                <c:pt idx="178">
                  <c:v>0.373</c:v>
                </c:pt>
                <c:pt idx="179">
                  <c:v>0.371</c:v>
                </c:pt>
                <c:pt idx="180">
                  <c:v>0.36299999999999999</c:v>
                </c:pt>
                <c:pt idx="181">
                  <c:v>0.36</c:v>
                </c:pt>
                <c:pt idx="182">
                  <c:v>0.34200000000000003</c:v>
                </c:pt>
                <c:pt idx="183">
                  <c:v>0.32400000000000001</c:v>
                </c:pt>
                <c:pt idx="184">
                  <c:v>0.312</c:v>
                </c:pt>
                <c:pt idx="185">
                  <c:v>0.28499999999999998</c:v>
                </c:pt>
                <c:pt idx="186">
                  <c:v>0.246</c:v>
                </c:pt>
                <c:pt idx="187">
                  <c:v>0.20899999999999999</c:v>
                </c:pt>
                <c:pt idx="188">
                  <c:v>0.192</c:v>
                </c:pt>
                <c:pt idx="189">
                  <c:v>0.14599999999999999</c:v>
                </c:pt>
                <c:pt idx="190">
                  <c:v>0.13800000000000001</c:v>
                </c:pt>
                <c:pt idx="191">
                  <c:v>0.13200000000000001</c:v>
                </c:pt>
                <c:pt idx="192">
                  <c:v>0.10199999999999999</c:v>
                </c:pt>
                <c:pt idx="193">
                  <c:v>8.9999999999999993E-3</c:v>
                </c:pt>
                <c:pt idx="194">
                  <c:v>7.0000000000000001E-3</c:v>
                </c:pt>
              </c:numCache>
            </c:numRef>
          </c:xVal>
          <c:yVal>
            <c:numRef>
              <c:f>severity!$F$2:$F$196</c:f>
              <c:numCache>
                <c:formatCode>General</c:formatCode>
                <c:ptCount val="195"/>
                <c:pt idx="0">
                  <c:v>0.99487179487179489</c:v>
                </c:pt>
                <c:pt idx="1">
                  <c:v>0.98974358974358978</c:v>
                </c:pt>
                <c:pt idx="2">
                  <c:v>0.98461538461538467</c:v>
                </c:pt>
                <c:pt idx="3">
                  <c:v>0.97948717948717945</c:v>
                </c:pt>
                <c:pt idx="4">
                  <c:v>0.97435897435897434</c:v>
                </c:pt>
                <c:pt idx="5">
                  <c:v>0.96923076923076923</c:v>
                </c:pt>
                <c:pt idx="6">
                  <c:v>0.96410256410256412</c:v>
                </c:pt>
                <c:pt idx="7">
                  <c:v>0.95897435897435901</c:v>
                </c:pt>
                <c:pt idx="8">
                  <c:v>0.95384615384615379</c:v>
                </c:pt>
                <c:pt idx="9">
                  <c:v>0.94871794871794868</c:v>
                </c:pt>
                <c:pt idx="10">
                  <c:v>0.94358974358974357</c:v>
                </c:pt>
                <c:pt idx="11">
                  <c:v>0.93846153846153846</c:v>
                </c:pt>
                <c:pt idx="12">
                  <c:v>0.93333333333333335</c:v>
                </c:pt>
                <c:pt idx="13">
                  <c:v>0.92820512820512824</c:v>
                </c:pt>
                <c:pt idx="14">
                  <c:v>0.92307692307692313</c:v>
                </c:pt>
                <c:pt idx="15">
                  <c:v>0.91794871794871791</c:v>
                </c:pt>
                <c:pt idx="16">
                  <c:v>0.9128205128205128</c:v>
                </c:pt>
                <c:pt idx="17">
                  <c:v>0.90769230769230769</c:v>
                </c:pt>
                <c:pt idx="18">
                  <c:v>0.90256410256410258</c:v>
                </c:pt>
                <c:pt idx="19">
                  <c:v>0.89743589743589747</c:v>
                </c:pt>
                <c:pt idx="20">
                  <c:v>0.89230769230769225</c:v>
                </c:pt>
                <c:pt idx="21">
                  <c:v>0.88717948717948714</c:v>
                </c:pt>
                <c:pt idx="22">
                  <c:v>0.88205128205128203</c:v>
                </c:pt>
                <c:pt idx="23">
                  <c:v>0.87692307692307692</c:v>
                </c:pt>
                <c:pt idx="24">
                  <c:v>0.87179487179487181</c:v>
                </c:pt>
                <c:pt idx="25">
                  <c:v>0.8666666666666667</c:v>
                </c:pt>
                <c:pt idx="26">
                  <c:v>0.86153846153846159</c:v>
                </c:pt>
                <c:pt idx="27">
                  <c:v>0.85641025641025648</c:v>
                </c:pt>
                <c:pt idx="28">
                  <c:v>0.85128205128205126</c:v>
                </c:pt>
                <c:pt idx="29">
                  <c:v>0.84615384615384615</c:v>
                </c:pt>
                <c:pt idx="30">
                  <c:v>0.84102564102564104</c:v>
                </c:pt>
                <c:pt idx="31">
                  <c:v>0.83589743589743593</c:v>
                </c:pt>
                <c:pt idx="32">
                  <c:v>0.8307692307692307</c:v>
                </c:pt>
                <c:pt idx="33">
                  <c:v>0.82564102564102559</c:v>
                </c:pt>
                <c:pt idx="34">
                  <c:v>0.82051282051282048</c:v>
                </c:pt>
                <c:pt idx="35">
                  <c:v>0.81538461538461537</c:v>
                </c:pt>
                <c:pt idx="36">
                  <c:v>0.81025641025641026</c:v>
                </c:pt>
                <c:pt idx="37">
                  <c:v>0.80512820512820515</c:v>
                </c:pt>
                <c:pt idx="38">
                  <c:v>0.8</c:v>
                </c:pt>
                <c:pt idx="39">
                  <c:v>0.79487179487179493</c:v>
                </c:pt>
                <c:pt idx="40">
                  <c:v>0.78974358974358971</c:v>
                </c:pt>
                <c:pt idx="41">
                  <c:v>0.7846153846153846</c:v>
                </c:pt>
                <c:pt idx="42">
                  <c:v>0.77948717948717949</c:v>
                </c:pt>
                <c:pt idx="43">
                  <c:v>0.77435897435897438</c:v>
                </c:pt>
                <c:pt idx="44">
                  <c:v>0.76923076923076916</c:v>
                </c:pt>
                <c:pt idx="45">
                  <c:v>0.76410256410256405</c:v>
                </c:pt>
                <c:pt idx="46">
                  <c:v>0.75897435897435894</c:v>
                </c:pt>
                <c:pt idx="47">
                  <c:v>0.75384615384615383</c:v>
                </c:pt>
                <c:pt idx="48">
                  <c:v>0.74871794871794872</c:v>
                </c:pt>
                <c:pt idx="49">
                  <c:v>0.74358974358974361</c:v>
                </c:pt>
                <c:pt idx="50">
                  <c:v>0.7384615384615385</c:v>
                </c:pt>
                <c:pt idx="51">
                  <c:v>0.73333333333333339</c:v>
                </c:pt>
                <c:pt idx="52">
                  <c:v>0.72820512820512828</c:v>
                </c:pt>
                <c:pt idx="53">
                  <c:v>0.72307692307692306</c:v>
                </c:pt>
                <c:pt idx="54">
                  <c:v>0.71794871794871795</c:v>
                </c:pt>
                <c:pt idx="55">
                  <c:v>0.71282051282051284</c:v>
                </c:pt>
                <c:pt idx="56">
                  <c:v>0.70769230769230762</c:v>
                </c:pt>
                <c:pt idx="57">
                  <c:v>0.70256410256410251</c:v>
                </c:pt>
                <c:pt idx="58">
                  <c:v>0.6974358974358974</c:v>
                </c:pt>
                <c:pt idx="59">
                  <c:v>0.69230769230769229</c:v>
                </c:pt>
                <c:pt idx="60">
                  <c:v>0.68717948717948718</c:v>
                </c:pt>
                <c:pt idx="61">
                  <c:v>0.68205128205128207</c:v>
                </c:pt>
                <c:pt idx="62">
                  <c:v>0.67692307692307696</c:v>
                </c:pt>
                <c:pt idx="63">
                  <c:v>0.67179487179487185</c:v>
                </c:pt>
                <c:pt idx="64">
                  <c:v>0.66666666666666674</c:v>
                </c:pt>
                <c:pt idx="65">
                  <c:v>0.66153846153846152</c:v>
                </c:pt>
                <c:pt idx="66">
                  <c:v>0.65641025641025641</c:v>
                </c:pt>
                <c:pt idx="67">
                  <c:v>0.6512820512820513</c:v>
                </c:pt>
                <c:pt idx="68">
                  <c:v>0.64615384615384608</c:v>
                </c:pt>
                <c:pt idx="69">
                  <c:v>0.64102564102564097</c:v>
                </c:pt>
                <c:pt idx="70">
                  <c:v>0.63589743589743586</c:v>
                </c:pt>
                <c:pt idx="71">
                  <c:v>0.63076923076923075</c:v>
                </c:pt>
                <c:pt idx="72">
                  <c:v>0.62564102564102564</c:v>
                </c:pt>
                <c:pt idx="73">
                  <c:v>0.62051282051282053</c:v>
                </c:pt>
                <c:pt idx="74">
                  <c:v>0.61538461538461542</c:v>
                </c:pt>
                <c:pt idx="75">
                  <c:v>0.61025641025641031</c:v>
                </c:pt>
                <c:pt idx="76">
                  <c:v>0.6051282051282052</c:v>
                </c:pt>
                <c:pt idx="77">
                  <c:v>0.6</c:v>
                </c:pt>
                <c:pt idx="78">
                  <c:v>0.59487179487179487</c:v>
                </c:pt>
                <c:pt idx="79">
                  <c:v>0.58974358974358976</c:v>
                </c:pt>
                <c:pt idx="80">
                  <c:v>0.58461538461538454</c:v>
                </c:pt>
                <c:pt idx="81">
                  <c:v>0.57948717948717943</c:v>
                </c:pt>
                <c:pt idx="82">
                  <c:v>0.57435897435897432</c:v>
                </c:pt>
                <c:pt idx="83">
                  <c:v>0.56923076923076921</c:v>
                </c:pt>
                <c:pt idx="84">
                  <c:v>0.5641025641025641</c:v>
                </c:pt>
                <c:pt idx="85">
                  <c:v>0.55897435897435899</c:v>
                </c:pt>
                <c:pt idx="86">
                  <c:v>0.55384615384615388</c:v>
                </c:pt>
                <c:pt idx="87">
                  <c:v>0.54871794871794877</c:v>
                </c:pt>
                <c:pt idx="88">
                  <c:v>0.54358974358974366</c:v>
                </c:pt>
                <c:pt idx="89">
                  <c:v>0.53846153846153844</c:v>
                </c:pt>
                <c:pt idx="90">
                  <c:v>0.53333333333333333</c:v>
                </c:pt>
                <c:pt idx="91">
                  <c:v>0.52820512820512822</c:v>
                </c:pt>
                <c:pt idx="92">
                  <c:v>0.52307692307692299</c:v>
                </c:pt>
                <c:pt idx="93">
                  <c:v>0.51794871794871788</c:v>
                </c:pt>
                <c:pt idx="94">
                  <c:v>0.51282051282051277</c:v>
                </c:pt>
                <c:pt idx="95">
                  <c:v>0.50769230769230766</c:v>
                </c:pt>
                <c:pt idx="96">
                  <c:v>0.50256410256410255</c:v>
                </c:pt>
                <c:pt idx="97">
                  <c:v>0.49743589743589745</c:v>
                </c:pt>
                <c:pt idx="98">
                  <c:v>0.49230769230769234</c:v>
                </c:pt>
                <c:pt idx="99">
                  <c:v>0.48717948717948723</c:v>
                </c:pt>
                <c:pt idx="100">
                  <c:v>0.482051282051282</c:v>
                </c:pt>
                <c:pt idx="101">
                  <c:v>0.47692307692307689</c:v>
                </c:pt>
                <c:pt idx="102">
                  <c:v>0.47179487179487178</c:v>
                </c:pt>
                <c:pt idx="103">
                  <c:v>0.46666666666666667</c:v>
                </c:pt>
                <c:pt idx="104">
                  <c:v>0.46153846153846156</c:v>
                </c:pt>
                <c:pt idx="105">
                  <c:v>0.45641025641025645</c:v>
                </c:pt>
                <c:pt idx="106">
                  <c:v>0.45128205128205123</c:v>
                </c:pt>
                <c:pt idx="107">
                  <c:v>0.44615384615384612</c:v>
                </c:pt>
                <c:pt idx="108">
                  <c:v>0.44102564102564101</c:v>
                </c:pt>
                <c:pt idx="109">
                  <c:v>0.4358974358974359</c:v>
                </c:pt>
                <c:pt idx="110">
                  <c:v>0.43076923076923079</c:v>
                </c:pt>
                <c:pt idx="111">
                  <c:v>0.42564102564102568</c:v>
                </c:pt>
                <c:pt idx="112">
                  <c:v>0.42051282051282046</c:v>
                </c:pt>
                <c:pt idx="113">
                  <c:v>0.41538461538461535</c:v>
                </c:pt>
                <c:pt idx="114">
                  <c:v>0.41025641025641024</c:v>
                </c:pt>
                <c:pt idx="115">
                  <c:v>0.40512820512820513</c:v>
                </c:pt>
                <c:pt idx="116">
                  <c:v>0.4</c:v>
                </c:pt>
                <c:pt idx="117">
                  <c:v>0.39487179487179491</c:v>
                </c:pt>
                <c:pt idx="118">
                  <c:v>0.38974358974358969</c:v>
                </c:pt>
                <c:pt idx="119">
                  <c:v>0.38461538461538458</c:v>
                </c:pt>
                <c:pt idx="120">
                  <c:v>0.37948717948717947</c:v>
                </c:pt>
                <c:pt idx="121">
                  <c:v>0.37435897435897436</c:v>
                </c:pt>
                <c:pt idx="122">
                  <c:v>0.36923076923076925</c:v>
                </c:pt>
                <c:pt idx="123">
                  <c:v>0.36410256410256414</c:v>
                </c:pt>
                <c:pt idx="124">
                  <c:v>0.35897435897435892</c:v>
                </c:pt>
                <c:pt idx="125">
                  <c:v>0.35384615384615381</c:v>
                </c:pt>
                <c:pt idx="126">
                  <c:v>0.3487179487179487</c:v>
                </c:pt>
                <c:pt idx="127">
                  <c:v>0.34358974358974359</c:v>
                </c:pt>
                <c:pt idx="128">
                  <c:v>0.33846153846153848</c:v>
                </c:pt>
                <c:pt idx="129">
                  <c:v>0.33333333333333337</c:v>
                </c:pt>
                <c:pt idx="130">
                  <c:v>0.32820512820512826</c:v>
                </c:pt>
                <c:pt idx="131">
                  <c:v>0.32307692307692304</c:v>
                </c:pt>
                <c:pt idx="132">
                  <c:v>0.31794871794871793</c:v>
                </c:pt>
                <c:pt idx="133">
                  <c:v>0.31282051282051282</c:v>
                </c:pt>
                <c:pt idx="134">
                  <c:v>0.30769230769230771</c:v>
                </c:pt>
                <c:pt idx="135">
                  <c:v>0.3025641025641026</c:v>
                </c:pt>
                <c:pt idx="136">
                  <c:v>0.29743589743589749</c:v>
                </c:pt>
                <c:pt idx="137">
                  <c:v>0.29230769230769227</c:v>
                </c:pt>
                <c:pt idx="138">
                  <c:v>0.28717948717948716</c:v>
                </c:pt>
                <c:pt idx="139">
                  <c:v>0.28205128205128205</c:v>
                </c:pt>
                <c:pt idx="140">
                  <c:v>0.27692307692307694</c:v>
                </c:pt>
                <c:pt idx="141">
                  <c:v>0.27179487179487183</c:v>
                </c:pt>
                <c:pt idx="142">
                  <c:v>0.26666666666666672</c:v>
                </c:pt>
                <c:pt idx="143">
                  <c:v>0.2615384615384615</c:v>
                </c:pt>
                <c:pt idx="144">
                  <c:v>0.25641025641025639</c:v>
                </c:pt>
                <c:pt idx="145">
                  <c:v>0.25128205128205128</c:v>
                </c:pt>
                <c:pt idx="146">
                  <c:v>0.24615384615384617</c:v>
                </c:pt>
                <c:pt idx="147">
                  <c:v>0.24102564102564106</c:v>
                </c:pt>
                <c:pt idx="148">
                  <c:v>0.23589743589743595</c:v>
                </c:pt>
                <c:pt idx="149">
                  <c:v>0.23076923076923073</c:v>
                </c:pt>
                <c:pt idx="150">
                  <c:v>0.22564102564102562</c:v>
                </c:pt>
                <c:pt idx="151">
                  <c:v>0.22051282051282051</c:v>
                </c:pt>
                <c:pt idx="152">
                  <c:v>0.2153846153846154</c:v>
                </c:pt>
                <c:pt idx="153">
                  <c:v>0.21025641025641029</c:v>
                </c:pt>
                <c:pt idx="154">
                  <c:v>0.20512820512820518</c:v>
                </c:pt>
                <c:pt idx="155">
                  <c:v>0.19999999999999996</c:v>
                </c:pt>
                <c:pt idx="156">
                  <c:v>0.19999999999999996</c:v>
                </c:pt>
                <c:pt idx="157">
                  <c:v>0.18974358974358974</c:v>
                </c:pt>
                <c:pt idx="158">
                  <c:v>0.18461538461538463</c:v>
                </c:pt>
                <c:pt idx="159">
                  <c:v>0.17948717948717952</c:v>
                </c:pt>
                <c:pt idx="160">
                  <c:v>0.17435897435897441</c:v>
                </c:pt>
                <c:pt idx="161">
                  <c:v>0.16923076923076918</c:v>
                </c:pt>
                <c:pt idx="162">
                  <c:v>0.16410256410256407</c:v>
                </c:pt>
                <c:pt idx="163">
                  <c:v>0.15897435897435896</c:v>
                </c:pt>
                <c:pt idx="164">
                  <c:v>0.15384615384615385</c:v>
                </c:pt>
                <c:pt idx="165">
                  <c:v>0.14871794871794874</c:v>
                </c:pt>
                <c:pt idx="166">
                  <c:v>0.14358974358974363</c:v>
                </c:pt>
                <c:pt idx="167">
                  <c:v>0.13846153846153841</c:v>
                </c:pt>
                <c:pt idx="168">
                  <c:v>0.1333333333333333</c:v>
                </c:pt>
                <c:pt idx="169">
                  <c:v>0.12820512820512819</c:v>
                </c:pt>
                <c:pt idx="170">
                  <c:v>0.12307692307692308</c:v>
                </c:pt>
                <c:pt idx="171">
                  <c:v>0.11794871794871797</c:v>
                </c:pt>
                <c:pt idx="172">
                  <c:v>0.11282051282051286</c:v>
                </c:pt>
                <c:pt idx="173">
                  <c:v>0.10769230769230764</c:v>
                </c:pt>
                <c:pt idx="174">
                  <c:v>0.10256410256410253</c:v>
                </c:pt>
                <c:pt idx="175">
                  <c:v>9.7435897435897423E-2</c:v>
                </c:pt>
                <c:pt idx="176">
                  <c:v>9.2307692307692313E-2</c:v>
                </c:pt>
                <c:pt idx="177">
                  <c:v>8.7179487179487203E-2</c:v>
                </c:pt>
                <c:pt idx="178">
                  <c:v>8.2051282051282093E-2</c:v>
                </c:pt>
                <c:pt idx="179">
                  <c:v>7.6923076923076872E-2</c:v>
                </c:pt>
                <c:pt idx="180">
                  <c:v>7.1794871794871762E-2</c:v>
                </c:pt>
                <c:pt idx="181">
                  <c:v>6.6666666666666652E-2</c:v>
                </c:pt>
                <c:pt idx="182">
                  <c:v>6.1538461538461542E-2</c:v>
                </c:pt>
                <c:pt idx="183">
                  <c:v>5.6410256410256432E-2</c:v>
                </c:pt>
                <c:pt idx="184">
                  <c:v>5.1282051282051322E-2</c:v>
                </c:pt>
                <c:pt idx="185">
                  <c:v>4.6153846153846101E-2</c:v>
                </c:pt>
                <c:pt idx="186">
                  <c:v>4.1025641025640991E-2</c:v>
                </c:pt>
                <c:pt idx="187">
                  <c:v>3.5897435897435881E-2</c:v>
                </c:pt>
                <c:pt idx="188">
                  <c:v>3.0769230769230771E-2</c:v>
                </c:pt>
                <c:pt idx="189">
                  <c:v>2.5641025641025661E-2</c:v>
                </c:pt>
                <c:pt idx="190">
                  <c:v>2.0512820512820551E-2</c:v>
                </c:pt>
                <c:pt idx="191">
                  <c:v>1.538461538461533E-2</c:v>
                </c:pt>
                <c:pt idx="192">
                  <c:v>1.025641025641022E-2</c:v>
                </c:pt>
                <c:pt idx="193">
                  <c:v>5.12820512820511E-3</c:v>
                </c:pt>
                <c:pt idx="194">
                  <c:v>0</c:v>
                </c:pt>
              </c:numCache>
            </c:numRef>
          </c:yVal>
          <c:smooth val="1"/>
        </c:ser>
        <c:ser>
          <c:idx val="1"/>
          <c:order val="1"/>
          <c:tx>
            <c:v>Fitted Gamma</c:v>
          </c:tx>
          <c:spPr>
            <a:ln w="50800">
              <a:prstDash val="sysDot"/>
            </a:ln>
          </c:spPr>
          <c:marker>
            <c:symbol val="none"/>
          </c:marker>
          <c:xVal>
            <c:numRef>
              <c:f>severity!$B$2:$B$196</c:f>
              <c:numCache>
                <c:formatCode>General</c:formatCode>
                <c:ptCount val="195"/>
                <c:pt idx="0">
                  <c:v>36.018000000000001</c:v>
                </c:pt>
                <c:pt idx="1">
                  <c:v>34.043000000000006</c:v>
                </c:pt>
                <c:pt idx="2">
                  <c:v>29.376999999999999</c:v>
                </c:pt>
                <c:pt idx="3">
                  <c:v>28.51</c:v>
                </c:pt>
                <c:pt idx="4">
                  <c:v>27.78</c:v>
                </c:pt>
                <c:pt idx="5">
                  <c:v>25.858999999999998</c:v>
                </c:pt>
                <c:pt idx="6">
                  <c:v>19.756999999999998</c:v>
                </c:pt>
                <c:pt idx="7">
                  <c:v>18.978000000000002</c:v>
                </c:pt>
                <c:pt idx="8">
                  <c:v>17.312000000000001</c:v>
                </c:pt>
                <c:pt idx="9">
                  <c:v>17.239000000000001</c:v>
                </c:pt>
                <c:pt idx="10">
                  <c:v>16.47</c:v>
                </c:pt>
                <c:pt idx="11">
                  <c:v>16.382999999999999</c:v>
                </c:pt>
                <c:pt idx="12">
                  <c:v>15.484999999999999</c:v>
                </c:pt>
                <c:pt idx="13">
                  <c:v>15.449</c:v>
                </c:pt>
                <c:pt idx="14">
                  <c:v>14.693999999999999</c:v>
                </c:pt>
                <c:pt idx="15">
                  <c:v>14.530999999999999</c:v>
                </c:pt>
                <c:pt idx="16">
                  <c:v>14.353</c:v>
                </c:pt>
                <c:pt idx="17">
                  <c:v>13.637</c:v>
                </c:pt>
                <c:pt idx="18">
                  <c:v>12.855</c:v>
                </c:pt>
                <c:pt idx="19">
                  <c:v>12.442000000000002</c:v>
                </c:pt>
                <c:pt idx="20">
                  <c:v>12.244</c:v>
                </c:pt>
                <c:pt idx="21">
                  <c:v>11.721</c:v>
                </c:pt>
                <c:pt idx="22">
                  <c:v>11.206000000000001</c:v>
                </c:pt>
                <c:pt idx="23">
                  <c:v>11.140999999999998</c:v>
                </c:pt>
                <c:pt idx="24">
                  <c:v>11.102</c:v>
                </c:pt>
                <c:pt idx="25">
                  <c:v>11.071</c:v>
                </c:pt>
                <c:pt idx="26">
                  <c:v>10.96</c:v>
                </c:pt>
                <c:pt idx="27">
                  <c:v>10.876999999999999</c:v>
                </c:pt>
                <c:pt idx="28">
                  <c:v>10.241</c:v>
                </c:pt>
                <c:pt idx="29">
                  <c:v>9.7409999999999997</c:v>
                </c:pt>
                <c:pt idx="30">
                  <c:v>9.1349999999999998</c:v>
                </c:pt>
                <c:pt idx="31">
                  <c:v>9.0009999999999994</c:v>
                </c:pt>
                <c:pt idx="32">
                  <c:v>8.8840000000000003</c:v>
                </c:pt>
                <c:pt idx="33">
                  <c:v>8.8390000000000004</c:v>
                </c:pt>
                <c:pt idx="34">
                  <c:v>8.8049999999999997</c:v>
                </c:pt>
                <c:pt idx="35">
                  <c:v>8.7859999999999996</c:v>
                </c:pt>
                <c:pt idx="36">
                  <c:v>8.6590000000000007</c:v>
                </c:pt>
                <c:pt idx="37">
                  <c:v>8.6339999999999986</c:v>
                </c:pt>
                <c:pt idx="38">
                  <c:v>8.4130000000000003</c:v>
                </c:pt>
                <c:pt idx="39">
                  <c:v>8.3949999999999996</c:v>
                </c:pt>
                <c:pt idx="40">
                  <c:v>8.1109999999999989</c:v>
                </c:pt>
                <c:pt idx="41">
                  <c:v>7.9190000000000005</c:v>
                </c:pt>
                <c:pt idx="42">
                  <c:v>7.8369999999999997</c:v>
                </c:pt>
                <c:pt idx="43">
                  <c:v>7.8360000000000003</c:v>
                </c:pt>
                <c:pt idx="44">
                  <c:v>7.6539999999999999</c:v>
                </c:pt>
                <c:pt idx="45">
                  <c:v>7.6520000000000001</c:v>
                </c:pt>
                <c:pt idx="46">
                  <c:v>7.5780000000000003</c:v>
                </c:pt>
                <c:pt idx="47">
                  <c:v>7.5449999999999999</c:v>
                </c:pt>
                <c:pt idx="48">
                  <c:v>7.4380000000000006</c:v>
                </c:pt>
                <c:pt idx="49">
                  <c:v>7.4139999999999997</c:v>
                </c:pt>
                <c:pt idx="50">
                  <c:v>7.2539999999999996</c:v>
                </c:pt>
                <c:pt idx="51">
                  <c:v>7.1870000000000003</c:v>
                </c:pt>
                <c:pt idx="52">
                  <c:v>7.1280000000000001</c:v>
                </c:pt>
                <c:pt idx="53">
                  <c:v>7.0190000000000001</c:v>
                </c:pt>
                <c:pt idx="54">
                  <c:v>7</c:v>
                </c:pt>
                <c:pt idx="55">
                  <c:v>6.87</c:v>
                </c:pt>
                <c:pt idx="56">
                  <c:v>6.8009999999999993</c:v>
                </c:pt>
                <c:pt idx="57">
                  <c:v>6.7930000000000001</c:v>
                </c:pt>
                <c:pt idx="58">
                  <c:v>6.7920000000000007</c:v>
                </c:pt>
                <c:pt idx="59">
                  <c:v>6.6619999999999999</c:v>
                </c:pt>
                <c:pt idx="60">
                  <c:v>6.6189999999999998</c:v>
                </c:pt>
                <c:pt idx="61">
                  <c:v>6.5690000000000008</c:v>
                </c:pt>
                <c:pt idx="62">
                  <c:v>6.4770000000000003</c:v>
                </c:pt>
                <c:pt idx="63">
                  <c:v>6.4749999999999996</c:v>
                </c:pt>
                <c:pt idx="64">
                  <c:v>6.444</c:v>
                </c:pt>
                <c:pt idx="65">
                  <c:v>6.3220000000000001</c:v>
                </c:pt>
                <c:pt idx="66">
                  <c:v>6.2509999999999994</c:v>
                </c:pt>
                <c:pt idx="67">
                  <c:v>6.0030000000000001</c:v>
                </c:pt>
                <c:pt idx="68">
                  <c:v>5.9559999999999995</c:v>
                </c:pt>
                <c:pt idx="69">
                  <c:v>5.8360000000000003</c:v>
                </c:pt>
                <c:pt idx="70">
                  <c:v>5.76</c:v>
                </c:pt>
                <c:pt idx="71">
                  <c:v>5.7210000000000001</c:v>
                </c:pt>
                <c:pt idx="72">
                  <c:v>5.6079999999999997</c:v>
                </c:pt>
                <c:pt idx="73">
                  <c:v>5.399</c:v>
                </c:pt>
                <c:pt idx="74">
                  <c:v>5.3760000000000003</c:v>
                </c:pt>
                <c:pt idx="75">
                  <c:v>5.176000000000001</c:v>
                </c:pt>
                <c:pt idx="76">
                  <c:v>5.0419999999999998</c:v>
                </c:pt>
                <c:pt idx="77">
                  <c:v>4.9400000000000004</c:v>
                </c:pt>
                <c:pt idx="78">
                  <c:v>4.8079999999999998</c:v>
                </c:pt>
                <c:pt idx="79">
                  <c:v>4.7089999999999996</c:v>
                </c:pt>
                <c:pt idx="80">
                  <c:v>4.6189999999999998</c:v>
                </c:pt>
                <c:pt idx="81">
                  <c:v>4.609</c:v>
                </c:pt>
                <c:pt idx="82">
                  <c:v>4.5780000000000003</c:v>
                </c:pt>
                <c:pt idx="83">
                  <c:v>4.5460000000000003</c:v>
                </c:pt>
                <c:pt idx="84">
                  <c:v>4.4809999999999999</c:v>
                </c:pt>
                <c:pt idx="85">
                  <c:v>4.476</c:v>
                </c:pt>
                <c:pt idx="86">
                  <c:v>4.4160000000000004</c:v>
                </c:pt>
                <c:pt idx="87">
                  <c:v>4.3209999999999997</c:v>
                </c:pt>
                <c:pt idx="88">
                  <c:v>4.2450000000000001</c:v>
                </c:pt>
                <c:pt idx="89">
                  <c:v>4.101</c:v>
                </c:pt>
                <c:pt idx="90">
                  <c:v>4.0890000000000004</c:v>
                </c:pt>
                <c:pt idx="91">
                  <c:v>4.0609999999999999</c:v>
                </c:pt>
                <c:pt idx="92">
                  <c:v>4.04</c:v>
                </c:pt>
                <c:pt idx="93">
                  <c:v>3.9689999999999999</c:v>
                </c:pt>
                <c:pt idx="94">
                  <c:v>3.95</c:v>
                </c:pt>
                <c:pt idx="95">
                  <c:v>3.948</c:v>
                </c:pt>
                <c:pt idx="96">
                  <c:v>3.8689999999999998</c:v>
                </c:pt>
                <c:pt idx="97">
                  <c:v>3.6629999999999998</c:v>
                </c:pt>
                <c:pt idx="98">
                  <c:v>3.64</c:v>
                </c:pt>
                <c:pt idx="99">
                  <c:v>3.613</c:v>
                </c:pt>
                <c:pt idx="100">
                  <c:v>3.5939999999999999</c:v>
                </c:pt>
                <c:pt idx="101">
                  <c:v>3.556</c:v>
                </c:pt>
                <c:pt idx="102">
                  <c:v>3.367</c:v>
                </c:pt>
                <c:pt idx="103">
                  <c:v>3.3540000000000001</c:v>
                </c:pt>
                <c:pt idx="104">
                  <c:v>3.3260000000000001</c:v>
                </c:pt>
                <c:pt idx="105">
                  <c:v>3.258</c:v>
                </c:pt>
                <c:pt idx="106">
                  <c:v>3.234</c:v>
                </c:pt>
                <c:pt idx="107">
                  <c:v>3.2069999999999999</c:v>
                </c:pt>
                <c:pt idx="108">
                  <c:v>3.09</c:v>
                </c:pt>
                <c:pt idx="109">
                  <c:v>2.992</c:v>
                </c:pt>
                <c:pt idx="110">
                  <c:v>2.8970000000000002</c:v>
                </c:pt>
                <c:pt idx="111">
                  <c:v>2.8530000000000002</c:v>
                </c:pt>
                <c:pt idx="112">
                  <c:v>2.8179999999999996</c:v>
                </c:pt>
                <c:pt idx="113">
                  <c:v>2.6970000000000001</c:v>
                </c:pt>
                <c:pt idx="114">
                  <c:v>2.673</c:v>
                </c:pt>
                <c:pt idx="115">
                  <c:v>2.5219999999999998</c:v>
                </c:pt>
                <c:pt idx="116">
                  <c:v>2.4350000000000001</c:v>
                </c:pt>
                <c:pt idx="117">
                  <c:v>2.3149999999999999</c:v>
                </c:pt>
                <c:pt idx="118">
                  <c:v>2.2959999999999998</c:v>
                </c:pt>
                <c:pt idx="119">
                  <c:v>2.2650000000000001</c:v>
                </c:pt>
                <c:pt idx="120">
                  <c:v>2.246</c:v>
                </c:pt>
                <c:pt idx="121">
                  <c:v>2.1860000000000004</c:v>
                </c:pt>
                <c:pt idx="122">
                  <c:v>2.089</c:v>
                </c:pt>
                <c:pt idx="123">
                  <c:v>2.0619999999999998</c:v>
                </c:pt>
                <c:pt idx="124">
                  <c:v>1.9140000000000001</c:v>
                </c:pt>
                <c:pt idx="125">
                  <c:v>1.911</c:v>
                </c:pt>
                <c:pt idx="126">
                  <c:v>1.8660000000000001</c:v>
                </c:pt>
                <c:pt idx="127">
                  <c:v>1.859</c:v>
                </c:pt>
                <c:pt idx="128">
                  <c:v>1.7729999999999999</c:v>
                </c:pt>
                <c:pt idx="129">
                  <c:v>1.752</c:v>
                </c:pt>
                <c:pt idx="130">
                  <c:v>1.7250000000000001</c:v>
                </c:pt>
                <c:pt idx="131">
                  <c:v>1.6839999999999999</c:v>
                </c:pt>
                <c:pt idx="132">
                  <c:v>1.657</c:v>
                </c:pt>
                <c:pt idx="133">
                  <c:v>1.649</c:v>
                </c:pt>
                <c:pt idx="134">
                  <c:v>1.6459999999999999</c:v>
                </c:pt>
                <c:pt idx="135">
                  <c:v>1.623</c:v>
                </c:pt>
                <c:pt idx="136">
                  <c:v>1.619</c:v>
                </c:pt>
                <c:pt idx="137">
                  <c:v>1.617</c:v>
                </c:pt>
                <c:pt idx="138">
                  <c:v>1.6</c:v>
                </c:pt>
                <c:pt idx="139">
                  <c:v>1.583</c:v>
                </c:pt>
                <c:pt idx="140">
                  <c:v>1.569</c:v>
                </c:pt>
                <c:pt idx="141">
                  <c:v>1.5640000000000001</c:v>
                </c:pt>
                <c:pt idx="142">
                  <c:v>1.5489999999999999</c:v>
                </c:pt>
                <c:pt idx="143">
                  <c:v>1.544</c:v>
                </c:pt>
                <c:pt idx="144">
                  <c:v>1.5349999999999999</c:v>
                </c:pt>
                <c:pt idx="145">
                  <c:v>1.4259999999999999</c:v>
                </c:pt>
                <c:pt idx="146">
                  <c:v>1.4239999999999999</c:v>
                </c:pt>
                <c:pt idx="147">
                  <c:v>1.3220000000000001</c:v>
                </c:pt>
                <c:pt idx="148">
                  <c:v>1.32</c:v>
                </c:pt>
                <c:pt idx="149">
                  <c:v>1.306</c:v>
                </c:pt>
                <c:pt idx="150">
                  <c:v>1.2210000000000001</c:v>
                </c:pt>
                <c:pt idx="151">
                  <c:v>1.1870000000000001</c:v>
                </c:pt>
                <c:pt idx="152">
                  <c:v>1.018</c:v>
                </c:pt>
                <c:pt idx="153">
                  <c:v>1.0029999999999999</c:v>
                </c:pt>
                <c:pt idx="154">
                  <c:v>0.91900000000000004</c:v>
                </c:pt>
                <c:pt idx="155">
                  <c:v>0.9</c:v>
                </c:pt>
                <c:pt idx="156">
                  <c:v>0.9</c:v>
                </c:pt>
                <c:pt idx="157">
                  <c:v>0.88600000000000001</c:v>
                </c:pt>
                <c:pt idx="158">
                  <c:v>0.80400000000000005</c:v>
                </c:pt>
                <c:pt idx="159">
                  <c:v>0.78500000000000003</c:v>
                </c:pt>
                <c:pt idx="160">
                  <c:v>0.755</c:v>
                </c:pt>
                <c:pt idx="161">
                  <c:v>0.753</c:v>
                </c:pt>
                <c:pt idx="162">
                  <c:v>0.74299999999999999</c:v>
                </c:pt>
                <c:pt idx="163">
                  <c:v>0.74</c:v>
                </c:pt>
                <c:pt idx="164">
                  <c:v>0.72599999999999998</c:v>
                </c:pt>
                <c:pt idx="165">
                  <c:v>0.68600000000000005</c:v>
                </c:pt>
                <c:pt idx="166">
                  <c:v>0.67600000000000005</c:v>
                </c:pt>
                <c:pt idx="167">
                  <c:v>0.629</c:v>
                </c:pt>
                <c:pt idx="168">
                  <c:v>0.61199999999999999</c:v>
                </c:pt>
                <c:pt idx="169">
                  <c:v>0.59799999999999998</c:v>
                </c:pt>
                <c:pt idx="170">
                  <c:v>0.56100000000000005</c:v>
                </c:pt>
                <c:pt idx="171">
                  <c:v>0.51800000000000002</c:v>
                </c:pt>
                <c:pt idx="172">
                  <c:v>0.441</c:v>
                </c:pt>
                <c:pt idx="173">
                  <c:v>0.42699999999999999</c:v>
                </c:pt>
                <c:pt idx="174">
                  <c:v>0.42</c:v>
                </c:pt>
                <c:pt idx="175">
                  <c:v>0.41699999999999998</c:v>
                </c:pt>
                <c:pt idx="176">
                  <c:v>0.376</c:v>
                </c:pt>
                <c:pt idx="177">
                  <c:v>0.375</c:v>
                </c:pt>
                <c:pt idx="178">
                  <c:v>0.373</c:v>
                </c:pt>
                <c:pt idx="179">
                  <c:v>0.371</c:v>
                </c:pt>
                <c:pt idx="180">
                  <c:v>0.36299999999999999</c:v>
                </c:pt>
                <c:pt idx="181">
                  <c:v>0.36</c:v>
                </c:pt>
                <c:pt idx="182">
                  <c:v>0.34200000000000003</c:v>
                </c:pt>
                <c:pt idx="183">
                  <c:v>0.32400000000000001</c:v>
                </c:pt>
                <c:pt idx="184">
                  <c:v>0.312</c:v>
                </c:pt>
                <c:pt idx="185">
                  <c:v>0.28499999999999998</c:v>
                </c:pt>
                <c:pt idx="186">
                  <c:v>0.246</c:v>
                </c:pt>
                <c:pt idx="187">
                  <c:v>0.20899999999999999</c:v>
                </c:pt>
                <c:pt idx="188">
                  <c:v>0.192</c:v>
                </c:pt>
                <c:pt idx="189">
                  <c:v>0.14599999999999999</c:v>
                </c:pt>
                <c:pt idx="190">
                  <c:v>0.13800000000000001</c:v>
                </c:pt>
                <c:pt idx="191">
                  <c:v>0.13200000000000001</c:v>
                </c:pt>
                <c:pt idx="192">
                  <c:v>0.10199999999999999</c:v>
                </c:pt>
                <c:pt idx="193">
                  <c:v>8.9999999999999993E-3</c:v>
                </c:pt>
                <c:pt idx="194">
                  <c:v>7.0000000000000001E-3</c:v>
                </c:pt>
              </c:numCache>
            </c:numRef>
          </c:xVal>
          <c:yVal>
            <c:numRef>
              <c:f>severity!$G$2:$G$196</c:f>
              <c:numCache>
                <c:formatCode>0.0000</c:formatCode>
                <c:ptCount val="195"/>
                <c:pt idx="0">
                  <c:v>0.99771278967785437</c:v>
                </c:pt>
                <c:pt idx="1">
                  <c:v>0.99684918865472183</c:v>
                </c:pt>
                <c:pt idx="2">
                  <c:v>0.99327429247322352</c:v>
                </c:pt>
                <c:pt idx="3">
                  <c:v>0.99225459287756534</c:v>
                </c:pt>
                <c:pt idx="4">
                  <c:v>0.99127641900674124</c:v>
                </c:pt>
                <c:pt idx="5">
                  <c:v>0.98806664634994579</c:v>
                </c:pt>
                <c:pt idx="6">
                  <c:v>0.96758549747552935</c:v>
                </c:pt>
                <c:pt idx="7">
                  <c:v>0.96315466303106811</c:v>
                </c:pt>
                <c:pt idx="8">
                  <c:v>0.95151429786136377</c:v>
                </c:pt>
                <c:pt idx="9">
                  <c:v>0.95092663198045779</c:v>
                </c:pt>
                <c:pt idx="10">
                  <c:v>0.94428068271321519</c:v>
                </c:pt>
                <c:pt idx="11">
                  <c:v>0.94347359931851182</c:v>
                </c:pt>
                <c:pt idx="12">
                  <c:v>0.93441855196618551</c:v>
                </c:pt>
                <c:pt idx="13">
                  <c:v>0.93402635729634842</c:v>
                </c:pt>
                <c:pt idx="14">
                  <c:v>0.92523042226470531</c:v>
                </c:pt>
                <c:pt idx="15">
                  <c:v>0.92318039637880356</c:v>
                </c:pt>
                <c:pt idx="16">
                  <c:v>0.92087649890925971</c:v>
                </c:pt>
                <c:pt idx="17">
                  <c:v>0.91087796949572908</c:v>
                </c:pt>
                <c:pt idx="18">
                  <c:v>0.89848251924967393</c:v>
                </c:pt>
                <c:pt idx="19">
                  <c:v>0.89124204772904581</c:v>
                </c:pt>
                <c:pt idx="20">
                  <c:v>0.88758646735936386</c:v>
                </c:pt>
                <c:pt idx="21">
                  <c:v>0.87731635463069335</c:v>
                </c:pt>
                <c:pt idx="22">
                  <c:v>0.86626673211211602</c:v>
                </c:pt>
                <c:pt idx="23">
                  <c:v>0.86480165712639978</c:v>
                </c:pt>
                <c:pt idx="24">
                  <c:v>0.8639147504980601</c:v>
                </c:pt>
                <c:pt idx="25">
                  <c:v>0.86320553358992846</c:v>
                </c:pt>
                <c:pt idx="26">
                  <c:v>0.86063495002009072</c:v>
                </c:pt>
                <c:pt idx="27">
                  <c:v>0.85868057276248055</c:v>
                </c:pt>
                <c:pt idx="28">
                  <c:v>0.84274283308746067</c:v>
                </c:pt>
                <c:pt idx="29">
                  <c:v>0.82892712427661763</c:v>
                </c:pt>
                <c:pt idx="30">
                  <c:v>0.81049700855069795</c:v>
                </c:pt>
                <c:pt idx="31">
                  <c:v>0.80615292377688852</c:v>
                </c:pt>
                <c:pt idx="32">
                  <c:v>0.80227610289287288</c:v>
                </c:pt>
                <c:pt idx="33">
                  <c:v>0.80076382132437041</c:v>
                </c:pt>
                <c:pt idx="34">
                  <c:v>0.79961330401779296</c:v>
                </c:pt>
                <c:pt idx="35">
                  <c:v>0.79896738645456167</c:v>
                </c:pt>
                <c:pt idx="36">
                  <c:v>0.79459442623605014</c:v>
                </c:pt>
                <c:pt idx="37">
                  <c:v>0.79372210999166382</c:v>
                </c:pt>
                <c:pt idx="38">
                  <c:v>0.78584249576187881</c:v>
                </c:pt>
                <c:pt idx="39">
                  <c:v>0.78518717654231507</c:v>
                </c:pt>
                <c:pt idx="40">
                  <c:v>0.77456883068530114</c:v>
                </c:pt>
                <c:pt idx="41">
                  <c:v>0.76708367278636036</c:v>
                </c:pt>
                <c:pt idx="42">
                  <c:v>0.7638088484886747</c:v>
                </c:pt>
                <c:pt idx="43">
                  <c:v>0.7637686182992024</c:v>
                </c:pt>
                <c:pt idx="44">
                  <c:v>0.7563270345753641</c:v>
                </c:pt>
                <c:pt idx="45">
                  <c:v>0.75624392088868586</c:v>
                </c:pt>
                <c:pt idx="46">
                  <c:v>0.75314792873226855</c:v>
                </c:pt>
                <c:pt idx="47">
                  <c:v>0.75175414252325301</c:v>
                </c:pt>
                <c:pt idx="48">
                  <c:v>0.7471783807109138</c:v>
                </c:pt>
                <c:pt idx="49">
                  <c:v>0.74614005532884953</c:v>
                </c:pt>
                <c:pt idx="50">
                  <c:v>0.7391035826900153</c:v>
                </c:pt>
                <c:pt idx="51">
                  <c:v>0.73609700972342917</c:v>
                </c:pt>
                <c:pt idx="52">
                  <c:v>0.73341954254590114</c:v>
                </c:pt>
                <c:pt idx="53">
                  <c:v>0.7283982865718569</c:v>
                </c:pt>
                <c:pt idx="54">
                  <c:v>0.72751297366026835</c:v>
                </c:pt>
                <c:pt idx="55">
                  <c:v>0.72137418816736909</c:v>
                </c:pt>
                <c:pt idx="56">
                  <c:v>0.71805739488938247</c:v>
                </c:pt>
                <c:pt idx="57">
                  <c:v>0.71767017843522862</c:v>
                </c:pt>
                <c:pt idx="58">
                  <c:v>0.71762173730592083</c:v>
                </c:pt>
                <c:pt idx="59">
                  <c:v>0.711249827908918</c:v>
                </c:pt>
                <c:pt idx="60">
                  <c:v>0.70910921639991731</c:v>
                </c:pt>
                <c:pt idx="61">
                  <c:v>0.7065992226877027</c:v>
                </c:pt>
                <c:pt idx="62">
                  <c:v>0.70192136462234411</c:v>
                </c:pt>
                <c:pt idx="63">
                  <c:v>0.70181880806533536</c:v>
                </c:pt>
                <c:pt idx="64">
                  <c:v>0.70022444098270975</c:v>
                </c:pt>
                <c:pt idx="65">
                  <c:v>0.69386244221660731</c:v>
                </c:pt>
                <c:pt idx="66">
                  <c:v>0.69009484616246541</c:v>
                </c:pt>
                <c:pt idx="67">
                  <c:v>0.6765475934005154</c:v>
                </c:pt>
                <c:pt idx="68">
                  <c:v>0.67391059833525468</c:v>
                </c:pt>
                <c:pt idx="69">
                  <c:v>0.66707443822474588</c:v>
                </c:pt>
                <c:pt idx="70">
                  <c:v>0.6626667210672359</c:v>
                </c:pt>
                <c:pt idx="71">
                  <c:v>0.66038095527720997</c:v>
                </c:pt>
                <c:pt idx="72">
                  <c:v>0.65366507565765053</c:v>
                </c:pt>
                <c:pt idx="73">
                  <c:v>0.64087017277053082</c:v>
                </c:pt>
                <c:pt idx="74">
                  <c:v>0.63943175233854355</c:v>
                </c:pt>
                <c:pt idx="75">
                  <c:v>0.62666224932315129</c:v>
                </c:pt>
                <c:pt idx="76">
                  <c:v>0.61783752361284217</c:v>
                </c:pt>
                <c:pt idx="77">
                  <c:v>0.61097085022130082</c:v>
                </c:pt>
                <c:pt idx="78">
                  <c:v>0.60188775609857403</c:v>
                </c:pt>
                <c:pt idx="79">
                  <c:v>0.59492615683908001</c:v>
                </c:pt>
                <c:pt idx="80">
                  <c:v>0.5884837346742553</c:v>
                </c:pt>
                <c:pt idx="81">
                  <c:v>0.58776112676915093</c:v>
                </c:pt>
                <c:pt idx="82">
                  <c:v>0.585512336310409</c:v>
                </c:pt>
                <c:pt idx="83">
                  <c:v>0.58317711961841401</c:v>
                </c:pt>
                <c:pt idx="84">
                  <c:v>0.57838986753067545</c:v>
                </c:pt>
                <c:pt idx="85">
                  <c:v>0.57801916482053084</c:v>
                </c:pt>
                <c:pt idx="86">
                  <c:v>0.57354313412309454</c:v>
                </c:pt>
                <c:pt idx="87">
                  <c:v>0.56635060789378877</c:v>
                </c:pt>
                <c:pt idx="88">
                  <c:v>0.56050183536177134</c:v>
                </c:pt>
                <c:pt idx="89">
                  <c:v>0.54918328568272479</c:v>
                </c:pt>
                <c:pt idx="90">
                  <c:v>0.54822583375598133</c:v>
                </c:pt>
                <c:pt idx="91">
                  <c:v>0.54598313631341877</c:v>
                </c:pt>
                <c:pt idx="92">
                  <c:v>0.54429313418907188</c:v>
                </c:pt>
                <c:pt idx="93">
                  <c:v>0.5385281828392352</c:v>
                </c:pt>
                <c:pt idx="94">
                  <c:v>0.53697194416363581</c:v>
                </c:pt>
                <c:pt idx="95">
                  <c:v>0.53680779541641566</c:v>
                </c:pt>
                <c:pt idx="96">
                  <c:v>0.53027259888900147</c:v>
                </c:pt>
                <c:pt idx="97">
                  <c:v>0.51274945475976474</c:v>
                </c:pt>
                <c:pt idx="98">
                  <c:v>0.51074864193701208</c:v>
                </c:pt>
                <c:pt idx="99">
                  <c:v>0.50838825245433439</c:v>
                </c:pt>
                <c:pt idx="100">
                  <c:v>0.50671967818955133</c:v>
                </c:pt>
                <c:pt idx="101">
                  <c:v>0.50336366256377607</c:v>
                </c:pt>
                <c:pt idx="102">
                  <c:v>0.4862902582120005</c:v>
                </c:pt>
                <c:pt idx="103">
                  <c:v>0.48509205278916329</c:v>
                </c:pt>
                <c:pt idx="104">
                  <c:v>0.48250066878079828</c:v>
                </c:pt>
                <c:pt idx="105">
                  <c:v>0.47614625593380988</c:v>
                </c:pt>
                <c:pt idx="106">
                  <c:v>0.47388265178233413</c:v>
                </c:pt>
                <c:pt idx="107">
                  <c:v>0.47132294304082384</c:v>
                </c:pt>
                <c:pt idx="108">
                  <c:v>0.46006746925174136</c:v>
                </c:pt>
                <c:pt idx="109">
                  <c:v>0.45043088769959427</c:v>
                </c:pt>
                <c:pt idx="110">
                  <c:v>0.44090219812812642</c:v>
                </c:pt>
                <c:pt idx="111">
                  <c:v>0.43642508450584383</c:v>
                </c:pt>
                <c:pt idx="112">
                  <c:v>0.43283440338992263</c:v>
                </c:pt>
                <c:pt idx="113">
                  <c:v>0.42021664264671205</c:v>
                </c:pt>
                <c:pt idx="114">
                  <c:v>0.41767561068520431</c:v>
                </c:pt>
                <c:pt idx="115">
                  <c:v>0.40138832623852222</c:v>
                </c:pt>
                <c:pt idx="116">
                  <c:v>0.3917627241098165</c:v>
                </c:pt>
                <c:pt idx="117">
                  <c:v>0.378184979538009</c:v>
                </c:pt>
                <c:pt idx="118">
                  <c:v>0.37600235780514479</c:v>
                </c:pt>
                <c:pt idx="119">
                  <c:v>0.37242161036247362</c:v>
                </c:pt>
                <c:pt idx="120">
                  <c:v>0.37021483365876479</c:v>
                </c:pt>
                <c:pt idx="121">
                  <c:v>0.36318479366642936</c:v>
                </c:pt>
                <c:pt idx="122">
                  <c:v>0.35161857220878573</c:v>
                </c:pt>
                <c:pt idx="123">
                  <c:v>0.34835393942653653</c:v>
                </c:pt>
                <c:pt idx="124">
                  <c:v>0.33009746888965397</c:v>
                </c:pt>
                <c:pt idx="125">
                  <c:v>0.32972093831113031</c:v>
                </c:pt>
                <c:pt idx="126">
                  <c:v>0.3240413454777738</c:v>
                </c:pt>
                <c:pt idx="127">
                  <c:v>0.32315248291366383</c:v>
                </c:pt>
                <c:pt idx="128">
                  <c:v>0.31211192956630474</c:v>
                </c:pt>
                <c:pt idx="129">
                  <c:v>0.30938165972882792</c:v>
                </c:pt>
                <c:pt idx="130">
                  <c:v>0.30585113976497846</c:v>
                </c:pt>
                <c:pt idx="131">
                  <c:v>0.30044602003406023</c:v>
                </c:pt>
                <c:pt idx="132">
                  <c:v>0.29685719471617861</c:v>
                </c:pt>
                <c:pt idx="133">
                  <c:v>0.2957893111205987</c:v>
                </c:pt>
                <c:pt idx="134">
                  <c:v>0.2953883180577685</c:v>
                </c:pt>
                <c:pt idx="135">
                  <c:v>0.29230426153086153</c:v>
                </c:pt>
                <c:pt idx="136">
                  <c:v>0.29176613011919189</c:v>
                </c:pt>
                <c:pt idx="137">
                  <c:v>0.29149686644987088</c:v>
                </c:pt>
                <c:pt idx="138">
                  <c:v>0.28920277773645148</c:v>
                </c:pt>
                <c:pt idx="139">
                  <c:v>0.28689906596096149</c:v>
                </c:pt>
                <c:pt idx="140">
                  <c:v>0.28499461133706333</c:v>
                </c:pt>
                <c:pt idx="141">
                  <c:v>0.2843128462815675</c:v>
                </c:pt>
                <c:pt idx="142">
                  <c:v>0.28226246248814746</c:v>
                </c:pt>
                <c:pt idx="143">
                  <c:v>0.28157729820122668</c:v>
                </c:pt>
                <c:pt idx="144">
                  <c:v>0.28034184662321393</c:v>
                </c:pt>
                <c:pt idx="145">
                  <c:v>0.26515455764715345</c:v>
                </c:pt>
                <c:pt idx="146">
                  <c:v>0.26487193610935877</c:v>
                </c:pt>
                <c:pt idx="147">
                  <c:v>0.25026204204835734</c:v>
                </c:pt>
                <c:pt idx="148">
                  <c:v>0.24997165165160481</c:v>
                </c:pt>
                <c:pt idx="149">
                  <c:v>0.24793460190518046</c:v>
                </c:pt>
                <c:pt idx="150">
                  <c:v>0.23540140686686345</c:v>
                </c:pt>
                <c:pt idx="151">
                  <c:v>0.23030646867983307</c:v>
                </c:pt>
                <c:pt idx="152">
                  <c:v>0.20424513337256073</c:v>
                </c:pt>
                <c:pt idx="153">
                  <c:v>0.20186971433965803</c:v>
                </c:pt>
                <c:pt idx="154">
                  <c:v>0.1883668883012973</c:v>
                </c:pt>
                <c:pt idx="155">
                  <c:v>0.18526398235433342</c:v>
                </c:pt>
                <c:pt idx="156">
                  <c:v>0.18526398235433342</c:v>
                </c:pt>
                <c:pt idx="157">
                  <c:v>0.1829657555214334</c:v>
                </c:pt>
                <c:pt idx="158">
                  <c:v>0.1692953122973869</c:v>
                </c:pt>
                <c:pt idx="159">
                  <c:v>0.1660748673191193</c:v>
                </c:pt>
                <c:pt idx="160">
                  <c:v>0.16094766495564278</c:v>
                </c:pt>
                <c:pt idx="161">
                  <c:v>0.16060397790061531</c:v>
                </c:pt>
                <c:pt idx="162">
                  <c:v>0.15888197768853959</c:v>
                </c:pt>
                <c:pt idx="163">
                  <c:v>0.1583642128062194</c:v>
                </c:pt>
                <c:pt idx="164">
                  <c:v>0.15594079872522745</c:v>
                </c:pt>
                <c:pt idx="165">
                  <c:v>0.14895021870989772</c:v>
                </c:pt>
                <c:pt idx="166">
                  <c:v>0.14718679110837737</c:v>
                </c:pt>
                <c:pt idx="167">
                  <c:v>0.13881077668961</c:v>
                </c:pt>
                <c:pt idx="168">
                  <c:v>0.13574432734143616</c:v>
                </c:pt>
                <c:pt idx="169">
                  <c:v>0.13320381837615489</c:v>
                </c:pt>
                <c:pt idx="170">
                  <c:v>0.12642142531138148</c:v>
                </c:pt>
                <c:pt idx="171">
                  <c:v>0.11840901012167723</c:v>
                </c:pt>
                <c:pt idx="172">
                  <c:v>0.10368060929662962</c:v>
                </c:pt>
                <c:pt idx="173">
                  <c:v>0.10094592328168016</c:v>
                </c:pt>
                <c:pt idx="174">
                  <c:v>9.9571603399391334E-2</c:v>
                </c:pt>
                <c:pt idx="175">
                  <c:v>9.8981161591374864E-2</c:v>
                </c:pt>
                <c:pt idx="176">
                  <c:v>9.0821455378430241E-2</c:v>
                </c:pt>
                <c:pt idx="177">
                  <c:v>9.0620262822526707E-2</c:v>
                </c:pt>
                <c:pt idx="178">
                  <c:v>9.0217556225230353E-2</c:v>
                </c:pt>
                <c:pt idx="179">
                  <c:v>8.9814419253218661E-2</c:v>
                </c:pt>
                <c:pt idx="180">
                  <c:v>8.8197525401465429E-2</c:v>
                </c:pt>
                <c:pt idx="181">
                  <c:v>8.7589378229400022E-2</c:v>
                </c:pt>
                <c:pt idx="182">
                  <c:v>8.3919225000716441E-2</c:v>
                </c:pt>
                <c:pt idx="183">
                  <c:v>8.0211335989767762E-2</c:v>
                </c:pt>
                <c:pt idx="184">
                  <c:v>7.7717504699759216E-2</c:v>
                </c:pt>
                <c:pt idx="185">
                  <c:v>7.2038622996592902E-2</c:v>
                </c:pt>
                <c:pt idx="186">
                  <c:v>6.3655545042087341E-2</c:v>
                </c:pt>
                <c:pt idx="187">
                  <c:v>5.5479070146439935E-2</c:v>
                </c:pt>
                <c:pt idx="188">
                  <c:v>5.1639381671745442E-2</c:v>
                </c:pt>
                <c:pt idx="189">
                  <c:v>4.0939659142793308E-2</c:v>
                </c:pt>
                <c:pt idx="190">
                  <c:v>3.9025698822403809E-2</c:v>
                </c:pt>
                <c:pt idx="191">
                  <c:v>3.75784381552383E-2</c:v>
                </c:pt>
                <c:pt idx="192">
                  <c:v>3.0171309464656001E-2</c:v>
                </c:pt>
                <c:pt idx="193">
                  <c:v>3.7653547085762049E-3</c:v>
                </c:pt>
                <c:pt idx="194">
                  <c:v>3.0339287846475041E-3</c:v>
                </c:pt>
              </c:numCache>
            </c:numRef>
          </c:yVal>
          <c:smooth val="1"/>
        </c:ser>
        <c:axId val="96383360"/>
        <c:axId val="96385280"/>
      </c:scatterChart>
      <c:valAx>
        <c:axId val="96383360"/>
        <c:scaling>
          <c:orientation val="minMax"/>
        </c:scaling>
        <c:axPos val="b"/>
        <c:title>
          <c:tx>
            <c:rich>
              <a:bodyPr/>
              <a:lstStyle/>
              <a:p>
                <a:pPr>
                  <a:defRPr sz="1000"/>
                </a:pPr>
                <a:r>
                  <a:rPr lang="en-US" sz="1000"/>
                  <a:t>Drought Severity</a:t>
                </a:r>
              </a:p>
            </c:rich>
          </c:tx>
          <c:layout/>
        </c:title>
        <c:numFmt formatCode="General" sourceLinked="1"/>
        <c:tickLblPos val="nextTo"/>
        <c:crossAx val="96385280"/>
        <c:crosses val="autoZero"/>
        <c:crossBetween val="midCat"/>
      </c:valAx>
      <c:valAx>
        <c:axId val="96385280"/>
        <c:scaling>
          <c:orientation val="minMax"/>
          <c:max val="1"/>
        </c:scaling>
        <c:axPos val="l"/>
        <c:title>
          <c:tx>
            <c:rich>
              <a:bodyPr rot="-5400000" vert="horz"/>
              <a:lstStyle/>
              <a:p>
                <a:pPr>
                  <a:defRPr sz="1000"/>
                </a:pPr>
                <a:r>
                  <a:rPr lang="en-US" sz="1000"/>
                  <a:t>Probability</a:t>
                </a:r>
              </a:p>
            </c:rich>
          </c:tx>
          <c:layout/>
        </c:title>
        <c:numFmt formatCode="General" sourceLinked="1"/>
        <c:tickLblPos val="nextTo"/>
        <c:crossAx val="96383360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57520933846879385"/>
          <c:y val="0.32181987338125001"/>
          <c:w val="0.14032278471415055"/>
          <c:h val="0.10973800364020554"/>
        </c:manualLayout>
      </c:layout>
      <c:overlay val="1"/>
    </c:legend>
    <c:plotVisOnly val="1"/>
  </c:chart>
  <c:spPr>
    <a:ln>
      <a:noFill/>
    </a:ln>
  </c:spPr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/>
      <c:scatterChart>
        <c:scatterStyle val="smoothMarker"/>
        <c:ser>
          <c:idx val="0"/>
          <c:order val="0"/>
          <c:tx>
            <c:v>Observed</c:v>
          </c:tx>
          <c:marker>
            <c:symbol val="none"/>
          </c:marker>
          <c:xVal>
            <c:numRef>
              <c:f>duration!$B$2:$B$197</c:f>
              <c:numCache>
                <c:formatCode>General</c:formatCode>
                <c:ptCount val="196"/>
                <c:pt idx="0">
                  <c:v>17</c:v>
                </c:pt>
                <c:pt idx="1">
                  <c:v>14</c:v>
                </c:pt>
                <c:pt idx="2">
                  <c:v>14</c:v>
                </c:pt>
                <c:pt idx="3">
                  <c:v>14</c:v>
                </c:pt>
                <c:pt idx="4">
                  <c:v>11</c:v>
                </c:pt>
                <c:pt idx="5">
                  <c:v>11</c:v>
                </c:pt>
                <c:pt idx="6">
                  <c:v>10</c:v>
                </c:pt>
                <c:pt idx="7">
                  <c:v>9</c:v>
                </c:pt>
                <c:pt idx="8">
                  <c:v>8</c:v>
                </c:pt>
                <c:pt idx="9">
                  <c:v>8</c:v>
                </c:pt>
                <c:pt idx="10">
                  <c:v>8</c:v>
                </c:pt>
                <c:pt idx="11">
                  <c:v>8</c:v>
                </c:pt>
                <c:pt idx="12">
                  <c:v>7</c:v>
                </c:pt>
                <c:pt idx="13">
                  <c:v>7</c:v>
                </c:pt>
                <c:pt idx="14">
                  <c:v>7</c:v>
                </c:pt>
                <c:pt idx="15">
                  <c:v>7</c:v>
                </c:pt>
                <c:pt idx="16">
                  <c:v>7</c:v>
                </c:pt>
                <c:pt idx="17">
                  <c:v>7</c:v>
                </c:pt>
                <c:pt idx="18">
                  <c:v>6</c:v>
                </c:pt>
                <c:pt idx="19">
                  <c:v>6</c:v>
                </c:pt>
                <c:pt idx="20">
                  <c:v>6</c:v>
                </c:pt>
                <c:pt idx="21">
                  <c:v>6</c:v>
                </c:pt>
                <c:pt idx="22">
                  <c:v>6</c:v>
                </c:pt>
                <c:pt idx="23">
                  <c:v>6</c:v>
                </c:pt>
                <c:pt idx="24">
                  <c:v>6</c:v>
                </c:pt>
                <c:pt idx="25">
                  <c:v>5</c:v>
                </c:pt>
                <c:pt idx="26">
                  <c:v>5</c:v>
                </c:pt>
                <c:pt idx="27">
                  <c:v>5</c:v>
                </c:pt>
                <c:pt idx="28">
                  <c:v>5</c:v>
                </c:pt>
                <c:pt idx="29">
                  <c:v>5</c:v>
                </c:pt>
                <c:pt idx="30">
                  <c:v>5</c:v>
                </c:pt>
                <c:pt idx="31">
                  <c:v>5</c:v>
                </c:pt>
                <c:pt idx="32">
                  <c:v>5</c:v>
                </c:pt>
                <c:pt idx="33">
                  <c:v>5</c:v>
                </c:pt>
                <c:pt idx="34">
                  <c:v>5</c:v>
                </c:pt>
                <c:pt idx="35">
                  <c:v>4</c:v>
                </c:pt>
                <c:pt idx="36">
                  <c:v>4</c:v>
                </c:pt>
                <c:pt idx="37">
                  <c:v>4</c:v>
                </c:pt>
                <c:pt idx="38">
                  <c:v>4</c:v>
                </c:pt>
                <c:pt idx="39">
                  <c:v>4</c:v>
                </c:pt>
                <c:pt idx="40">
                  <c:v>4</c:v>
                </c:pt>
                <c:pt idx="41">
                  <c:v>4</c:v>
                </c:pt>
                <c:pt idx="42">
                  <c:v>4</c:v>
                </c:pt>
                <c:pt idx="43">
                  <c:v>4</c:v>
                </c:pt>
                <c:pt idx="44">
                  <c:v>4</c:v>
                </c:pt>
                <c:pt idx="45">
                  <c:v>4</c:v>
                </c:pt>
                <c:pt idx="46">
                  <c:v>4</c:v>
                </c:pt>
                <c:pt idx="47">
                  <c:v>4</c:v>
                </c:pt>
                <c:pt idx="48">
                  <c:v>4</c:v>
                </c:pt>
                <c:pt idx="49">
                  <c:v>4</c:v>
                </c:pt>
                <c:pt idx="50">
                  <c:v>3</c:v>
                </c:pt>
                <c:pt idx="51">
                  <c:v>3</c:v>
                </c:pt>
                <c:pt idx="52">
                  <c:v>3</c:v>
                </c:pt>
                <c:pt idx="53">
                  <c:v>3</c:v>
                </c:pt>
                <c:pt idx="54">
                  <c:v>3</c:v>
                </c:pt>
                <c:pt idx="55">
                  <c:v>3</c:v>
                </c:pt>
                <c:pt idx="56">
                  <c:v>3</c:v>
                </c:pt>
                <c:pt idx="57">
                  <c:v>3</c:v>
                </c:pt>
                <c:pt idx="58">
                  <c:v>3</c:v>
                </c:pt>
                <c:pt idx="59">
                  <c:v>3</c:v>
                </c:pt>
                <c:pt idx="60">
                  <c:v>3</c:v>
                </c:pt>
                <c:pt idx="61">
                  <c:v>3</c:v>
                </c:pt>
                <c:pt idx="62">
                  <c:v>3</c:v>
                </c:pt>
                <c:pt idx="63">
                  <c:v>3</c:v>
                </c:pt>
                <c:pt idx="64">
                  <c:v>3</c:v>
                </c:pt>
                <c:pt idx="65">
                  <c:v>3</c:v>
                </c:pt>
                <c:pt idx="66">
                  <c:v>3</c:v>
                </c:pt>
                <c:pt idx="67">
                  <c:v>3</c:v>
                </c:pt>
                <c:pt idx="68">
                  <c:v>3</c:v>
                </c:pt>
                <c:pt idx="69">
                  <c:v>3</c:v>
                </c:pt>
                <c:pt idx="70">
                  <c:v>3</c:v>
                </c:pt>
                <c:pt idx="71">
                  <c:v>3</c:v>
                </c:pt>
                <c:pt idx="72">
                  <c:v>3</c:v>
                </c:pt>
                <c:pt idx="73">
                  <c:v>3</c:v>
                </c:pt>
                <c:pt idx="74">
                  <c:v>3</c:v>
                </c:pt>
                <c:pt idx="75">
                  <c:v>3</c:v>
                </c:pt>
                <c:pt idx="76">
                  <c:v>3</c:v>
                </c:pt>
                <c:pt idx="77">
                  <c:v>2</c:v>
                </c:pt>
                <c:pt idx="78">
                  <c:v>2</c:v>
                </c:pt>
                <c:pt idx="79">
                  <c:v>2</c:v>
                </c:pt>
                <c:pt idx="80">
                  <c:v>2</c:v>
                </c:pt>
                <c:pt idx="81">
                  <c:v>2</c:v>
                </c:pt>
                <c:pt idx="82">
                  <c:v>2</c:v>
                </c:pt>
                <c:pt idx="83">
                  <c:v>2</c:v>
                </c:pt>
                <c:pt idx="84">
                  <c:v>2</c:v>
                </c:pt>
                <c:pt idx="85">
                  <c:v>2</c:v>
                </c:pt>
                <c:pt idx="86">
                  <c:v>2</c:v>
                </c:pt>
                <c:pt idx="87">
                  <c:v>2</c:v>
                </c:pt>
                <c:pt idx="88">
                  <c:v>2</c:v>
                </c:pt>
                <c:pt idx="89">
                  <c:v>2</c:v>
                </c:pt>
                <c:pt idx="90">
                  <c:v>2</c:v>
                </c:pt>
                <c:pt idx="91">
                  <c:v>2</c:v>
                </c:pt>
                <c:pt idx="92">
                  <c:v>2</c:v>
                </c:pt>
                <c:pt idx="93">
                  <c:v>2</c:v>
                </c:pt>
                <c:pt idx="94">
                  <c:v>2</c:v>
                </c:pt>
                <c:pt idx="95">
                  <c:v>2</c:v>
                </c:pt>
                <c:pt idx="96">
                  <c:v>2</c:v>
                </c:pt>
                <c:pt idx="97">
                  <c:v>2</c:v>
                </c:pt>
                <c:pt idx="98">
                  <c:v>2</c:v>
                </c:pt>
                <c:pt idx="99">
                  <c:v>2</c:v>
                </c:pt>
                <c:pt idx="100">
                  <c:v>2</c:v>
                </c:pt>
                <c:pt idx="101">
                  <c:v>2</c:v>
                </c:pt>
                <c:pt idx="102">
                  <c:v>2</c:v>
                </c:pt>
                <c:pt idx="103">
                  <c:v>2</c:v>
                </c:pt>
                <c:pt idx="104">
                  <c:v>2</c:v>
                </c:pt>
                <c:pt idx="105">
                  <c:v>2</c:v>
                </c:pt>
                <c:pt idx="106">
                  <c:v>2</c:v>
                </c:pt>
                <c:pt idx="107">
                  <c:v>2</c:v>
                </c:pt>
                <c:pt idx="108">
                  <c:v>2</c:v>
                </c:pt>
                <c:pt idx="109">
                  <c:v>2</c:v>
                </c:pt>
                <c:pt idx="110">
                  <c:v>2</c:v>
                </c:pt>
                <c:pt idx="111">
                  <c:v>2</c:v>
                </c:pt>
                <c:pt idx="112">
                  <c:v>2</c:v>
                </c:pt>
                <c:pt idx="113">
                  <c:v>2</c:v>
                </c:pt>
                <c:pt idx="114">
                  <c:v>2</c:v>
                </c:pt>
                <c:pt idx="115">
                  <c:v>2</c:v>
                </c:pt>
                <c:pt idx="116">
                  <c:v>2</c:v>
                </c:pt>
                <c:pt idx="117">
                  <c:v>2</c:v>
                </c:pt>
                <c:pt idx="118">
                  <c:v>1</c:v>
                </c:pt>
                <c:pt idx="119">
                  <c:v>1</c:v>
                </c:pt>
                <c:pt idx="120">
                  <c:v>1</c:v>
                </c:pt>
                <c:pt idx="121">
                  <c:v>1</c:v>
                </c:pt>
                <c:pt idx="122">
                  <c:v>1</c:v>
                </c:pt>
                <c:pt idx="123">
                  <c:v>1</c:v>
                </c:pt>
                <c:pt idx="124">
                  <c:v>1</c:v>
                </c:pt>
                <c:pt idx="125">
                  <c:v>1</c:v>
                </c:pt>
                <c:pt idx="126">
                  <c:v>1</c:v>
                </c:pt>
                <c:pt idx="127">
                  <c:v>1</c:v>
                </c:pt>
                <c:pt idx="128">
                  <c:v>1</c:v>
                </c:pt>
                <c:pt idx="129">
                  <c:v>1</c:v>
                </c:pt>
                <c:pt idx="130">
                  <c:v>1</c:v>
                </c:pt>
                <c:pt idx="131">
                  <c:v>1</c:v>
                </c:pt>
                <c:pt idx="132">
                  <c:v>1</c:v>
                </c:pt>
                <c:pt idx="133">
                  <c:v>1</c:v>
                </c:pt>
                <c:pt idx="134">
                  <c:v>1</c:v>
                </c:pt>
                <c:pt idx="135">
                  <c:v>1</c:v>
                </c:pt>
                <c:pt idx="136">
                  <c:v>1</c:v>
                </c:pt>
                <c:pt idx="137">
                  <c:v>1</c:v>
                </c:pt>
                <c:pt idx="138">
                  <c:v>1</c:v>
                </c:pt>
                <c:pt idx="139">
                  <c:v>1</c:v>
                </c:pt>
                <c:pt idx="140">
                  <c:v>1</c:v>
                </c:pt>
                <c:pt idx="141">
                  <c:v>1</c:v>
                </c:pt>
                <c:pt idx="142">
                  <c:v>1</c:v>
                </c:pt>
                <c:pt idx="143">
                  <c:v>1</c:v>
                </c:pt>
                <c:pt idx="144">
                  <c:v>1</c:v>
                </c:pt>
                <c:pt idx="145">
                  <c:v>1</c:v>
                </c:pt>
                <c:pt idx="146">
                  <c:v>1</c:v>
                </c:pt>
                <c:pt idx="147">
                  <c:v>1</c:v>
                </c:pt>
                <c:pt idx="148">
                  <c:v>1</c:v>
                </c:pt>
                <c:pt idx="149">
                  <c:v>1</c:v>
                </c:pt>
                <c:pt idx="150">
                  <c:v>1</c:v>
                </c:pt>
                <c:pt idx="151">
                  <c:v>1</c:v>
                </c:pt>
                <c:pt idx="152">
                  <c:v>1</c:v>
                </c:pt>
                <c:pt idx="153">
                  <c:v>1</c:v>
                </c:pt>
                <c:pt idx="154">
                  <c:v>1</c:v>
                </c:pt>
                <c:pt idx="155">
                  <c:v>1</c:v>
                </c:pt>
                <c:pt idx="156">
                  <c:v>1</c:v>
                </c:pt>
                <c:pt idx="157">
                  <c:v>1</c:v>
                </c:pt>
                <c:pt idx="158">
                  <c:v>1</c:v>
                </c:pt>
                <c:pt idx="159">
                  <c:v>1</c:v>
                </c:pt>
                <c:pt idx="160">
                  <c:v>1</c:v>
                </c:pt>
                <c:pt idx="161">
                  <c:v>1</c:v>
                </c:pt>
                <c:pt idx="162">
                  <c:v>1</c:v>
                </c:pt>
                <c:pt idx="163">
                  <c:v>1</c:v>
                </c:pt>
                <c:pt idx="164">
                  <c:v>1</c:v>
                </c:pt>
                <c:pt idx="165">
                  <c:v>1</c:v>
                </c:pt>
                <c:pt idx="166">
                  <c:v>1</c:v>
                </c:pt>
                <c:pt idx="167">
                  <c:v>1</c:v>
                </c:pt>
                <c:pt idx="168">
                  <c:v>1</c:v>
                </c:pt>
                <c:pt idx="169">
                  <c:v>1</c:v>
                </c:pt>
                <c:pt idx="170">
                  <c:v>1</c:v>
                </c:pt>
                <c:pt idx="171">
                  <c:v>1</c:v>
                </c:pt>
                <c:pt idx="172">
                  <c:v>1</c:v>
                </c:pt>
                <c:pt idx="173">
                  <c:v>1</c:v>
                </c:pt>
                <c:pt idx="174">
                  <c:v>1</c:v>
                </c:pt>
                <c:pt idx="175">
                  <c:v>1</c:v>
                </c:pt>
                <c:pt idx="176">
                  <c:v>1</c:v>
                </c:pt>
                <c:pt idx="177">
                  <c:v>1</c:v>
                </c:pt>
                <c:pt idx="178">
                  <c:v>1</c:v>
                </c:pt>
                <c:pt idx="179">
                  <c:v>1</c:v>
                </c:pt>
                <c:pt idx="180">
                  <c:v>1</c:v>
                </c:pt>
                <c:pt idx="181">
                  <c:v>1</c:v>
                </c:pt>
                <c:pt idx="182">
                  <c:v>1</c:v>
                </c:pt>
                <c:pt idx="183">
                  <c:v>1</c:v>
                </c:pt>
                <c:pt idx="184">
                  <c:v>1</c:v>
                </c:pt>
                <c:pt idx="185">
                  <c:v>1</c:v>
                </c:pt>
                <c:pt idx="186">
                  <c:v>1</c:v>
                </c:pt>
                <c:pt idx="187">
                  <c:v>1</c:v>
                </c:pt>
                <c:pt idx="188">
                  <c:v>1</c:v>
                </c:pt>
                <c:pt idx="189">
                  <c:v>1</c:v>
                </c:pt>
                <c:pt idx="190">
                  <c:v>1</c:v>
                </c:pt>
                <c:pt idx="191">
                  <c:v>1</c:v>
                </c:pt>
                <c:pt idx="192">
                  <c:v>1</c:v>
                </c:pt>
                <c:pt idx="193">
                  <c:v>1</c:v>
                </c:pt>
                <c:pt idx="194">
                  <c:v>1</c:v>
                </c:pt>
                <c:pt idx="195">
                  <c:v>0</c:v>
                </c:pt>
              </c:numCache>
            </c:numRef>
          </c:xVal>
          <c:yVal>
            <c:numRef>
              <c:f>duration!$F$2:$F$197</c:f>
              <c:numCache>
                <c:formatCode>General</c:formatCode>
                <c:ptCount val="196"/>
                <c:pt idx="0">
                  <c:v>0.99487179487179489</c:v>
                </c:pt>
                <c:pt idx="1">
                  <c:v>0.98974358974358978</c:v>
                </c:pt>
                <c:pt idx="2">
                  <c:v>0.98974358974358978</c:v>
                </c:pt>
                <c:pt idx="3">
                  <c:v>0.98974358974358978</c:v>
                </c:pt>
                <c:pt idx="4">
                  <c:v>0.97435897435897434</c:v>
                </c:pt>
                <c:pt idx="5">
                  <c:v>0.97435897435897434</c:v>
                </c:pt>
                <c:pt idx="6">
                  <c:v>0.96410256410256412</c:v>
                </c:pt>
                <c:pt idx="7">
                  <c:v>0.95897435897435901</c:v>
                </c:pt>
                <c:pt idx="8">
                  <c:v>0.95384615384615379</c:v>
                </c:pt>
                <c:pt idx="9">
                  <c:v>0.95384615384615379</c:v>
                </c:pt>
                <c:pt idx="10">
                  <c:v>0.95384615384615379</c:v>
                </c:pt>
                <c:pt idx="11">
                  <c:v>0.95384615384615379</c:v>
                </c:pt>
                <c:pt idx="12">
                  <c:v>0.93333333333333335</c:v>
                </c:pt>
                <c:pt idx="13">
                  <c:v>0.93333333333333335</c:v>
                </c:pt>
                <c:pt idx="14">
                  <c:v>0.93333333333333335</c:v>
                </c:pt>
                <c:pt idx="15">
                  <c:v>0.93333333333333335</c:v>
                </c:pt>
                <c:pt idx="16">
                  <c:v>0.93333333333333335</c:v>
                </c:pt>
                <c:pt idx="17">
                  <c:v>0.93333333333333335</c:v>
                </c:pt>
                <c:pt idx="18">
                  <c:v>0.90256410256410258</c:v>
                </c:pt>
                <c:pt idx="19">
                  <c:v>0.90256410256410258</c:v>
                </c:pt>
                <c:pt idx="20">
                  <c:v>0.90256410256410258</c:v>
                </c:pt>
                <c:pt idx="21">
                  <c:v>0.90256410256410258</c:v>
                </c:pt>
                <c:pt idx="22">
                  <c:v>0.90256410256410258</c:v>
                </c:pt>
                <c:pt idx="23">
                  <c:v>0.90256410256410258</c:v>
                </c:pt>
                <c:pt idx="24">
                  <c:v>0.90256410256410258</c:v>
                </c:pt>
                <c:pt idx="25">
                  <c:v>0.8666666666666667</c:v>
                </c:pt>
                <c:pt idx="26">
                  <c:v>0.8666666666666667</c:v>
                </c:pt>
                <c:pt idx="27">
                  <c:v>0.8666666666666667</c:v>
                </c:pt>
                <c:pt idx="28">
                  <c:v>0.8666666666666667</c:v>
                </c:pt>
                <c:pt idx="29">
                  <c:v>0.8666666666666667</c:v>
                </c:pt>
                <c:pt idx="30">
                  <c:v>0.8666666666666667</c:v>
                </c:pt>
                <c:pt idx="31">
                  <c:v>0.8666666666666667</c:v>
                </c:pt>
                <c:pt idx="32">
                  <c:v>0.8666666666666667</c:v>
                </c:pt>
                <c:pt idx="33">
                  <c:v>0.8666666666666667</c:v>
                </c:pt>
                <c:pt idx="34">
                  <c:v>0.8666666666666667</c:v>
                </c:pt>
                <c:pt idx="35">
                  <c:v>0.81538461538461537</c:v>
                </c:pt>
                <c:pt idx="36">
                  <c:v>0.81538461538461537</c:v>
                </c:pt>
                <c:pt idx="37">
                  <c:v>0.81538461538461537</c:v>
                </c:pt>
                <c:pt idx="38">
                  <c:v>0.81538461538461537</c:v>
                </c:pt>
                <c:pt idx="39">
                  <c:v>0.81538461538461537</c:v>
                </c:pt>
                <c:pt idx="40">
                  <c:v>0.81538461538461537</c:v>
                </c:pt>
                <c:pt idx="41">
                  <c:v>0.81538461538461537</c:v>
                </c:pt>
                <c:pt idx="42">
                  <c:v>0.81538461538461537</c:v>
                </c:pt>
                <c:pt idx="43">
                  <c:v>0.81538461538461537</c:v>
                </c:pt>
                <c:pt idx="44">
                  <c:v>0.81538461538461537</c:v>
                </c:pt>
                <c:pt idx="45">
                  <c:v>0.81538461538461537</c:v>
                </c:pt>
                <c:pt idx="46">
                  <c:v>0.81538461538461537</c:v>
                </c:pt>
                <c:pt idx="47">
                  <c:v>0.81538461538461537</c:v>
                </c:pt>
                <c:pt idx="48">
                  <c:v>0.81538461538461537</c:v>
                </c:pt>
                <c:pt idx="49">
                  <c:v>0.81538461538461537</c:v>
                </c:pt>
                <c:pt idx="50">
                  <c:v>0.7384615384615385</c:v>
                </c:pt>
                <c:pt idx="51">
                  <c:v>0.7384615384615385</c:v>
                </c:pt>
                <c:pt idx="52">
                  <c:v>0.7384615384615385</c:v>
                </c:pt>
                <c:pt idx="53">
                  <c:v>0.7384615384615385</c:v>
                </c:pt>
                <c:pt idx="54">
                  <c:v>0.7384615384615385</c:v>
                </c:pt>
                <c:pt idx="55">
                  <c:v>0.7384615384615385</c:v>
                </c:pt>
                <c:pt idx="56">
                  <c:v>0.7384615384615385</c:v>
                </c:pt>
                <c:pt idx="57">
                  <c:v>0.7384615384615385</c:v>
                </c:pt>
                <c:pt idx="58">
                  <c:v>0.7384615384615385</c:v>
                </c:pt>
                <c:pt idx="59">
                  <c:v>0.7384615384615385</c:v>
                </c:pt>
                <c:pt idx="60">
                  <c:v>0.7384615384615385</c:v>
                </c:pt>
                <c:pt idx="61">
                  <c:v>0.7384615384615385</c:v>
                </c:pt>
                <c:pt idx="62">
                  <c:v>0.7384615384615385</c:v>
                </c:pt>
                <c:pt idx="63">
                  <c:v>0.7384615384615385</c:v>
                </c:pt>
                <c:pt idx="64">
                  <c:v>0.7384615384615385</c:v>
                </c:pt>
                <c:pt idx="65">
                  <c:v>0.7384615384615385</c:v>
                </c:pt>
                <c:pt idx="66">
                  <c:v>0.7384615384615385</c:v>
                </c:pt>
                <c:pt idx="67">
                  <c:v>0.7384615384615385</c:v>
                </c:pt>
                <c:pt idx="68">
                  <c:v>0.7384615384615385</c:v>
                </c:pt>
                <c:pt idx="69">
                  <c:v>0.7384615384615385</c:v>
                </c:pt>
                <c:pt idx="70">
                  <c:v>0.7384615384615385</c:v>
                </c:pt>
                <c:pt idx="71">
                  <c:v>0.7384615384615385</c:v>
                </c:pt>
                <c:pt idx="72">
                  <c:v>0.7384615384615385</c:v>
                </c:pt>
                <c:pt idx="73">
                  <c:v>0.7384615384615385</c:v>
                </c:pt>
                <c:pt idx="74">
                  <c:v>0.7384615384615385</c:v>
                </c:pt>
                <c:pt idx="75">
                  <c:v>0.7384615384615385</c:v>
                </c:pt>
                <c:pt idx="76">
                  <c:v>0.7384615384615385</c:v>
                </c:pt>
                <c:pt idx="77">
                  <c:v>0.6</c:v>
                </c:pt>
                <c:pt idx="78">
                  <c:v>0.6</c:v>
                </c:pt>
                <c:pt idx="79">
                  <c:v>0.6</c:v>
                </c:pt>
                <c:pt idx="80">
                  <c:v>0.6</c:v>
                </c:pt>
                <c:pt idx="81">
                  <c:v>0.6</c:v>
                </c:pt>
                <c:pt idx="82">
                  <c:v>0.6</c:v>
                </c:pt>
                <c:pt idx="83">
                  <c:v>0.6</c:v>
                </c:pt>
                <c:pt idx="84">
                  <c:v>0.6</c:v>
                </c:pt>
                <c:pt idx="85">
                  <c:v>0.6</c:v>
                </c:pt>
                <c:pt idx="86">
                  <c:v>0.6</c:v>
                </c:pt>
                <c:pt idx="87">
                  <c:v>0.6</c:v>
                </c:pt>
                <c:pt idx="88">
                  <c:v>0.6</c:v>
                </c:pt>
                <c:pt idx="89">
                  <c:v>0.6</c:v>
                </c:pt>
                <c:pt idx="90">
                  <c:v>0.6</c:v>
                </c:pt>
                <c:pt idx="91">
                  <c:v>0.6</c:v>
                </c:pt>
                <c:pt idx="92">
                  <c:v>0.6</c:v>
                </c:pt>
                <c:pt idx="93">
                  <c:v>0.6</c:v>
                </c:pt>
                <c:pt idx="94">
                  <c:v>0.6</c:v>
                </c:pt>
                <c:pt idx="95">
                  <c:v>0.6</c:v>
                </c:pt>
                <c:pt idx="96">
                  <c:v>0.6</c:v>
                </c:pt>
                <c:pt idx="97">
                  <c:v>0.6</c:v>
                </c:pt>
                <c:pt idx="98">
                  <c:v>0.6</c:v>
                </c:pt>
                <c:pt idx="99">
                  <c:v>0.6</c:v>
                </c:pt>
                <c:pt idx="100">
                  <c:v>0.6</c:v>
                </c:pt>
                <c:pt idx="101">
                  <c:v>0.6</c:v>
                </c:pt>
                <c:pt idx="102">
                  <c:v>0.6</c:v>
                </c:pt>
                <c:pt idx="103">
                  <c:v>0.6</c:v>
                </c:pt>
                <c:pt idx="104">
                  <c:v>0.6</c:v>
                </c:pt>
                <c:pt idx="105">
                  <c:v>0.6</c:v>
                </c:pt>
                <c:pt idx="106">
                  <c:v>0.6</c:v>
                </c:pt>
                <c:pt idx="107">
                  <c:v>0.6</c:v>
                </c:pt>
                <c:pt idx="108">
                  <c:v>0.6</c:v>
                </c:pt>
                <c:pt idx="109">
                  <c:v>0.6</c:v>
                </c:pt>
                <c:pt idx="110">
                  <c:v>0.6</c:v>
                </c:pt>
                <c:pt idx="111">
                  <c:v>0.6</c:v>
                </c:pt>
                <c:pt idx="112">
                  <c:v>0.6</c:v>
                </c:pt>
                <c:pt idx="113">
                  <c:v>0.6</c:v>
                </c:pt>
                <c:pt idx="114">
                  <c:v>0.6</c:v>
                </c:pt>
                <c:pt idx="115">
                  <c:v>0.6</c:v>
                </c:pt>
                <c:pt idx="116">
                  <c:v>0.6</c:v>
                </c:pt>
                <c:pt idx="117">
                  <c:v>0.6</c:v>
                </c:pt>
                <c:pt idx="118">
                  <c:v>0.38974358974358969</c:v>
                </c:pt>
                <c:pt idx="119">
                  <c:v>0.38974358974358969</c:v>
                </c:pt>
                <c:pt idx="120">
                  <c:v>0.38974358974358969</c:v>
                </c:pt>
                <c:pt idx="121">
                  <c:v>0.38974358974358969</c:v>
                </c:pt>
                <c:pt idx="122">
                  <c:v>0.38974358974358969</c:v>
                </c:pt>
                <c:pt idx="123">
                  <c:v>0.38974358974358969</c:v>
                </c:pt>
                <c:pt idx="124">
                  <c:v>0.38974358974358969</c:v>
                </c:pt>
                <c:pt idx="125">
                  <c:v>0.38974358974358969</c:v>
                </c:pt>
                <c:pt idx="126">
                  <c:v>0.38974358974358969</c:v>
                </c:pt>
                <c:pt idx="127">
                  <c:v>0.38974358974358969</c:v>
                </c:pt>
                <c:pt idx="128">
                  <c:v>0.38974358974358969</c:v>
                </c:pt>
                <c:pt idx="129">
                  <c:v>0.38974358974358969</c:v>
                </c:pt>
                <c:pt idx="130">
                  <c:v>0.38974358974358969</c:v>
                </c:pt>
                <c:pt idx="131">
                  <c:v>0.38974358974358969</c:v>
                </c:pt>
                <c:pt idx="132">
                  <c:v>0.38974358974358969</c:v>
                </c:pt>
                <c:pt idx="133">
                  <c:v>0.38974358974358969</c:v>
                </c:pt>
                <c:pt idx="134">
                  <c:v>0.38974358974358969</c:v>
                </c:pt>
                <c:pt idx="135">
                  <c:v>0.38974358974358969</c:v>
                </c:pt>
                <c:pt idx="136">
                  <c:v>0.38974358974358969</c:v>
                </c:pt>
                <c:pt idx="137">
                  <c:v>0.38974358974358969</c:v>
                </c:pt>
                <c:pt idx="138">
                  <c:v>0.38974358974358969</c:v>
                </c:pt>
                <c:pt idx="139">
                  <c:v>0.38974358974358969</c:v>
                </c:pt>
                <c:pt idx="140">
                  <c:v>0.38974358974358969</c:v>
                </c:pt>
                <c:pt idx="141">
                  <c:v>0.38974358974358969</c:v>
                </c:pt>
                <c:pt idx="142">
                  <c:v>0.38974358974358969</c:v>
                </c:pt>
                <c:pt idx="143">
                  <c:v>0.38974358974358969</c:v>
                </c:pt>
                <c:pt idx="144">
                  <c:v>0.38974358974358969</c:v>
                </c:pt>
                <c:pt idx="145">
                  <c:v>0.38974358974358969</c:v>
                </c:pt>
                <c:pt idx="146">
                  <c:v>0.38974358974358969</c:v>
                </c:pt>
                <c:pt idx="147">
                  <c:v>0.38974358974358969</c:v>
                </c:pt>
                <c:pt idx="148">
                  <c:v>0.38974358974358969</c:v>
                </c:pt>
                <c:pt idx="149">
                  <c:v>0.38974358974358969</c:v>
                </c:pt>
                <c:pt idx="150">
                  <c:v>0.38974358974358969</c:v>
                </c:pt>
                <c:pt idx="151">
                  <c:v>0.38974358974358969</c:v>
                </c:pt>
                <c:pt idx="152">
                  <c:v>0.38974358974358969</c:v>
                </c:pt>
                <c:pt idx="153">
                  <c:v>0.38974358974358969</c:v>
                </c:pt>
                <c:pt idx="154">
                  <c:v>0.38974358974358969</c:v>
                </c:pt>
                <c:pt idx="155">
                  <c:v>0.38974358974358969</c:v>
                </c:pt>
                <c:pt idx="156">
                  <c:v>0.38974358974358969</c:v>
                </c:pt>
                <c:pt idx="157">
                  <c:v>0.38974358974358969</c:v>
                </c:pt>
                <c:pt idx="158">
                  <c:v>0.38974358974358969</c:v>
                </c:pt>
                <c:pt idx="159">
                  <c:v>0.38974358974358969</c:v>
                </c:pt>
                <c:pt idx="160">
                  <c:v>0.38974358974358969</c:v>
                </c:pt>
                <c:pt idx="161">
                  <c:v>0.38974358974358969</c:v>
                </c:pt>
                <c:pt idx="162">
                  <c:v>0.38974358974358969</c:v>
                </c:pt>
                <c:pt idx="163">
                  <c:v>0.38974358974358969</c:v>
                </c:pt>
                <c:pt idx="164">
                  <c:v>0.38974358974358969</c:v>
                </c:pt>
                <c:pt idx="165">
                  <c:v>0.38974358974358969</c:v>
                </c:pt>
                <c:pt idx="166">
                  <c:v>0.38974358974358969</c:v>
                </c:pt>
                <c:pt idx="167">
                  <c:v>0.38974358974358969</c:v>
                </c:pt>
                <c:pt idx="168">
                  <c:v>0.38974358974358969</c:v>
                </c:pt>
                <c:pt idx="169">
                  <c:v>0.38974358974358969</c:v>
                </c:pt>
                <c:pt idx="170">
                  <c:v>0.38974358974358969</c:v>
                </c:pt>
                <c:pt idx="171">
                  <c:v>0.38974358974358969</c:v>
                </c:pt>
                <c:pt idx="172">
                  <c:v>0.38974358974358969</c:v>
                </c:pt>
                <c:pt idx="173">
                  <c:v>0.38974358974358969</c:v>
                </c:pt>
                <c:pt idx="174">
                  <c:v>0.38974358974358969</c:v>
                </c:pt>
                <c:pt idx="175">
                  <c:v>0.38974358974358969</c:v>
                </c:pt>
                <c:pt idx="176">
                  <c:v>0.38974358974358969</c:v>
                </c:pt>
                <c:pt idx="177">
                  <c:v>0.38974358974358969</c:v>
                </c:pt>
                <c:pt idx="178">
                  <c:v>0.38974358974358969</c:v>
                </c:pt>
                <c:pt idx="179">
                  <c:v>0.38974358974358969</c:v>
                </c:pt>
                <c:pt idx="180">
                  <c:v>0.38974358974358969</c:v>
                </c:pt>
                <c:pt idx="181">
                  <c:v>0.38974358974358969</c:v>
                </c:pt>
                <c:pt idx="182">
                  <c:v>0.38974358974358969</c:v>
                </c:pt>
                <c:pt idx="183">
                  <c:v>0.38974358974358969</c:v>
                </c:pt>
                <c:pt idx="184">
                  <c:v>0.38974358974358969</c:v>
                </c:pt>
                <c:pt idx="185">
                  <c:v>0.38974358974358969</c:v>
                </c:pt>
                <c:pt idx="186">
                  <c:v>0.38974358974358969</c:v>
                </c:pt>
                <c:pt idx="187">
                  <c:v>0.38974358974358969</c:v>
                </c:pt>
                <c:pt idx="188">
                  <c:v>0.38974358974358969</c:v>
                </c:pt>
                <c:pt idx="189">
                  <c:v>0.38974358974358969</c:v>
                </c:pt>
                <c:pt idx="190">
                  <c:v>0.38974358974358969</c:v>
                </c:pt>
                <c:pt idx="191">
                  <c:v>0.38974358974358969</c:v>
                </c:pt>
                <c:pt idx="192">
                  <c:v>0.38974358974358969</c:v>
                </c:pt>
                <c:pt idx="193">
                  <c:v>0.38974358974358969</c:v>
                </c:pt>
                <c:pt idx="194">
                  <c:v>0.38974358974358969</c:v>
                </c:pt>
                <c:pt idx="195">
                  <c:v>0</c:v>
                </c:pt>
              </c:numCache>
            </c:numRef>
          </c:yVal>
          <c:smooth val="1"/>
        </c:ser>
        <c:ser>
          <c:idx val="1"/>
          <c:order val="1"/>
          <c:tx>
            <c:v>Fitted Gamma</c:v>
          </c:tx>
          <c:spPr>
            <a:ln w="50800">
              <a:prstDash val="sysDot"/>
            </a:ln>
          </c:spPr>
          <c:marker>
            <c:symbol val="none"/>
          </c:marker>
          <c:xVal>
            <c:numRef>
              <c:f>duration!$B$2:$B$197</c:f>
              <c:numCache>
                <c:formatCode>General</c:formatCode>
                <c:ptCount val="196"/>
                <c:pt idx="0">
                  <c:v>17</c:v>
                </c:pt>
                <c:pt idx="1">
                  <c:v>14</c:v>
                </c:pt>
                <c:pt idx="2">
                  <c:v>14</c:v>
                </c:pt>
                <c:pt idx="3">
                  <c:v>14</c:v>
                </c:pt>
                <c:pt idx="4">
                  <c:v>11</c:v>
                </c:pt>
                <c:pt idx="5">
                  <c:v>11</c:v>
                </c:pt>
                <c:pt idx="6">
                  <c:v>10</c:v>
                </c:pt>
                <c:pt idx="7">
                  <c:v>9</c:v>
                </c:pt>
                <c:pt idx="8">
                  <c:v>8</c:v>
                </c:pt>
                <c:pt idx="9">
                  <c:v>8</c:v>
                </c:pt>
                <c:pt idx="10">
                  <c:v>8</c:v>
                </c:pt>
                <c:pt idx="11">
                  <c:v>8</c:v>
                </c:pt>
                <c:pt idx="12">
                  <c:v>7</c:v>
                </c:pt>
                <c:pt idx="13">
                  <c:v>7</c:v>
                </c:pt>
                <c:pt idx="14">
                  <c:v>7</c:v>
                </c:pt>
                <c:pt idx="15">
                  <c:v>7</c:v>
                </c:pt>
                <c:pt idx="16">
                  <c:v>7</c:v>
                </c:pt>
                <c:pt idx="17">
                  <c:v>7</c:v>
                </c:pt>
                <c:pt idx="18">
                  <c:v>6</c:v>
                </c:pt>
                <c:pt idx="19">
                  <c:v>6</c:v>
                </c:pt>
                <c:pt idx="20">
                  <c:v>6</c:v>
                </c:pt>
                <c:pt idx="21">
                  <c:v>6</c:v>
                </c:pt>
                <c:pt idx="22">
                  <c:v>6</c:v>
                </c:pt>
                <c:pt idx="23">
                  <c:v>6</c:v>
                </c:pt>
                <c:pt idx="24">
                  <c:v>6</c:v>
                </c:pt>
                <c:pt idx="25">
                  <c:v>5</c:v>
                </c:pt>
                <c:pt idx="26">
                  <c:v>5</c:v>
                </c:pt>
                <c:pt idx="27">
                  <c:v>5</c:v>
                </c:pt>
                <c:pt idx="28">
                  <c:v>5</c:v>
                </c:pt>
                <c:pt idx="29">
                  <c:v>5</c:v>
                </c:pt>
                <c:pt idx="30">
                  <c:v>5</c:v>
                </c:pt>
                <c:pt idx="31">
                  <c:v>5</c:v>
                </c:pt>
                <c:pt idx="32">
                  <c:v>5</c:v>
                </c:pt>
                <c:pt idx="33">
                  <c:v>5</c:v>
                </c:pt>
                <c:pt idx="34">
                  <c:v>5</c:v>
                </c:pt>
                <c:pt idx="35">
                  <c:v>4</c:v>
                </c:pt>
                <c:pt idx="36">
                  <c:v>4</c:v>
                </c:pt>
                <c:pt idx="37">
                  <c:v>4</c:v>
                </c:pt>
                <c:pt idx="38">
                  <c:v>4</c:v>
                </c:pt>
                <c:pt idx="39">
                  <c:v>4</c:v>
                </c:pt>
                <c:pt idx="40">
                  <c:v>4</c:v>
                </c:pt>
                <c:pt idx="41">
                  <c:v>4</c:v>
                </c:pt>
                <c:pt idx="42">
                  <c:v>4</c:v>
                </c:pt>
                <c:pt idx="43">
                  <c:v>4</c:v>
                </c:pt>
                <c:pt idx="44">
                  <c:v>4</c:v>
                </c:pt>
                <c:pt idx="45">
                  <c:v>4</c:v>
                </c:pt>
                <c:pt idx="46">
                  <c:v>4</c:v>
                </c:pt>
                <c:pt idx="47">
                  <c:v>4</c:v>
                </c:pt>
                <c:pt idx="48">
                  <c:v>4</c:v>
                </c:pt>
                <c:pt idx="49">
                  <c:v>4</c:v>
                </c:pt>
                <c:pt idx="50">
                  <c:v>3</c:v>
                </c:pt>
                <c:pt idx="51">
                  <c:v>3</c:v>
                </c:pt>
                <c:pt idx="52">
                  <c:v>3</c:v>
                </c:pt>
                <c:pt idx="53">
                  <c:v>3</c:v>
                </c:pt>
                <c:pt idx="54">
                  <c:v>3</c:v>
                </c:pt>
                <c:pt idx="55">
                  <c:v>3</c:v>
                </c:pt>
                <c:pt idx="56">
                  <c:v>3</c:v>
                </c:pt>
                <c:pt idx="57">
                  <c:v>3</c:v>
                </c:pt>
                <c:pt idx="58">
                  <c:v>3</c:v>
                </c:pt>
                <c:pt idx="59">
                  <c:v>3</c:v>
                </c:pt>
                <c:pt idx="60">
                  <c:v>3</c:v>
                </c:pt>
                <c:pt idx="61">
                  <c:v>3</c:v>
                </c:pt>
                <c:pt idx="62">
                  <c:v>3</c:v>
                </c:pt>
                <c:pt idx="63">
                  <c:v>3</c:v>
                </c:pt>
                <c:pt idx="64">
                  <c:v>3</c:v>
                </c:pt>
                <c:pt idx="65">
                  <c:v>3</c:v>
                </c:pt>
                <c:pt idx="66">
                  <c:v>3</c:v>
                </c:pt>
                <c:pt idx="67">
                  <c:v>3</c:v>
                </c:pt>
                <c:pt idx="68">
                  <c:v>3</c:v>
                </c:pt>
                <c:pt idx="69">
                  <c:v>3</c:v>
                </c:pt>
                <c:pt idx="70">
                  <c:v>3</c:v>
                </c:pt>
                <c:pt idx="71">
                  <c:v>3</c:v>
                </c:pt>
                <c:pt idx="72">
                  <c:v>3</c:v>
                </c:pt>
                <c:pt idx="73">
                  <c:v>3</c:v>
                </c:pt>
                <c:pt idx="74">
                  <c:v>3</c:v>
                </c:pt>
                <c:pt idx="75">
                  <c:v>3</c:v>
                </c:pt>
                <c:pt idx="76">
                  <c:v>3</c:v>
                </c:pt>
                <c:pt idx="77">
                  <c:v>2</c:v>
                </c:pt>
                <c:pt idx="78">
                  <c:v>2</c:v>
                </c:pt>
                <c:pt idx="79">
                  <c:v>2</c:v>
                </c:pt>
                <c:pt idx="80">
                  <c:v>2</c:v>
                </c:pt>
                <c:pt idx="81">
                  <c:v>2</c:v>
                </c:pt>
                <c:pt idx="82">
                  <c:v>2</c:v>
                </c:pt>
                <c:pt idx="83">
                  <c:v>2</c:v>
                </c:pt>
                <c:pt idx="84">
                  <c:v>2</c:v>
                </c:pt>
                <c:pt idx="85">
                  <c:v>2</c:v>
                </c:pt>
                <c:pt idx="86">
                  <c:v>2</c:v>
                </c:pt>
                <c:pt idx="87">
                  <c:v>2</c:v>
                </c:pt>
                <c:pt idx="88">
                  <c:v>2</c:v>
                </c:pt>
                <c:pt idx="89">
                  <c:v>2</c:v>
                </c:pt>
                <c:pt idx="90">
                  <c:v>2</c:v>
                </c:pt>
                <c:pt idx="91">
                  <c:v>2</c:v>
                </c:pt>
                <c:pt idx="92">
                  <c:v>2</c:v>
                </c:pt>
                <c:pt idx="93">
                  <c:v>2</c:v>
                </c:pt>
                <c:pt idx="94">
                  <c:v>2</c:v>
                </c:pt>
                <c:pt idx="95">
                  <c:v>2</c:v>
                </c:pt>
                <c:pt idx="96">
                  <c:v>2</c:v>
                </c:pt>
                <c:pt idx="97">
                  <c:v>2</c:v>
                </c:pt>
                <c:pt idx="98">
                  <c:v>2</c:v>
                </c:pt>
                <c:pt idx="99">
                  <c:v>2</c:v>
                </c:pt>
                <c:pt idx="100">
                  <c:v>2</c:v>
                </c:pt>
                <c:pt idx="101">
                  <c:v>2</c:v>
                </c:pt>
                <c:pt idx="102">
                  <c:v>2</c:v>
                </c:pt>
                <c:pt idx="103">
                  <c:v>2</c:v>
                </c:pt>
                <c:pt idx="104">
                  <c:v>2</c:v>
                </c:pt>
                <c:pt idx="105">
                  <c:v>2</c:v>
                </c:pt>
                <c:pt idx="106">
                  <c:v>2</c:v>
                </c:pt>
                <c:pt idx="107">
                  <c:v>2</c:v>
                </c:pt>
                <c:pt idx="108">
                  <c:v>2</c:v>
                </c:pt>
                <c:pt idx="109">
                  <c:v>2</c:v>
                </c:pt>
                <c:pt idx="110">
                  <c:v>2</c:v>
                </c:pt>
                <c:pt idx="111">
                  <c:v>2</c:v>
                </c:pt>
                <c:pt idx="112">
                  <c:v>2</c:v>
                </c:pt>
                <c:pt idx="113">
                  <c:v>2</c:v>
                </c:pt>
                <c:pt idx="114">
                  <c:v>2</c:v>
                </c:pt>
                <c:pt idx="115">
                  <c:v>2</c:v>
                </c:pt>
                <c:pt idx="116">
                  <c:v>2</c:v>
                </c:pt>
                <c:pt idx="117">
                  <c:v>2</c:v>
                </c:pt>
                <c:pt idx="118">
                  <c:v>1</c:v>
                </c:pt>
                <c:pt idx="119">
                  <c:v>1</c:v>
                </c:pt>
                <c:pt idx="120">
                  <c:v>1</c:v>
                </c:pt>
                <c:pt idx="121">
                  <c:v>1</c:v>
                </c:pt>
                <c:pt idx="122">
                  <c:v>1</c:v>
                </c:pt>
                <c:pt idx="123">
                  <c:v>1</c:v>
                </c:pt>
                <c:pt idx="124">
                  <c:v>1</c:v>
                </c:pt>
                <c:pt idx="125">
                  <c:v>1</c:v>
                </c:pt>
                <c:pt idx="126">
                  <c:v>1</c:v>
                </c:pt>
                <c:pt idx="127">
                  <c:v>1</c:v>
                </c:pt>
                <c:pt idx="128">
                  <c:v>1</c:v>
                </c:pt>
                <c:pt idx="129">
                  <c:v>1</c:v>
                </c:pt>
                <c:pt idx="130">
                  <c:v>1</c:v>
                </c:pt>
                <c:pt idx="131">
                  <c:v>1</c:v>
                </c:pt>
                <c:pt idx="132">
                  <c:v>1</c:v>
                </c:pt>
                <c:pt idx="133">
                  <c:v>1</c:v>
                </c:pt>
                <c:pt idx="134">
                  <c:v>1</c:v>
                </c:pt>
                <c:pt idx="135">
                  <c:v>1</c:v>
                </c:pt>
                <c:pt idx="136">
                  <c:v>1</c:v>
                </c:pt>
                <c:pt idx="137">
                  <c:v>1</c:v>
                </c:pt>
                <c:pt idx="138">
                  <c:v>1</c:v>
                </c:pt>
                <c:pt idx="139">
                  <c:v>1</c:v>
                </c:pt>
                <c:pt idx="140">
                  <c:v>1</c:v>
                </c:pt>
                <c:pt idx="141">
                  <c:v>1</c:v>
                </c:pt>
                <c:pt idx="142">
                  <c:v>1</c:v>
                </c:pt>
                <c:pt idx="143">
                  <c:v>1</c:v>
                </c:pt>
                <c:pt idx="144">
                  <c:v>1</c:v>
                </c:pt>
                <c:pt idx="145">
                  <c:v>1</c:v>
                </c:pt>
                <c:pt idx="146">
                  <c:v>1</c:v>
                </c:pt>
                <c:pt idx="147">
                  <c:v>1</c:v>
                </c:pt>
                <c:pt idx="148">
                  <c:v>1</c:v>
                </c:pt>
                <c:pt idx="149">
                  <c:v>1</c:v>
                </c:pt>
                <c:pt idx="150">
                  <c:v>1</c:v>
                </c:pt>
                <c:pt idx="151">
                  <c:v>1</c:v>
                </c:pt>
                <c:pt idx="152">
                  <c:v>1</c:v>
                </c:pt>
                <c:pt idx="153">
                  <c:v>1</c:v>
                </c:pt>
                <c:pt idx="154">
                  <c:v>1</c:v>
                </c:pt>
                <c:pt idx="155">
                  <c:v>1</c:v>
                </c:pt>
                <c:pt idx="156">
                  <c:v>1</c:v>
                </c:pt>
                <c:pt idx="157">
                  <c:v>1</c:v>
                </c:pt>
                <c:pt idx="158">
                  <c:v>1</c:v>
                </c:pt>
                <c:pt idx="159">
                  <c:v>1</c:v>
                </c:pt>
                <c:pt idx="160">
                  <c:v>1</c:v>
                </c:pt>
                <c:pt idx="161">
                  <c:v>1</c:v>
                </c:pt>
                <c:pt idx="162">
                  <c:v>1</c:v>
                </c:pt>
                <c:pt idx="163">
                  <c:v>1</c:v>
                </c:pt>
                <c:pt idx="164">
                  <c:v>1</c:v>
                </c:pt>
                <c:pt idx="165">
                  <c:v>1</c:v>
                </c:pt>
                <c:pt idx="166">
                  <c:v>1</c:v>
                </c:pt>
                <c:pt idx="167">
                  <c:v>1</c:v>
                </c:pt>
                <c:pt idx="168">
                  <c:v>1</c:v>
                </c:pt>
                <c:pt idx="169">
                  <c:v>1</c:v>
                </c:pt>
                <c:pt idx="170">
                  <c:v>1</c:v>
                </c:pt>
                <c:pt idx="171">
                  <c:v>1</c:v>
                </c:pt>
                <c:pt idx="172">
                  <c:v>1</c:v>
                </c:pt>
                <c:pt idx="173">
                  <c:v>1</c:v>
                </c:pt>
                <c:pt idx="174">
                  <c:v>1</c:v>
                </c:pt>
                <c:pt idx="175">
                  <c:v>1</c:v>
                </c:pt>
                <c:pt idx="176">
                  <c:v>1</c:v>
                </c:pt>
                <c:pt idx="177">
                  <c:v>1</c:v>
                </c:pt>
                <c:pt idx="178">
                  <c:v>1</c:v>
                </c:pt>
                <c:pt idx="179">
                  <c:v>1</c:v>
                </c:pt>
                <c:pt idx="180">
                  <c:v>1</c:v>
                </c:pt>
                <c:pt idx="181">
                  <c:v>1</c:v>
                </c:pt>
                <c:pt idx="182">
                  <c:v>1</c:v>
                </c:pt>
                <c:pt idx="183">
                  <c:v>1</c:v>
                </c:pt>
                <c:pt idx="184">
                  <c:v>1</c:v>
                </c:pt>
                <c:pt idx="185">
                  <c:v>1</c:v>
                </c:pt>
                <c:pt idx="186">
                  <c:v>1</c:v>
                </c:pt>
                <c:pt idx="187">
                  <c:v>1</c:v>
                </c:pt>
                <c:pt idx="188">
                  <c:v>1</c:v>
                </c:pt>
                <c:pt idx="189">
                  <c:v>1</c:v>
                </c:pt>
                <c:pt idx="190">
                  <c:v>1</c:v>
                </c:pt>
                <c:pt idx="191">
                  <c:v>1</c:v>
                </c:pt>
                <c:pt idx="192">
                  <c:v>1</c:v>
                </c:pt>
                <c:pt idx="193">
                  <c:v>1</c:v>
                </c:pt>
                <c:pt idx="194">
                  <c:v>1</c:v>
                </c:pt>
                <c:pt idx="195">
                  <c:v>0</c:v>
                </c:pt>
              </c:numCache>
            </c:numRef>
          </c:xVal>
          <c:yVal>
            <c:numRef>
              <c:f>duration!$K$2:$K$197</c:f>
              <c:numCache>
                <c:formatCode>General</c:formatCode>
                <c:ptCount val="196"/>
                <c:pt idx="0">
                  <c:v>0.99852489129987776</c:v>
                </c:pt>
                <c:pt idx="1">
                  <c:v>0.99558879391623878</c:v>
                </c:pt>
                <c:pt idx="2">
                  <c:v>0.99558879391623878</c:v>
                </c:pt>
                <c:pt idx="3">
                  <c:v>0.99558879391623878</c:v>
                </c:pt>
                <c:pt idx="4">
                  <c:v>0.98672543480496089</c:v>
                </c:pt>
                <c:pt idx="5">
                  <c:v>0.98672543480496089</c:v>
                </c:pt>
                <c:pt idx="6">
                  <c:v>0.98079833579356512</c:v>
                </c:pt>
                <c:pt idx="7">
                  <c:v>0.97219030800524564</c:v>
                </c:pt>
                <c:pt idx="8">
                  <c:v>0.95966335984163786</c:v>
                </c:pt>
                <c:pt idx="9">
                  <c:v>0.95966335984163786</c:v>
                </c:pt>
                <c:pt idx="10">
                  <c:v>0.95966335984163786</c:v>
                </c:pt>
                <c:pt idx="11">
                  <c:v>0.95966335984163786</c:v>
                </c:pt>
                <c:pt idx="12">
                  <c:v>0.94138698713725888</c:v>
                </c:pt>
                <c:pt idx="13">
                  <c:v>0.94138698713725888</c:v>
                </c:pt>
                <c:pt idx="14">
                  <c:v>0.94138698713725888</c:v>
                </c:pt>
                <c:pt idx="15">
                  <c:v>0.94138698713725888</c:v>
                </c:pt>
                <c:pt idx="16">
                  <c:v>0.94138698713725888</c:v>
                </c:pt>
                <c:pt idx="17">
                  <c:v>0.94138698713725888</c:v>
                </c:pt>
                <c:pt idx="18">
                  <c:v>0.91463493880472779</c:v>
                </c:pt>
                <c:pt idx="19">
                  <c:v>0.91463493880472779</c:v>
                </c:pt>
                <c:pt idx="20">
                  <c:v>0.91463493880472779</c:v>
                </c:pt>
                <c:pt idx="21">
                  <c:v>0.91463493880472779</c:v>
                </c:pt>
                <c:pt idx="22">
                  <c:v>0.91463493880472779</c:v>
                </c:pt>
                <c:pt idx="23">
                  <c:v>0.91463493880472779</c:v>
                </c:pt>
                <c:pt idx="24">
                  <c:v>0.91463493880472779</c:v>
                </c:pt>
                <c:pt idx="25">
                  <c:v>0.87530442238360262</c:v>
                </c:pt>
                <c:pt idx="26">
                  <c:v>0.87530442238360262</c:v>
                </c:pt>
                <c:pt idx="27">
                  <c:v>0.87530442238360262</c:v>
                </c:pt>
                <c:pt idx="28">
                  <c:v>0.87530442238360262</c:v>
                </c:pt>
                <c:pt idx="29">
                  <c:v>0.87530442238360262</c:v>
                </c:pt>
                <c:pt idx="30">
                  <c:v>0.87530442238360262</c:v>
                </c:pt>
                <c:pt idx="31">
                  <c:v>0.87530442238360262</c:v>
                </c:pt>
                <c:pt idx="32">
                  <c:v>0.87530442238360262</c:v>
                </c:pt>
                <c:pt idx="33">
                  <c:v>0.87530442238360262</c:v>
                </c:pt>
                <c:pt idx="34">
                  <c:v>0.87530442238360262</c:v>
                </c:pt>
                <c:pt idx="35">
                  <c:v>0.81712239238581275</c:v>
                </c:pt>
                <c:pt idx="36">
                  <c:v>0.81712239238581275</c:v>
                </c:pt>
                <c:pt idx="37">
                  <c:v>0.81712239238581275</c:v>
                </c:pt>
                <c:pt idx="38">
                  <c:v>0.81712239238581275</c:v>
                </c:pt>
                <c:pt idx="39">
                  <c:v>0.81712239238581275</c:v>
                </c:pt>
                <c:pt idx="40">
                  <c:v>0.81712239238581275</c:v>
                </c:pt>
                <c:pt idx="41">
                  <c:v>0.81712239238581275</c:v>
                </c:pt>
                <c:pt idx="42">
                  <c:v>0.81712239238581275</c:v>
                </c:pt>
                <c:pt idx="43">
                  <c:v>0.81712239238581275</c:v>
                </c:pt>
                <c:pt idx="44">
                  <c:v>0.81712239238581275</c:v>
                </c:pt>
                <c:pt idx="45">
                  <c:v>0.81712239238581275</c:v>
                </c:pt>
                <c:pt idx="46">
                  <c:v>0.81712239238581275</c:v>
                </c:pt>
                <c:pt idx="47">
                  <c:v>0.81712239238581275</c:v>
                </c:pt>
                <c:pt idx="48">
                  <c:v>0.81712239238581275</c:v>
                </c:pt>
                <c:pt idx="49">
                  <c:v>0.81712239238581275</c:v>
                </c:pt>
                <c:pt idx="50">
                  <c:v>0.73024075432236213</c:v>
                </c:pt>
                <c:pt idx="51">
                  <c:v>0.73024075432236213</c:v>
                </c:pt>
                <c:pt idx="52">
                  <c:v>0.73024075432236213</c:v>
                </c:pt>
                <c:pt idx="53">
                  <c:v>0.73024075432236213</c:v>
                </c:pt>
                <c:pt idx="54">
                  <c:v>0.73024075432236213</c:v>
                </c:pt>
                <c:pt idx="55">
                  <c:v>0.73024075432236213</c:v>
                </c:pt>
                <c:pt idx="56">
                  <c:v>0.73024075432236213</c:v>
                </c:pt>
                <c:pt idx="57">
                  <c:v>0.73024075432236213</c:v>
                </c:pt>
                <c:pt idx="58">
                  <c:v>0.73024075432236213</c:v>
                </c:pt>
                <c:pt idx="59">
                  <c:v>0.73024075432236213</c:v>
                </c:pt>
                <c:pt idx="60">
                  <c:v>0.73024075432236213</c:v>
                </c:pt>
                <c:pt idx="61">
                  <c:v>0.73024075432236213</c:v>
                </c:pt>
                <c:pt idx="62">
                  <c:v>0.73024075432236213</c:v>
                </c:pt>
                <c:pt idx="63">
                  <c:v>0.73024075432236213</c:v>
                </c:pt>
                <c:pt idx="64">
                  <c:v>0.73024075432236213</c:v>
                </c:pt>
                <c:pt idx="65">
                  <c:v>0.73024075432236213</c:v>
                </c:pt>
                <c:pt idx="66">
                  <c:v>0.73024075432236213</c:v>
                </c:pt>
                <c:pt idx="67">
                  <c:v>0.73024075432236213</c:v>
                </c:pt>
                <c:pt idx="68">
                  <c:v>0.73024075432236213</c:v>
                </c:pt>
                <c:pt idx="69">
                  <c:v>0.73024075432236213</c:v>
                </c:pt>
                <c:pt idx="70">
                  <c:v>0.73024075432236213</c:v>
                </c:pt>
                <c:pt idx="71">
                  <c:v>0.73024075432236213</c:v>
                </c:pt>
                <c:pt idx="72">
                  <c:v>0.73024075432236213</c:v>
                </c:pt>
                <c:pt idx="73">
                  <c:v>0.73024075432236213</c:v>
                </c:pt>
                <c:pt idx="74">
                  <c:v>0.73024075432236213</c:v>
                </c:pt>
                <c:pt idx="75">
                  <c:v>0.73024075432236213</c:v>
                </c:pt>
                <c:pt idx="76">
                  <c:v>0.73024075432236213</c:v>
                </c:pt>
                <c:pt idx="77">
                  <c:v>0.59840462462974986</c:v>
                </c:pt>
                <c:pt idx="78">
                  <c:v>0.59840462462974986</c:v>
                </c:pt>
                <c:pt idx="79">
                  <c:v>0.59840462462974986</c:v>
                </c:pt>
                <c:pt idx="80">
                  <c:v>0.59840462462974986</c:v>
                </c:pt>
                <c:pt idx="81">
                  <c:v>0.59840462462974986</c:v>
                </c:pt>
                <c:pt idx="82">
                  <c:v>0.59840462462974986</c:v>
                </c:pt>
                <c:pt idx="83">
                  <c:v>0.59840462462974986</c:v>
                </c:pt>
                <c:pt idx="84">
                  <c:v>0.59840462462974986</c:v>
                </c:pt>
                <c:pt idx="85">
                  <c:v>0.59840462462974986</c:v>
                </c:pt>
                <c:pt idx="86">
                  <c:v>0.59840462462974986</c:v>
                </c:pt>
                <c:pt idx="87">
                  <c:v>0.59840462462974986</c:v>
                </c:pt>
                <c:pt idx="88">
                  <c:v>0.59840462462974986</c:v>
                </c:pt>
                <c:pt idx="89">
                  <c:v>0.59840462462974986</c:v>
                </c:pt>
                <c:pt idx="90">
                  <c:v>0.59840462462974986</c:v>
                </c:pt>
                <c:pt idx="91">
                  <c:v>0.59840462462974986</c:v>
                </c:pt>
                <c:pt idx="92">
                  <c:v>0.59840462462974986</c:v>
                </c:pt>
                <c:pt idx="93">
                  <c:v>0.59840462462974986</c:v>
                </c:pt>
                <c:pt idx="94">
                  <c:v>0.59840462462974986</c:v>
                </c:pt>
                <c:pt idx="95">
                  <c:v>0.59840462462974986</c:v>
                </c:pt>
                <c:pt idx="96">
                  <c:v>0.59840462462974986</c:v>
                </c:pt>
                <c:pt idx="97">
                  <c:v>0.59840462462974986</c:v>
                </c:pt>
                <c:pt idx="98">
                  <c:v>0.59840462462974986</c:v>
                </c:pt>
                <c:pt idx="99">
                  <c:v>0.59840462462974986</c:v>
                </c:pt>
                <c:pt idx="100">
                  <c:v>0.59840462462974986</c:v>
                </c:pt>
                <c:pt idx="101">
                  <c:v>0.59840462462974986</c:v>
                </c:pt>
                <c:pt idx="102">
                  <c:v>0.59840462462974986</c:v>
                </c:pt>
                <c:pt idx="103">
                  <c:v>0.59840462462974986</c:v>
                </c:pt>
                <c:pt idx="104">
                  <c:v>0.59840462462974986</c:v>
                </c:pt>
                <c:pt idx="105">
                  <c:v>0.59840462462974986</c:v>
                </c:pt>
                <c:pt idx="106">
                  <c:v>0.59840462462974986</c:v>
                </c:pt>
                <c:pt idx="107">
                  <c:v>0.59840462462974986</c:v>
                </c:pt>
                <c:pt idx="108">
                  <c:v>0.59840462462974986</c:v>
                </c:pt>
                <c:pt idx="109">
                  <c:v>0.59840462462974986</c:v>
                </c:pt>
                <c:pt idx="110">
                  <c:v>0.59840462462974986</c:v>
                </c:pt>
                <c:pt idx="111">
                  <c:v>0.59840462462974986</c:v>
                </c:pt>
                <c:pt idx="112">
                  <c:v>0.59840462462974986</c:v>
                </c:pt>
                <c:pt idx="113">
                  <c:v>0.59840462462974986</c:v>
                </c:pt>
                <c:pt idx="114">
                  <c:v>0.59840462462974986</c:v>
                </c:pt>
                <c:pt idx="115">
                  <c:v>0.59840462462974986</c:v>
                </c:pt>
                <c:pt idx="116">
                  <c:v>0.59840462462974986</c:v>
                </c:pt>
                <c:pt idx="117">
                  <c:v>0.59840462462974986</c:v>
                </c:pt>
                <c:pt idx="118">
                  <c:v>0.39138517497393988</c:v>
                </c:pt>
                <c:pt idx="119">
                  <c:v>0.39138517497393988</c:v>
                </c:pt>
                <c:pt idx="120">
                  <c:v>0.39138517497393988</c:v>
                </c:pt>
                <c:pt idx="121">
                  <c:v>0.39138517497393988</c:v>
                </c:pt>
                <c:pt idx="122">
                  <c:v>0.39138517497393988</c:v>
                </c:pt>
                <c:pt idx="123">
                  <c:v>0.39138517497393988</c:v>
                </c:pt>
                <c:pt idx="124">
                  <c:v>0.39138517497393988</c:v>
                </c:pt>
                <c:pt idx="125">
                  <c:v>0.39138517497393988</c:v>
                </c:pt>
                <c:pt idx="126">
                  <c:v>0.39138517497393988</c:v>
                </c:pt>
                <c:pt idx="127">
                  <c:v>0.39138517497393988</c:v>
                </c:pt>
                <c:pt idx="128">
                  <c:v>0.39138517497393988</c:v>
                </c:pt>
                <c:pt idx="129">
                  <c:v>0.39138517497393988</c:v>
                </c:pt>
                <c:pt idx="130">
                  <c:v>0.39138517497393988</c:v>
                </c:pt>
                <c:pt idx="131">
                  <c:v>0.39138517497393988</c:v>
                </c:pt>
                <c:pt idx="132">
                  <c:v>0.39138517497393988</c:v>
                </c:pt>
                <c:pt idx="133">
                  <c:v>0.39138517497393988</c:v>
                </c:pt>
                <c:pt idx="134">
                  <c:v>0.39138517497393988</c:v>
                </c:pt>
                <c:pt idx="135">
                  <c:v>0.39138517497393988</c:v>
                </c:pt>
                <c:pt idx="136">
                  <c:v>0.39138517497393988</c:v>
                </c:pt>
                <c:pt idx="137">
                  <c:v>0.39138517497393988</c:v>
                </c:pt>
                <c:pt idx="138">
                  <c:v>0.39138517497393988</c:v>
                </c:pt>
                <c:pt idx="139">
                  <c:v>0.39138517497393988</c:v>
                </c:pt>
                <c:pt idx="140">
                  <c:v>0.39138517497393988</c:v>
                </c:pt>
                <c:pt idx="141">
                  <c:v>0.39138517497393988</c:v>
                </c:pt>
                <c:pt idx="142">
                  <c:v>0.39138517497393988</c:v>
                </c:pt>
                <c:pt idx="143">
                  <c:v>0.39138517497393988</c:v>
                </c:pt>
                <c:pt idx="144">
                  <c:v>0.39138517497393988</c:v>
                </c:pt>
                <c:pt idx="145">
                  <c:v>0.39138517497393988</c:v>
                </c:pt>
                <c:pt idx="146">
                  <c:v>0.39138517497393988</c:v>
                </c:pt>
                <c:pt idx="147">
                  <c:v>0.39138517497393988</c:v>
                </c:pt>
                <c:pt idx="148">
                  <c:v>0.39138517497393988</c:v>
                </c:pt>
                <c:pt idx="149">
                  <c:v>0.39138517497393988</c:v>
                </c:pt>
                <c:pt idx="150">
                  <c:v>0.39138517497393988</c:v>
                </c:pt>
                <c:pt idx="151">
                  <c:v>0.39138517497393988</c:v>
                </c:pt>
                <c:pt idx="152">
                  <c:v>0.39138517497393988</c:v>
                </c:pt>
                <c:pt idx="153">
                  <c:v>0.39138517497393988</c:v>
                </c:pt>
                <c:pt idx="154">
                  <c:v>0.39138517497393988</c:v>
                </c:pt>
                <c:pt idx="155">
                  <c:v>0.39138517497393988</c:v>
                </c:pt>
                <c:pt idx="156">
                  <c:v>0.39138517497393988</c:v>
                </c:pt>
                <c:pt idx="157">
                  <c:v>0.39138517497393988</c:v>
                </c:pt>
                <c:pt idx="158">
                  <c:v>0.39138517497393988</c:v>
                </c:pt>
                <c:pt idx="159">
                  <c:v>0.39138517497393988</c:v>
                </c:pt>
                <c:pt idx="160">
                  <c:v>0.39138517497393988</c:v>
                </c:pt>
                <c:pt idx="161">
                  <c:v>0.39138517497393988</c:v>
                </c:pt>
                <c:pt idx="162">
                  <c:v>0.39138517497393988</c:v>
                </c:pt>
                <c:pt idx="163">
                  <c:v>0.39138517497393988</c:v>
                </c:pt>
                <c:pt idx="164">
                  <c:v>0.39138517497393988</c:v>
                </c:pt>
                <c:pt idx="165">
                  <c:v>0.39138517497393988</c:v>
                </c:pt>
                <c:pt idx="166">
                  <c:v>0.39138517497393988</c:v>
                </c:pt>
                <c:pt idx="167">
                  <c:v>0.39138517497393988</c:v>
                </c:pt>
                <c:pt idx="168">
                  <c:v>0.39138517497393988</c:v>
                </c:pt>
                <c:pt idx="169">
                  <c:v>0.39138517497393988</c:v>
                </c:pt>
                <c:pt idx="170">
                  <c:v>0.39138517497393988</c:v>
                </c:pt>
                <c:pt idx="171">
                  <c:v>0.39138517497393988</c:v>
                </c:pt>
                <c:pt idx="172">
                  <c:v>0.39138517497393988</c:v>
                </c:pt>
                <c:pt idx="173">
                  <c:v>0.39138517497393988</c:v>
                </c:pt>
                <c:pt idx="174">
                  <c:v>0.39138517497393988</c:v>
                </c:pt>
                <c:pt idx="175">
                  <c:v>0.39138517497393988</c:v>
                </c:pt>
                <c:pt idx="176">
                  <c:v>0.39138517497393988</c:v>
                </c:pt>
                <c:pt idx="177">
                  <c:v>0.39138517497393988</c:v>
                </c:pt>
                <c:pt idx="178">
                  <c:v>0.39138517497393988</c:v>
                </c:pt>
                <c:pt idx="179">
                  <c:v>0.39138517497393988</c:v>
                </c:pt>
                <c:pt idx="180">
                  <c:v>0.39138517497393988</c:v>
                </c:pt>
                <c:pt idx="181">
                  <c:v>0.39138517497393988</c:v>
                </c:pt>
                <c:pt idx="182">
                  <c:v>0.39138517497393988</c:v>
                </c:pt>
                <c:pt idx="183">
                  <c:v>0.39138517497393988</c:v>
                </c:pt>
                <c:pt idx="184">
                  <c:v>0.39138517497393988</c:v>
                </c:pt>
                <c:pt idx="185">
                  <c:v>0.39138517497393988</c:v>
                </c:pt>
                <c:pt idx="186">
                  <c:v>0.39138517497393988</c:v>
                </c:pt>
                <c:pt idx="187">
                  <c:v>0.39138517497393988</c:v>
                </c:pt>
                <c:pt idx="188">
                  <c:v>0.39138517497393988</c:v>
                </c:pt>
                <c:pt idx="189">
                  <c:v>0.39138517497393988</c:v>
                </c:pt>
                <c:pt idx="190">
                  <c:v>0.39138517497393988</c:v>
                </c:pt>
                <c:pt idx="191">
                  <c:v>0.39138517497393988</c:v>
                </c:pt>
                <c:pt idx="192">
                  <c:v>0.39138517497393988</c:v>
                </c:pt>
                <c:pt idx="193">
                  <c:v>0.39138517497393988</c:v>
                </c:pt>
                <c:pt idx="194">
                  <c:v>0.39138517497393988</c:v>
                </c:pt>
                <c:pt idx="195">
                  <c:v>0</c:v>
                </c:pt>
              </c:numCache>
            </c:numRef>
          </c:yVal>
          <c:smooth val="1"/>
        </c:ser>
        <c:axId val="96607232"/>
        <c:axId val="96621696"/>
      </c:scatterChart>
      <c:valAx>
        <c:axId val="96607232"/>
        <c:scaling>
          <c:orientation val="minMax"/>
        </c:scaling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Drought Duration (years)</a:t>
                </a:r>
              </a:p>
            </c:rich>
          </c:tx>
          <c:layout/>
        </c:title>
        <c:numFmt formatCode="General" sourceLinked="1"/>
        <c:tickLblPos val="nextTo"/>
        <c:crossAx val="96621696"/>
        <c:crosses val="autoZero"/>
        <c:crossBetween val="midCat"/>
      </c:valAx>
      <c:valAx>
        <c:axId val="96621696"/>
        <c:scaling>
          <c:orientation val="minMax"/>
          <c:max val="1"/>
        </c:scaling>
        <c:axPos val="l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Probability</a:t>
                </a:r>
              </a:p>
            </c:rich>
          </c:tx>
          <c:layout/>
        </c:title>
        <c:numFmt formatCode="General" sourceLinked="1"/>
        <c:tickLblPos val="nextTo"/>
        <c:crossAx val="96607232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60741962881019662"/>
          <c:y val="0.34204854658575834"/>
          <c:w val="0.21469606578999043"/>
          <c:h val="0.14800475995015783"/>
        </c:manualLayout>
      </c:layout>
      <c:overlay val="1"/>
    </c:legend>
    <c:plotVisOnly val="1"/>
  </c:chart>
  <c:spPr>
    <a:ln>
      <a:noFill/>
    </a:ln>
  </c:spPr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55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Observed Drought Duration with fitted exponential
 distribution</a:t>
            </a:r>
          </a:p>
        </c:rich>
      </c:tx>
      <c:layout>
        <c:manualLayout>
          <c:xMode val="edge"/>
          <c:yMode val="edge"/>
          <c:x val="0.31325301204819223"/>
          <c:y val="3.1413612565445163E-2"/>
        </c:manualLayout>
      </c:layout>
      <c:spPr>
        <a:noFill/>
        <a:ln w="25400">
          <a:noFill/>
        </a:ln>
      </c:spPr>
    </c:title>
    <c:plotArea>
      <c:layout>
        <c:manualLayout>
          <c:layoutTarget val="inner"/>
          <c:xMode val="edge"/>
          <c:yMode val="edge"/>
          <c:x val="8.0895008605852373E-2"/>
          <c:y val="0.16492167677529448"/>
          <c:w val="0.77624784853700668"/>
          <c:h val="0.70680718617983362"/>
        </c:manualLayout>
      </c:layout>
      <c:scatterChart>
        <c:scatterStyle val="smoothMarker"/>
        <c:ser>
          <c:idx val="0"/>
          <c:order val="0"/>
          <c:spPr>
            <a:ln w="3175">
              <a:solidFill>
                <a:srgbClr val="000080"/>
              </a:solidFill>
              <a:prstDash val="solid"/>
            </a:ln>
          </c:spPr>
          <c:marker>
            <c:symbol val="diamond"/>
            <c:size val="6"/>
            <c:spPr>
              <a:solidFill>
                <a:srgbClr val="00008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dPt>
            <c:idx val="0"/>
            <c:marker>
              <c:spPr>
                <a:solidFill>
                  <a:srgbClr val="000000"/>
                </a:solidFill>
                <a:ln>
                  <a:solidFill>
                    <a:srgbClr val="000000"/>
                  </a:solidFill>
                  <a:prstDash val="solid"/>
                </a:ln>
              </c:spPr>
            </c:marker>
            <c:spPr>
              <a:ln w="28575">
                <a:noFill/>
              </a:ln>
            </c:spPr>
          </c:dPt>
          <c:xVal>
            <c:numRef>
              <c:f>duration!$B$2:$B$197</c:f>
              <c:numCache>
                <c:formatCode>General</c:formatCode>
                <c:ptCount val="196"/>
                <c:pt idx="0">
                  <c:v>17</c:v>
                </c:pt>
                <c:pt idx="1">
                  <c:v>14</c:v>
                </c:pt>
                <c:pt idx="2">
                  <c:v>14</c:v>
                </c:pt>
                <c:pt idx="3">
                  <c:v>14</c:v>
                </c:pt>
                <c:pt idx="4">
                  <c:v>11</c:v>
                </c:pt>
                <c:pt idx="5">
                  <c:v>11</c:v>
                </c:pt>
                <c:pt idx="6">
                  <c:v>10</c:v>
                </c:pt>
                <c:pt idx="7">
                  <c:v>9</c:v>
                </c:pt>
                <c:pt idx="8">
                  <c:v>8</c:v>
                </c:pt>
                <c:pt idx="9">
                  <c:v>8</c:v>
                </c:pt>
                <c:pt idx="10">
                  <c:v>8</c:v>
                </c:pt>
                <c:pt idx="11">
                  <c:v>8</c:v>
                </c:pt>
                <c:pt idx="12">
                  <c:v>7</c:v>
                </c:pt>
                <c:pt idx="13">
                  <c:v>7</c:v>
                </c:pt>
                <c:pt idx="14">
                  <c:v>7</c:v>
                </c:pt>
                <c:pt idx="15">
                  <c:v>7</c:v>
                </c:pt>
                <c:pt idx="16">
                  <c:v>7</c:v>
                </c:pt>
                <c:pt idx="17">
                  <c:v>7</c:v>
                </c:pt>
                <c:pt idx="18">
                  <c:v>6</c:v>
                </c:pt>
                <c:pt idx="19">
                  <c:v>6</c:v>
                </c:pt>
                <c:pt idx="20">
                  <c:v>6</c:v>
                </c:pt>
                <c:pt idx="21">
                  <c:v>6</c:v>
                </c:pt>
                <c:pt idx="22">
                  <c:v>6</c:v>
                </c:pt>
                <c:pt idx="23">
                  <c:v>6</c:v>
                </c:pt>
                <c:pt idx="24">
                  <c:v>6</c:v>
                </c:pt>
                <c:pt idx="25">
                  <c:v>5</c:v>
                </c:pt>
                <c:pt idx="26">
                  <c:v>5</c:v>
                </c:pt>
                <c:pt idx="27">
                  <c:v>5</c:v>
                </c:pt>
                <c:pt idx="28">
                  <c:v>5</c:v>
                </c:pt>
                <c:pt idx="29">
                  <c:v>5</c:v>
                </c:pt>
                <c:pt idx="30">
                  <c:v>5</c:v>
                </c:pt>
                <c:pt idx="31">
                  <c:v>5</c:v>
                </c:pt>
                <c:pt idx="32">
                  <c:v>5</c:v>
                </c:pt>
                <c:pt idx="33">
                  <c:v>5</c:v>
                </c:pt>
                <c:pt idx="34">
                  <c:v>5</c:v>
                </c:pt>
                <c:pt idx="35">
                  <c:v>4</c:v>
                </c:pt>
                <c:pt idx="36">
                  <c:v>4</c:v>
                </c:pt>
                <c:pt idx="37">
                  <c:v>4</c:v>
                </c:pt>
                <c:pt idx="38">
                  <c:v>4</c:v>
                </c:pt>
                <c:pt idx="39">
                  <c:v>4</c:v>
                </c:pt>
                <c:pt idx="40">
                  <c:v>4</c:v>
                </c:pt>
                <c:pt idx="41">
                  <c:v>4</c:v>
                </c:pt>
                <c:pt idx="42">
                  <c:v>4</c:v>
                </c:pt>
                <c:pt idx="43">
                  <c:v>4</c:v>
                </c:pt>
                <c:pt idx="44">
                  <c:v>4</c:v>
                </c:pt>
                <c:pt idx="45">
                  <c:v>4</c:v>
                </c:pt>
                <c:pt idx="46">
                  <c:v>4</c:v>
                </c:pt>
                <c:pt idx="47">
                  <c:v>4</c:v>
                </c:pt>
                <c:pt idx="48">
                  <c:v>4</c:v>
                </c:pt>
                <c:pt idx="49">
                  <c:v>4</c:v>
                </c:pt>
                <c:pt idx="50">
                  <c:v>3</c:v>
                </c:pt>
                <c:pt idx="51">
                  <c:v>3</c:v>
                </c:pt>
                <c:pt idx="52">
                  <c:v>3</c:v>
                </c:pt>
                <c:pt idx="53">
                  <c:v>3</c:v>
                </c:pt>
                <c:pt idx="54">
                  <c:v>3</c:v>
                </c:pt>
                <c:pt idx="55">
                  <c:v>3</c:v>
                </c:pt>
                <c:pt idx="56">
                  <c:v>3</c:v>
                </c:pt>
                <c:pt idx="57">
                  <c:v>3</c:v>
                </c:pt>
                <c:pt idx="58">
                  <c:v>3</c:v>
                </c:pt>
                <c:pt idx="59">
                  <c:v>3</c:v>
                </c:pt>
                <c:pt idx="60">
                  <c:v>3</c:v>
                </c:pt>
                <c:pt idx="61">
                  <c:v>3</c:v>
                </c:pt>
                <c:pt idx="62">
                  <c:v>3</c:v>
                </c:pt>
                <c:pt idx="63">
                  <c:v>3</c:v>
                </c:pt>
                <c:pt idx="64">
                  <c:v>3</c:v>
                </c:pt>
                <c:pt idx="65">
                  <c:v>3</c:v>
                </c:pt>
                <c:pt idx="66">
                  <c:v>3</c:v>
                </c:pt>
                <c:pt idx="67">
                  <c:v>3</c:v>
                </c:pt>
                <c:pt idx="68">
                  <c:v>3</c:v>
                </c:pt>
                <c:pt idx="69">
                  <c:v>3</c:v>
                </c:pt>
                <c:pt idx="70">
                  <c:v>3</c:v>
                </c:pt>
                <c:pt idx="71">
                  <c:v>3</c:v>
                </c:pt>
                <c:pt idx="72">
                  <c:v>3</c:v>
                </c:pt>
                <c:pt idx="73">
                  <c:v>3</c:v>
                </c:pt>
                <c:pt idx="74">
                  <c:v>3</c:v>
                </c:pt>
                <c:pt idx="75">
                  <c:v>3</c:v>
                </c:pt>
                <c:pt idx="76">
                  <c:v>3</c:v>
                </c:pt>
                <c:pt idx="77">
                  <c:v>2</c:v>
                </c:pt>
                <c:pt idx="78">
                  <c:v>2</c:v>
                </c:pt>
                <c:pt idx="79">
                  <c:v>2</c:v>
                </c:pt>
                <c:pt idx="80">
                  <c:v>2</c:v>
                </c:pt>
                <c:pt idx="81">
                  <c:v>2</c:v>
                </c:pt>
                <c:pt idx="82">
                  <c:v>2</c:v>
                </c:pt>
                <c:pt idx="83">
                  <c:v>2</c:v>
                </c:pt>
                <c:pt idx="84">
                  <c:v>2</c:v>
                </c:pt>
                <c:pt idx="85">
                  <c:v>2</c:v>
                </c:pt>
                <c:pt idx="86">
                  <c:v>2</c:v>
                </c:pt>
                <c:pt idx="87">
                  <c:v>2</c:v>
                </c:pt>
                <c:pt idx="88">
                  <c:v>2</c:v>
                </c:pt>
                <c:pt idx="89">
                  <c:v>2</c:v>
                </c:pt>
                <c:pt idx="90">
                  <c:v>2</c:v>
                </c:pt>
                <c:pt idx="91">
                  <c:v>2</c:v>
                </c:pt>
                <c:pt idx="92">
                  <c:v>2</c:v>
                </c:pt>
                <c:pt idx="93">
                  <c:v>2</c:v>
                </c:pt>
                <c:pt idx="94">
                  <c:v>2</c:v>
                </c:pt>
                <c:pt idx="95">
                  <c:v>2</c:v>
                </c:pt>
                <c:pt idx="96">
                  <c:v>2</c:v>
                </c:pt>
                <c:pt idx="97">
                  <c:v>2</c:v>
                </c:pt>
                <c:pt idx="98">
                  <c:v>2</c:v>
                </c:pt>
                <c:pt idx="99">
                  <c:v>2</c:v>
                </c:pt>
                <c:pt idx="100">
                  <c:v>2</c:v>
                </c:pt>
                <c:pt idx="101">
                  <c:v>2</c:v>
                </c:pt>
                <c:pt idx="102">
                  <c:v>2</c:v>
                </c:pt>
                <c:pt idx="103">
                  <c:v>2</c:v>
                </c:pt>
                <c:pt idx="104">
                  <c:v>2</c:v>
                </c:pt>
                <c:pt idx="105">
                  <c:v>2</c:v>
                </c:pt>
                <c:pt idx="106">
                  <c:v>2</c:v>
                </c:pt>
                <c:pt idx="107">
                  <c:v>2</c:v>
                </c:pt>
                <c:pt idx="108">
                  <c:v>2</c:v>
                </c:pt>
                <c:pt idx="109">
                  <c:v>2</c:v>
                </c:pt>
                <c:pt idx="110">
                  <c:v>2</c:v>
                </c:pt>
                <c:pt idx="111">
                  <c:v>2</c:v>
                </c:pt>
                <c:pt idx="112">
                  <c:v>2</c:v>
                </c:pt>
                <c:pt idx="113">
                  <c:v>2</c:v>
                </c:pt>
                <c:pt idx="114">
                  <c:v>2</c:v>
                </c:pt>
                <c:pt idx="115">
                  <c:v>2</c:v>
                </c:pt>
                <c:pt idx="116">
                  <c:v>2</c:v>
                </c:pt>
                <c:pt idx="117">
                  <c:v>2</c:v>
                </c:pt>
                <c:pt idx="118">
                  <c:v>1</c:v>
                </c:pt>
                <c:pt idx="119">
                  <c:v>1</c:v>
                </c:pt>
                <c:pt idx="120">
                  <c:v>1</c:v>
                </c:pt>
                <c:pt idx="121">
                  <c:v>1</c:v>
                </c:pt>
                <c:pt idx="122">
                  <c:v>1</c:v>
                </c:pt>
                <c:pt idx="123">
                  <c:v>1</c:v>
                </c:pt>
                <c:pt idx="124">
                  <c:v>1</c:v>
                </c:pt>
                <c:pt idx="125">
                  <c:v>1</c:v>
                </c:pt>
                <c:pt idx="126">
                  <c:v>1</c:v>
                </c:pt>
                <c:pt idx="127">
                  <c:v>1</c:v>
                </c:pt>
                <c:pt idx="128">
                  <c:v>1</c:v>
                </c:pt>
                <c:pt idx="129">
                  <c:v>1</c:v>
                </c:pt>
                <c:pt idx="130">
                  <c:v>1</c:v>
                </c:pt>
                <c:pt idx="131">
                  <c:v>1</c:v>
                </c:pt>
                <c:pt idx="132">
                  <c:v>1</c:v>
                </c:pt>
                <c:pt idx="133">
                  <c:v>1</c:v>
                </c:pt>
                <c:pt idx="134">
                  <c:v>1</c:v>
                </c:pt>
                <c:pt idx="135">
                  <c:v>1</c:v>
                </c:pt>
                <c:pt idx="136">
                  <c:v>1</c:v>
                </c:pt>
                <c:pt idx="137">
                  <c:v>1</c:v>
                </c:pt>
                <c:pt idx="138">
                  <c:v>1</c:v>
                </c:pt>
                <c:pt idx="139">
                  <c:v>1</c:v>
                </c:pt>
                <c:pt idx="140">
                  <c:v>1</c:v>
                </c:pt>
                <c:pt idx="141">
                  <c:v>1</c:v>
                </c:pt>
                <c:pt idx="142">
                  <c:v>1</c:v>
                </c:pt>
                <c:pt idx="143">
                  <c:v>1</c:v>
                </c:pt>
                <c:pt idx="144">
                  <c:v>1</c:v>
                </c:pt>
                <c:pt idx="145">
                  <c:v>1</c:v>
                </c:pt>
                <c:pt idx="146">
                  <c:v>1</c:v>
                </c:pt>
                <c:pt idx="147">
                  <c:v>1</c:v>
                </c:pt>
                <c:pt idx="148">
                  <c:v>1</c:v>
                </c:pt>
                <c:pt idx="149">
                  <c:v>1</c:v>
                </c:pt>
                <c:pt idx="150">
                  <c:v>1</c:v>
                </c:pt>
                <c:pt idx="151">
                  <c:v>1</c:v>
                </c:pt>
                <c:pt idx="152">
                  <c:v>1</c:v>
                </c:pt>
                <c:pt idx="153">
                  <c:v>1</c:v>
                </c:pt>
                <c:pt idx="154">
                  <c:v>1</c:v>
                </c:pt>
                <c:pt idx="155">
                  <c:v>1</c:v>
                </c:pt>
                <c:pt idx="156">
                  <c:v>1</c:v>
                </c:pt>
                <c:pt idx="157">
                  <c:v>1</c:v>
                </c:pt>
                <c:pt idx="158">
                  <c:v>1</c:v>
                </c:pt>
                <c:pt idx="159">
                  <c:v>1</c:v>
                </c:pt>
                <c:pt idx="160">
                  <c:v>1</c:v>
                </c:pt>
                <c:pt idx="161">
                  <c:v>1</c:v>
                </c:pt>
                <c:pt idx="162">
                  <c:v>1</c:v>
                </c:pt>
                <c:pt idx="163">
                  <c:v>1</c:v>
                </c:pt>
                <c:pt idx="164">
                  <c:v>1</c:v>
                </c:pt>
                <c:pt idx="165">
                  <c:v>1</c:v>
                </c:pt>
                <c:pt idx="166">
                  <c:v>1</c:v>
                </c:pt>
                <c:pt idx="167">
                  <c:v>1</c:v>
                </c:pt>
                <c:pt idx="168">
                  <c:v>1</c:v>
                </c:pt>
                <c:pt idx="169">
                  <c:v>1</c:v>
                </c:pt>
                <c:pt idx="170">
                  <c:v>1</c:v>
                </c:pt>
                <c:pt idx="171">
                  <c:v>1</c:v>
                </c:pt>
                <c:pt idx="172">
                  <c:v>1</c:v>
                </c:pt>
                <c:pt idx="173">
                  <c:v>1</c:v>
                </c:pt>
                <c:pt idx="174">
                  <c:v>1</c:v>
                </c:pt>
                <c:pt idx="175">
                  <c:v>1</c:v>
                </c:pt>
                <c:pt idx="176">
                  <c:v>1</c:v>
                </c:pt>
                <c:pt idx="177">
                  <c:v>1</c:v>
                </c:pt>
                <c:pt idx="178">
                  <c:v>1</c:v>
                </c:pt>
                <c:pt idx="179">
                  <c:v>1</c:v>
                </c:pt>
                <c:pt idx="180">
                  <c:v>1</c:v>
                </c:pt>
                <c:pt idx="181">
                  <c:v>1</c:v>
                </c:pt>
                <c:pt idx="182">
                  <c:v>1</c:v>
                </c:pt>
                <c:pt idx="183">
                  <c:v>1</c:v>
                </c:pt>
                <c:pt idx="184">
                  <c:v>1</c:v>
                </c:pt>
                <c:pt idx="185">
                  <c:v>1</c:v>
                </c:pt>
                <c:pt idx="186">
                  <c:v>1</c:v>
                </c:pt>
                <c:pt idx="187">
                  <c:v>1</c:v>
                </c:pt>
                <c:pt idx="188">
                  <c:v>1</c:v>
                </c:pt>
                <c:pt idx="189">
                  <c:v>1</c:v>
                </c:pt>
                <c:pt idx="190">
                  <c:v>1</c:v>
                </c:pt>
                <c:pt idx="191">
                  <c:v>1</c:v>
                </c:pt>
                <c:pt idx="192">
                  <c:v>1</c:v>
                </c:pt>
                <c:pt idx="193">
                  <c:v>1</c:v>
                </c:pt>
                <c:pt idx="194">
                  <c:v>1</c:v>
                </c:pt>
                <c:pt idx="195">
                  <c:v>0</c:v>
                </c:pt>
              </c:numCache>
            </c:numRef>
          </c:xVal>
          <c:yVal>
            <c:numRef>
              <c:f>duration!$F$2:$F$197</c:f>
              <c:numCache>
                <c:formatCode>General</c:formatCode>
                <c:ptCount val="196"/>
                <c:pt idx="0">
                  <c:v>0.99487179487179489</c:v>
                </c:pt>
                <c:pt idx="1">
                  <c:v>0.98974358974358978</c:v>
                </c:pt>
                <c:pt idx="2">
                  <c:v>0.98974358974358978</c:v>
                </c:pt>
                <c:pt idx="3">
                  <c:v>0.98974358974358978</c:v>
                </c:pt>
                <c:pt idx="4">
                  <c:v>0.97435897435897434</c:v>
                </c:pt>
                <c:pt idx="5">
                  <c:v>0.97435897435897434</c:v>
                </c:pt>
                <c:pt idx="6">
                  <c:v>0.96410256410256412</c:v>
                </c:pt>
                <c:pt idx="7">
                  <c:v>0.95897435897435901</c:v>
                </c:pt>
                <c:pt idx="8">
                  <c:v>0.95384615384615379</c:v>
                </c:pt>
                <c:pt idx="9">
                  <c:v>0.95384615384615379</c:v>
                </c:pt>
                <c:pt idx="10">
                  <c:v>0.95384615384615379</c:v>
                </c:pt>
                <c:pt idx="11">
                  <c:v>0.95384615384615379</c:v>
                </c:pt>
                <c:pt idx="12">
                  <c:v>0.93333333333333335</c:v>
                </c:pt>
                <c:pt idx="13">
                  <c:v>0.93333333333333335</c:v>
                </c:pt>
                <c:pt idx="14">
                  <c:v>0.93333333333333335</c:v>
                </c:pt>
                <c:pt idx="15">
                  <c:v>0.93333333333333335</c:v>
                </c:pt>
                <c:pt idx="16">
                  <c:v>0.93333333333333335</c:v>
                </c:pt>
                <c:pt idx="17">
                  <c:v>0.93333333333333335</c:v>
                </c:pt>
                <c:pt idx="18">
                  <c:v>0.90256410256410258</c:v>
                </c:pt>
                <c:pt idx="19">
                  <c:v>0.90256410256410258</c:v>
                </c:pt>
                <c:pt idx="20">
                  <c:v>0.90256410256410258</c:v>
                </c:pt>
                <c:pt idx="21">
                  <c:v>0.90256410256410258</c:v>
                </c:pt>
                <c:pt idx="22">
                  <c:v>0.90256410256410258</c:v>
                </c:pt>
                <c:pt idx="23">
                  <c:v>0.90256410256410258</c:v>
                </c:pt>
                <c:pt idx="24">
                  <c:v>0.90256410256410258</c:v>
                </c:pt>
                <c:pt idx="25">
                  <c:v>0.8666666666666667</c:v>
                </c:pt>
                <c:pt idx="26">
                  <c:v>0.8666666666666667</c:v>
                </c:pt>
                <c:pt idx="27">
                  <c:v>0.8666666666666667</c:v>
                </c:pt>
                <c:pt idx="28">
                  <c:v>0.8666666666666667</c:v>
                </c:pt>
                <c:pt idx="29">
                  <c:v>0.8666666666666667</c:v>
                </c:pt>
                <c:pt idx="30">
                  <c:v>0.8666666666666667</c:v>
                </c:pt>
                <c:pt idx="31">
                  <c:v>0.8666666666666667</c:v>
                </c:pt>
                <c:pt idx="32">
                  <c:v>0.8666666666666667</c:v>
                </c:pt>
                <c:pt idx="33">
                  <c:v>0.8666666666666667</c:v>
                </c:pt>
                <c:pt idx="34">
                  <c:v>0.8666666666666667</c:v>
                </c:pt>
                <c:pt idx="35">
                  <c:v>0.81538461538461537</c:v>
                </c:pt>
                <c:pt idx="36">
                  <c:v>0.81538461538461537</c:v>
                </c:pt>
                <c:pt idx="37">
                  <c:v>0.81538461538461537</c:v>
                </c:pt>
                <c:pt idx="38">
                  <c:v>0.81538461538461537</c:v>
                </c:pt>
                <c:pt idx="39">
                  <c:v>0.81538461538461537</c:v>
                </c:pt>
                <c:pt idx="40">
                  <c:v>0.81538461538461537</c:v>
                </c:pt>
                <c:pt idx="41">
                  <c:v>0.81538461538461537</c:v>
                </c:pt>
                <c:pt idx="42">
                  <c:v>0.81538461538461537</c:v>
                </c:pt>
                <c:pt idx="43">
                  <c:v>0.81538461538461537</c:v>
                </c:pt>
                <c:pt idx="44">
                  <c:v>0.81538461538461537</c:v>
                </c:pt>
                <c:pt idx="45">
                  <c:v>0.81538461538461537</c:v>
                </c:pt>
                <c:pt idx="46">
                  <c:v>0.81538461538461537</c:v>
                </c:pt>
                <c:pt idx="47">
                  <c:v>0.81538461538461537</c:v>
                </c:pt>
                <c:pt idx="48">
                  <c:v>0.81538461538461537</c:v>
                </c:pt>
                <c:pt idx="49">
                  <c:v>0.81538461538461537</c:v>
                </c:pt>
                <c:pt idx="50">
                  <c:v>0.7384615384615385</c:v>
                </c:pt>
                <c:pt idx="51">
                  <c:v>0.7384615384615385</c:v>
                </c:pt>
                <c:pt idx="52">
                  <c:v>0.7384615384615385</c:v>
                </c:pt>
                <c:pt idx="53">
                  <c:v>0.7384615384615385</c:v>
                </c:pt>
                <c:pt idx="54">
                  <c:v>0.7384615384615385</c:v>
                </c:pt>
                <c:pt idx="55">
                  <c:v>0.7384615384615385</c:v>
                </c:pt>
                <c:pt idx="56">
                  <c:v>0.7384615384615385</c:v>
                </c:pt>
                <c:pt idx="57">
                  <c:v>0.7384615384615385</c:v>
                </c:pt>
                <c:pt idx="58">
                  <c:v>0.7384615384615385</c:v>
                </c:pt>
                <c:pt idx="59">
                  <c:v>0.7384615384615385</c:v>
                </c:pt>
                <c:pt idx="60">
                  <c:v>0.7384615384615385</c:v>
                </c:pt>
                <c:pt idx="61">
                  <c:v>0.7384615384615385</c:v>
                </c:pt>
                <c:pt idx="62">
                  <c:v>0.7384615384615385</c:v>
                </c:pt>
                <c:pt idx="63">
                  <c:v>0.7384615384615385</c:v>
                </c:pt>
                <c:pt idx="64">
                  <c:v>0.7384615384615385</c:v>
                </c:pt>
                <c:pt idx="65">
                  <c:v>0.7384615384615385</c:v>
                </c:pt>
                <c:pt idx="66">
                  <c:v>0.7384615384615385</c:v>
                </c:pt>
                <c:pt idx="67">
                  <c:v>0.7384615384615385</c:v>
                </c:pt>
                <c:pt idx="68">
                  <c:v>0.7384615384615385</c:v>
                </c:pt>
                <c:pt idx="69">
                  <c:v>0.7384615384615385</c:v>
                </c:pt>
                <c:pt idx="70">
                  <c:v>0.7384615384615385</c:v>
                </c:pt>
                <c:pt idx="71">
                  <c:v>0.7384615384615385</c:v>
                </c:pt>
                <c:pt idx="72">
                  <c:v>0.7384615384615385</c:v>
                </c:pt>
                <c:pt idx="73">
                  <c:v>0.7384615384615385</c:v>
                </c:pt>
                <c:pt idx="74">
                  <c:v>0.7384615384615385</c:v>
                </c:pt>
                <c:pt idx="75">
                  <c:v>0.7384615384615385</c:v>
                </c:pt>
                <c:pt idx="76">
                  <c:v>0.7384615384615385</c:v>
                </c:pt>
                <c:pt idx="77">
                  <c:v>0.6</c:v>
                </c:pt>
                <c:pt idx="78">
                  <c:v>0.6</c:v>
                </c:pt>
                <c:pt idx="79">
                  <c:v>0.6</c:v>
                </c:pt>
                <c:pt idx="80">
                  <c:v>0.6</c:v>
                </c:pt>
                <c:pt idx="81">
                  <c:v>0.6</c:v>
                </c:pt>
                <c:pt idx="82">
                  <c:v>0.6</c:v>
                </c:pt>
                <c:pt idx="83">
                  <c:v>0.6</c:v>
                </c:pt>
                <c:pt idx="84">
                  <c:v>0.6</c:v>
                </c:pt>
                <c:pt idx="85">
                  <c:v>0.6</c:v>
                </c:pt>
                <c:pt idx="86">
                  <c:v>0.6</c:v>
                </c:pt>
                <c:pt idx="87">
                  <c:v>0.6</c:v>
                </c:pt>
                <c:pt idx="88">
                  <c:v>0.6</c:v>
                </c:pt>
                <c:pt idx="89">
                  <c:v>0.6</c:v>
                </c:pt>
                <c:pt idx="90">
                  <c:v>0.6</c:v>
                </c:pt>
                <c:pt idx="91">
                  <c:v>0.6</c:v>
                </c:pt>
                <c:pt idx="92">
                  <c:v>0.6</c:v>
                </c:pt>
                <c:pt idx="93">
                  <c:v>0.6</c:v>
                </c:pt>
                <c:pt idx="94">
                  <c:v>0.6</c:v>
                </c:pt>
                <c:pt idx="95">
                  <c:v>0.6</c:v>
                </c:pt>
                <c:pt idx="96">
                  <c:v>0.6</c:v>
                </c:pt>
                <c:pt idx="97">
                  <c:v>0.6</c:v>
                </c:pt>
                <c:pt idx="98">
                  <c:v>0.6</c:v>
                </c:pt>
                <c:pt idx="99">
                  <c:v>0.6</c:v>
                </c:pt>
                <c:pt idx="100">
                  <c:v>0.6</c:v>
                </c:pt>
                <c:pt idx="101">
                  <c:v>0.6</c:v>
                </c:pt>
                <c:pt idx="102">
                  <c:v>0.6</c:v>
                </c:pt>
                <c:pt idx="103">
                  <c:v>0.6</c:v>
                </c:pt>
                <c:pt idx="104">
                  <c:v>0.6</c:v>
                </c:pt>
                <c:pt idx="105">
                  <c:v>0.6</c:v>
                </c:pt>
                <c:pt idx="106">
                  <c:v>0.6</c:v>
                </c:pt>
                <c:pt idx="107">
                  <c:v>0.6</c:v>
                </c:pt>
                <c:pt idx="108">
                  <c:v>0.6</c:v>
                </c:pt>
                <c:pt idx="109">
                  <c:v>0.6</c:v>
                </c:pt>
                <c:pt idx="110">
                  <c:v>0.6</c:v>
                </c:pt>
                <c:pt idx="111">
                  <c:v>0.6</c:v>
                </c:pt>
                <c:pt idx="112">
                  <c:v>0.6</c:v>
                </c:pt>
                <c:pt idx="113">
                  <c:v>0.6</c:v>
                </c:pt>
                <c:pt idx="114">
                  <c:v>0.6</c:v>
                </c:pt>
                <c:pt idx="115">
                  <c:v>0.6</c:v>
                </c:pt>
                <c:pt idx="116">
                  <c:v>0.6</c:v>
                </c:pt>
                <c:pt idx="117">
                  <c:v>0.6</c:v>
                </c:pt>
                <c:pt idx="118">
                  <c:v>0.38974358974358969</c:v>
                </c:pt>
                <c:pt idx="119">
                  <c:v>0.38974358974358969</c:v>
                </c:pt>
                <c:pt idx="120">
                  <c:v>0.38974358974358969</c:v>
                </c:pt>
                <c:pt idx="121">
                  <c:v>0.38974358974358969</c:v>
                </c:pt>
                <c:pt idx="122">
                  <c:v>0.38974358974358969</c:v>
                </c:pt>
                <c:pt idx="123">
                  <c:v>0.38974358974358969</c:v>
                </c:pt>
                <c:pt idx="124">
                  <c:v>0.38974358974358969</c:v>
                </c:pt>
                <c:pt idx="125">
                  <c:v>0.38974358974358969</c:v>
                </c:pt>
                <c:pt idx="126">
                  <c:v>0.38974358974358969</c:v>
                </c:pt>
                <c:pt idx="127">
                  <c:v>0.38974358974358969</c:v>
                </c:pt>
                <c:pt idx="128">
                  <c:v>0.38974358974358969</c:v>
                </c:pt>
                <c:pt idx="129">
                  <c:v>0.38974358974358969</c:v>
                </c:pt>
                <c:pt idx="130">
                  <c:v>0.38974358974358969</c:v>
                </c:pt>
                <c:pt idx="131">
                  <c:v>0.38974358974358969</c:v>
                </c:pt>
                <c:pt idx="132">
                  <c:v>0.38974358974358969</c:v>
                </c:pt>
                <c:pt idx="133">
                  <c:v>0.38974358974358969</c:v>
                </c:pt>
                <c:pt idx="134">
                  <c:v>0.38974358974358969</c:v>
                </c:pt>
                <c:pt idx="135">
                  <c:v>0.38974358974358969</c:v>
                </c:pt>
                <c:pt idx="136">
                  <c:v>0.38974358974358969</c:v>
                </c:pt>
                <c:pt idx="137">
                  <c:v>0.38974358974358969</c:v>
                </c:pt>
                <c:pt idx="138">
                  <c:v>0.38974358974358969</c:v>
                </c:pt>
                <c:pt idx="139">
                  <c:v>0.38974358974358969</c:v>
                </c:pt>
                <c:pt idx="140">
                  <c:v>0.38974358974358969</c:v>
                </c:pt>
                <c:pt idx="141">
                  <c:v>0.38974358974358969</c:v>
                </c:pt>
                <c:pt idx="142">
                  <c:v>0.38974358974358969</c:v>
                </c:pt>
                <c:pt idx="143">
                  <c:v>0.38974358974358969</c:v>
                </c:pt>
                <c:pt idx="144">
                  <c:v>0.38974358974358969</c:v>
                </c:pt>
                <c:pt idx="145">
                  <c:v>0.38974358974358969</c:v>
                </c:pt>
                <c:pt idx="146">
                  <c:v>0.38974358974358969</c:v>
                </c:pt>
                <c:pt idx="147">
                  <c:v>0.38974358974358969</c:v>
                </c:pt>
                <c:pt idx="148">
                  <c:v>0.38974358974358969</c:v>
                </c:pt>
                <c:pt idx="149">
                  <c:v>0.38974358974358969</c:v>
                </c:pt>
                <c:pt idx="150">
                  <c:v>0.38974358974358969</c:v>
                </c:pt>
                <c:pt idx="151">
                  <c:v>0.38974358974358969</c:v>
                </c:pt>
                <c:pt idx="152">
                  <c:v>0.38974358974358969</c:v>
                </c:pt>
                <c:pt idx="153">
                  <c:v>0.38974358974358969</c:v>
                </c:pt>
                <c:pt idx="154">
                  <c:v>0.38974358974358969</c:v>
                </c:pt>
                <c:pt idx="155">
                  <c:v>0.38974358974358969</c:v>
                </c:pt>
                <c:pt idx="156">
                  <c:v>0.38974358974358969</c:v>
                </c:pt>
                <c:pt idx="157">
                  <c:v>0.38974358974358969</c:v>
                </c:pt>
                <c:pt idx="158">
                  <c:v>0.38974358974358969</c:v>
                </c:pt>
                <c:pt idx="159">
                  <c:v>0.38974358974358969</c:v>
                </c:pt>
                <c:pt idx="160">
                  <c:v>0.38974358974358969</c:v>
                </c:pt>
                <c:pt idx="161">
                  <c:v>0.38974358974358969</c:v>
                </c:pt>
                <c:pt idx="162">
                  <c:v>0.38974358974358969</c:v>
                </c:pt>
                <c:pt idx="163">
                  <c:v>0.38974358974358969</c:v>
                </c:pt>
                <c:pt idx="164">
                  <c:v>0.38974358974358969</c:v>
                </c:pt>
                <c:pt idx="165">
                  <c:v>0.38974358974358969</c:v>
                </c:pt>
                <c:pt idx="166">
                  <c:v>0.38974358974358969</c:v>
                </c:pt>
                <c:pt idx="167">
                  <c:v>0.38974358974358969</c:v>
                </c:pt>
                <c:pt idx="168">
                  <c:v>0.38974358974358969</c:v>
                </c:pt>
                <c:pt idx="169">
                  <c:v>0.38974358974358969</c:v>
                </c:pt>
                <c:pt idx="170">
                  <c:v>0.38974358974358969</c:v>
                </c:pt>
                <c:pt idx="171">
                  <c:v>0.38974358974358969</c:v>
                </c:pt>
                <c:pt idx="172">
                  <c:v>0.38974358974358969</c:v>
                </c:pt>
                <c:pt idx="173">
                  <c:v>0.38974358974358969</c:v>
                </c:pt>
                <c:pt idx="174">
                  <c:v>0.38974358974358969</c:v>
                </c:pt>
                <c:pt idx="175">
                  <c:v>0.38974358974358969</c:v>
                </c:pt>
                <c:pt idx="176">
                  <c:v>0.38974358974358969</c:v>
                </c:pt>
                <c:pt idx="177">
                  <c:v>0.38974358974358969</c:v>
                </c:pt>
                <c:pt idx="178">
                  <c:v>0.38974358974358969</c:v>
                </c:pt>
                <c:pt idx="179">
                  <c:v>0.38974358974358969</c:v>
                </c:pt>
                <c:pt idx="180">
                  <c:v>0.38974358974358969</c:v>
                </c:pt>
                <c:pt idx="181">
                  <c:v>0.38974358974358969</c:v>
                </c:pt>
                <c:pt idx="182">
                  <c:v>0.38974358974358969</c:v>
                </c:pt>
                <c:pt idx="183">
                  <c:v>0.38974358974358969</c:v>
                </c:pt>
                <c:pt idx="184">
                  <c:v>0.38974358974358969</c:v>
                </c:pt>
                <c:pt idx="185">
                  <c:v>0.38974358974358969</c:v>
                </c:pt>
                <c:pt idx="186">
                  <c:v>0.38974358974358969</c:v>
                </c:pt>
                <c:pt idx="187">
                  <c:v>0.38974358974358969</c:v>
                </c:pt>
                <c:pt idx="188">
                  <c:v>0.38974358974358969</c:v>
                </c:pt>
                <c:pt idx="189">
                  <c:v>0.38974358974358969</c:v>
                </c:pt>
                <c:pt idx="190">
                  <c:v>0.38974358974358969</c:v>
                </c:pt>
                <c:pt idx="191">
                  <c:v>0.38974358974358969</c:v>
                </c:pt>
                <c:pt idx="192">
                  <c:v>0.38974358974358969</c:v>
                </c:pt>
                <c:pt idx="193">
                  <c:v>0.38974358974358969</c:v>
                </c:pt>
                <c:pt idx="194">
                  <c:v>0.38974358974358969</c:v>
                </c:pt>
                <c:pt idx="195">
                  <c:v>0</c:v>
                </c:pt>
              </c:numCache>
            </c:numRef>
          </c:yVal>
          <c:smooth val="1"/>
        </c:ser>
        <c:ser>
          <c:idx val="1"/>
          <c:order val="1"/>
          <c:spPr>
            <a:ln w="3175">
              <a:solidFill>
                <a:srgbClr val="FF00FF"/>
              </a:solidFill>
              <a:prstDash val="solid"/>
            </a:ln>
          </c:spPr>
          <c:marker>
            <c:symbol val="square"/>
            <c:size val="6"/>
            <c:spPr>
              <a:solidFill>
                <a:srgbClr val="FF00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duration!$B$2:$B$197</c:f>
              <c:numCache>
                <c:formatCode>General</c:formatCode>
                <c:ptCount val="196"/>
                <c:pt idx="0">
                  <c:v>17</c:v>
                </c:pt>
                <c:pt idx="1">
                  <c:v>14</c:v>
                </c:pt>
                <c:pt idx="2">
                  <c:v>14</c:v>
                </c:pt>
                <c:pt idx="3">
                  <c:v>14</c:v>
                </c:pt>
                <c:pt idx="4">
                  <c:v>11</c:v>
                </c:pt>
                <c:pt idx="5">
                  <c:v>11</c:v>
                </c:pt>
                <c:pt idx="6">
                  <c:v>10</c:v>
                </c:pt>
                <c:pt idx="7">
                  <c:v>9</c:v>
                </c:pt>
                <c:pt idx="8">
                  <c:v>8</c:v>
                </c:pt>
                <c:pt idx="9">
                  <c:v>8</c:v>
                </c:pt>
                <c:pt idx="10">
                  <c:v>8</c:v>
                </c:pt>
                <c:pt idx="11">
                  <c:v>8</c:v>
                </c:pt>
                <c:pt idx="12">
                  <c:v>7</c:v>
                </c:pt>
                <c:pt idx="13">
                  <c:v>7</c:v>
                </c:pt>
                <c:pt idx="14">
                  <c:v>7</c:v>
                </c:pt>
                <c:pt idx="15">
                  <c:v>7</c:v>
                </c:pt>
                <c:pt idx="16">
                  <c:v>7</c:v>
                </c:pt>
                <c:pt idx="17">
                  <c:v>7</c:v>
                </c:pt>
                <c:pt idx="18">
                  <c:v>6</c:v>
                </c:pt>
                <c:pt idx="19">
                  <c:v>6</c:v>
                </c:pt>
                <c:pt idx="20">
                  <c:v>6</c:v>
                </c:pt>
                <c:pt idx="21">
                  <c:v>6</c:v>
                </c:pt>
                <c:pt idx="22">
                  <c:v>6</c:v>
                </c:pt>
                <c:pt idx="23">
                  <c:v>6</c:v>
                </c:pt>
                <c:pt idx="24">
                  <c:v>6</c:v>
                </c:pt>
                <c:pt idx="25">
                  <c:v>5</c:v>
                </c:pt>
                <c:pt idx="26">
                  <c:v>5</c:v>
                </c:pt>
                <c:pt idx="27">
                  <c:v>5</c:v>
                </c:pt>
                <c:pt idx="28">
                  <c:v>5</c:v>
                </c:pt>
                <c:pt idx="29">
                  <c:v>5</c:v>
                </c:pt>
                <c:pt idx="30">
                  <c:v>5</c:v>
                </c:pt>
                <c:pt idx="31">
                  <c:v>5</c:v>
                </c:pt>
                <c:pt idx="32">
                  <c:v>5</c:v>
                </c:pt>
                <c:pt idx="33">
                  <c:v>5</c:v>
                </c:pt>
                <c:pt idx="34">
                  <c:v>5</c:v>
                </c:pt>
                <c:pt idx="35">
                  <c:v>4</c:v>
                </c:pt>
                <c:pt idx="36">
                  <c:v>4</c:v>
                </c:pt>
                <c:pt idx="37">
                  <c:v>4</c:v>
                </c:pt>
                <c:pt idx="38">
                  <c:v>4</c:v>
                </c:pt>
                <c:pt idx="39">
                  <c:v>4</c:v>
                </c:pt>
                <c:pt idx="40">
                  <c:v>4</c:v>
                </c:pt>
                <c:pt idx="41">
                  <c:v>4</c:v>
                </c:pt>
                <c:pt idx="42">
                  <c:v>4</c:v>
                </c:pt>
                <c:pt idx="43">
                  <c:v>4</c:v>
                </c:pt>
                <c:pt idx="44">
                  <c:v>4</c:v>
                </c:pt>
                <c:pt idx="45">
                  <c:v>4</c:v>
                </c:pt>
                <c:pt idx="46">
                  <c:v>4</c:v>
                </c:pt>
                <c:pt idx="47">
                  <c:v>4</c:v>
                </c:pt>
                <c:pt idx="48">
                  <c:v>4</c:v>
                </c:pt>
                <c:pt idx="49">
                  <c:v>4</c:v>
                </c:pt>
                <c:pt idx="50">
                  <c:v>3</c:v>
                </c:pt>
                <c:pt idx="51">
                  <c:v>3</c:v>
                </c:pt>
                <c:pt idx="52">
                  <c:v>3</c:v>
                </c:pt>
                <c:pt idx="53">
                  <c:v>3</c:v>
                </c:pt>
                <c:pt idx="54">
                  <c:v>3</c:v>
                </c:pt>
                <c:pt idx="55">
                  <c:v>3</c:v>
                </c:pt>
                <c:pt idx="56">
                  <c:v>3</c:v>
                </c:pt>
                <c:pt idx="57">
                  <c:v>3</c:v>
                </c:pt>
                <c:pt idx="58">
                  <c:v>3</c:v>
                </c:pt>
                <c:pt idx="59">
                  <c:v>3</c:v>
                </c:pt>
                <c:pt idx="60">
                  <c:v>3</c:v>
                </c:pt>
                <c:pt idx="61">
                  <c:v>3</c:v>
                </c:pt>
                <c:pt idx="62">
                  <c:v>3</c:v>
                </c:pt>
                <c:pt idx="63">
                  <c:v>3</c:v>
                </c:pt>
                <c:pt idx="64">
                  <c:v>3</c:v>
                </c:pt>
                <c:pt idx="65">
                  <c:v>3</c:v>
                </c:pt>
                <c:pt idx="66">
                  <c:v>3</c:v>
                </c:pt>
                <c:pt idx="67">
                  <c:v>3</c:v>
                </c:pt>
                <c:pt idx="68">
                  <c:v>3</c:v>
                </c:pt>
                <c:pt idx="69">
                  <c:v>3</c:v>
                </c:pt>
                <c:pt idx="70">
                  <c:v>3</c:v>
                </c:pt>
                <c:pt idx="71">
                  <c:v>3</c:v>
                </c:pt>
                <c:pt idx="72">
                  <c:v>3</c:v>
                </c:pt>
                <c:pt idx="73">
                  <c:v>3</c:v>
                </c:pt>
                <c:pt idx="74">
                  <c:v>3</c:v>
                </c:pt>
                <c:pt idx="75">
                  <c:v>3</c:v>
                </c:pt>
                <c:pt idx="76">
                  <c:v>3</c:v>
                </c:pt>
                <c:pt idx="77">
                  <c:v>2</c:v>
                </c:pt>
                <c:pt idx="78">
                  <c:v>2</c:v>
                </c:pt>
                <c:pt idx="79">
                  <c:v>2</c:v>
                </c:pt>
                <c:pt idx="80">
                  <c:v>2</c:v>
                </c:pt>
                <c:pt idx="81">
                  <c:v>2</c:v>
                </c:pt>
                <c:pt idx="82">
                  <c:v>2</c:v>
                </c:pt>
                <c:pt idx="83">
                  <c:v>2</c:v>
                </c:pt>
                <c:pt idx="84">
                  <c:v>2</c:v>
                </c:pt>
                <c:pt idx="85">
                  <c:v>2</c:v>
                </c:pt>
                <c:pt idx="86">
                  <c:v>2</c:v>
                </c:pt>
                <c:pt idx="87">
                  <c:v>2</c:v>
                </c:pt>
                <c:pt idx="88">
                  <c:v>2</c:v>
                </c:pt>
                <c:pt idx="89">
                  <c:v>2</c:v>
                </c:pt>
                <c:pt idx="90">
                  <c:v>2</c:v>
                </c:pt>
                <c:pt idx="91">
                  <c:v>2</c:v>
                </c:pt>
                <c:pt idx="92">
                  <c:v>2</c:v>
                </c:pt>
                <c:pt idx="93">
                  <c:v>2</c:v>
                </c:pt>
                <c:pt idx="94">
                  <c:v>2</c:v>
                </c:pt>
                <c:pt idx="95">
                  <c:v>2</c:v>
                </c:pt>
                <c:pt idx="96">
                  <c:v>2</c:v>
                </c:pt>
                <c:pt idx="97">
                  <c:v>2</c:v>
                </c:pt>
                <c:pt idx="98">
                  <c:v>2</c:v>
                </c:pt>
                <c:pt idx="99">
                  <c:v>2</c:v>
                </c:pt>
                <c:pt idx="100">
                  <c:v>2</c:v>
                </c:pt>
                <c:pt idx="101">
                  <c:v>2</c:v>
                </c:pt>
                <c:pt idx="102">
                  <c:v>2</c:v>
                </c:pt>
                <c:pt idx="103">
                  <c:v>2</c:v>
                </c:pt>
                <c:pt idx="104">
                  <c:v>2</c:v>
                </c:pt>
                <c:pt idx="105">
                  <c:v>2</c:v>
                </c:pt>
                <c:pt idx="106">
                  <c:v>2</c:v>
                </c:pt>
                <c:pt idx="107">
                  <c:v>2</c:v>
                </c:pt>
                <c:pt idx="108">
                  <c:v>2</c:v>
                </c:pt>
                <c:pt idx="109">
                  <c:v>2</c:v>
                </c:pt>
                <c:pt idx="110">
                  <c:v>2</c:v>
                </c:pt>
                <c:pt idx="111">
                  <c:v>2</c:v>
                </c:pt>
                <c:pt idx="112">
                  <c:v>2</c:v>
                </c:pt>
                <c:pt idx="113">
                  <c:v>2</c:v>
                </c:pt>
                <c:pt idx="114">
                  <c:v>2</c:v>
                </c:pt>
                <c:pt idx="115">
                  <c:v>2</c:v>
                </c:pt>
                <c:pt idx="116">
                  <c:v>2</c:v>
                </c:pt>
                <c:pt idx="117">
                  <c:v>2</c:v>
                </c:pt>
                <c:pt idx="118">
                  <c:v>1</c:v>
                </c:pt>
                <c:pt idx="119">
                  <c:v>1</c:v>
                </c:pt>
                <c:pt idx="120">
                  <c:v>1</c:v>
                </c:pt>
                <c:pt idx="121">
                  <c:v>1</c:v>
                </c:pt>
                <c:pt idx="122">
                  <c:v>1</c:v>
                </c:pt>
                <c:pt idx="123">
                  <c:v>1</c:v>
                </c:pt>
                <c:pt idx="124">
                  <c:v>1</c:v>
                </c:pt>
                <c:pt idx="125">
                  <c:v>1</c:v>
                </c:pt>
                <c:pt idx="126">
                  <c:v>1</c:v>
                </c:pt>
                <c:pt idx="127">
                  <c:v>1</c:v>
                </c:pt>
                <c:pt idx="128">
                  <c:v>1</c:v>
                </c:pt>
                <c:pt idx="129">
                  <c:v>1</c:v>
                </c:pt>
                <c:pt idx="130">
                  <c:v>1</c:v>
                </c:pt>
                <c:pt idx="131">
                  <c:v>1</c:v>
                </c:pt>
                <c:pt idx="132">
                  <c:v>1</c:v>
                </c:pt>
                <c:pt idx="133">
                  <c:v>1</c:v>
                </c:pt>
                <c:pt idx="134">
                  <c:v>1</c:v>
                </c:pt>
                <c:pt idx="135">
                  <c:v>1</c:v>
                </c:pt>
                <c:pt idx="136">
                  <c:v>1</c:v>
                </c:pt>
                <c:pt idx="137">
                  <c:v>1</c:v>
                </c:pt>
                <c:pt idx="138">
                  <c:v>1</c:v>
                </c:pt>
                <c:pt idx="139">
                  <c:v>1</c:v>
                </c:pt>
                <c:pt idx="140">
                  <c:v>1</c:v>
                </c:pt>
                <c:pt idx="141">
                  <c:v>1</c:v>
                </c:pt>
                <c:pt idx="142">
                  <c:v>1</c:v>
                </c:pt>
                <c:pt idx="143">
                  <c:v>1</c:v>
                </c:pt>
                <c:pt idx="144">
                  <c:v>1</c:v>
                </c:pt>
                <c:pt idx="145">
                  <c:v>1</c:v>
                </c:pt>
                <c:pt idx="146">
                  <c:v>1</c:v>
                </c:pt>
                <c:pt idx="147">
                  <c:v>1</c:v>
                </c:pt>
                <c:pt idx="148">
                  <c:v>1</c:v>
                </c:pt>
                <c:pt idx="149">
                  <c:v>1</c:v>
                </c:pt>
                <c:pt idx="150">
                  <c:v>1</c:v>
                </c:pt>
                <c:pt idx="151">
                  <c:v>1</c:v>
                </c:pt>
                <c:pt idx="152">
                  <c:v>1</c:v>
                </c:pt>
                <c:pt idx="153">
                  <c:v>1</c:v>
                </c:pt>
                <c:pt idx="154">
                  <c:v>1</c:v>
                </c:pt>
                <c:pt idx="155">
                  <c:v>1</c:v>
                </c:pt>
                <c:pt idx="156">
                  <c:v>1</c:v>
                </c:pt>
                <c:pt idx="157">
                  <c:v>1</c:v>
                </c:pt>
                <c:pt idx="158">
                  <c:v>1</c:v>
                </c:pt>
                <c:pt idx="159">
                  <c:v>1</c:v>
                </c:pt>
                <c:pt idx="160">
                  <c:v>1</c:v>
                </c:pt>
                <c:pt idx="161">
                  <c:v>1</c:v>
                </c:pt>
                <c:pt idx="162">
                  <c:v>1</c:v>
                </c:pt>
                <c:pt idx="163">
                  <c:v>1</c:v>
                </c:pt>
                <c:pt idx="164">
                  <c:v>1</c:v>
                </c:pt>
                <c:pt idx="165">
                  <c:v>1</c:v>
                </c:pt>
                <c:pt idx="166">
                  <c:v>1</c:v>
                </c:pt>
                <c:pt idx="167">
                  <c:v>1</c:v>
                </c:pt>
                <c:pt idx="168">
                  <c:v>1</c:v>
                </c:pt>
                <c:pt idx="169">
                  <c:v>1</c:v>
                </c:pt>
                <c:pt idx="170">
                  <c:v>1</c:v>
                </c:pt>
                <c:pt idx="171">
                  <c:v>1</c:v>
                </c:pt>
                <c:pt idx="172">
                  <c:v>1</c:v>
                </c:pt>
                <c:pt idx="173">
                  <c:v>1</c:v>
                </c:pt>
                <c:pt idx="174">
                  <c:v>1</c:v>
                </c:pt>
                <c:pt idx="175">
                  <c:v>1</c:v>
                </c:pt>
                <c:pt idx="176">
                  <c:v>1</c:v>
                </c:pt>
                <c:pt idx="177">
                  <c:v>1</c:v>
                </c:pt>
                <c:pt idx="178">
                  <c:v>1</c:v>
                </c:pt>
                <c:pt idx="179">
                  <c:v>1</c:v>
                </c:pt>
                <c:pt idx="180">
                  <c:v>1</c:v>
                </c:pt>
                <c:pt idx="181">
                  <c:v>1</c:v>
                </c:pt>
                <c:pt idx="182">
                  <c:v>1</c:v>
                </c:pt>
                <c:pt idx="183">
                  <c:v>1</c:v>
                </c:pt>
                <c:pt idx="184">
                  <c:v>1</c:v>
                </c:pt>
                <c:pt idx="185">
                  <c:v>1</c:v>
                </c:pt>
                <c:pt idx="186">
                  <c:v>1</c:v>
                </c:pt>
                <c:pt idx="187">
                  <c:v>1</c:v>
                </c:pt>
                <c:pt idx="188">
                  <c:v>1</c:v>
                </c:pt>
                <c:pt idx="189">
                  <c:v>1</c:v>
                </c:pt>
                <c:pt idx="190">
                  <c:v>1</c:v>
                </c:pt>
                <c:pt idx="191">
                  <c:v>1</c:v>
                </c:pt>
                <c:pt idx="192">
                  <c:v>1</c:v>
                </c:pt>
                <c:pt idx="193">
                  <c:v>1</c:v>
                </c:pt>
                <c:pt idx="194">
                  <c:v>1</c:v>
                </c:pt>
                <c:pt idx="195">
                  <c:v>0</c:v>
                </c:pt>
              </c:numCache>
            </c:numRef>
          </c:xVal>
          <c:yVal>
            <c:numRef>
              <c:f>duration!$G$2:$G$197</c:f>
              <c:numCache>
                <c:formatCode>0.0000</c:formatCode>
                <c:ptCount val="196"/>
                <c:pt idx="0">
                  <c:v>0.99888622485215517</c:v>
                </c:pt>
                <c:pt idx="1">
                  <c:v>0.99630213628351705</c:v>
                </c:pt>
                <c:pt idx="2">
                  <c:v>0.99630213628351705</c:v>
                </c:pt>
                <c:pt idx="3">
                  <c:v>0.99630213628351705</c:v>
                </c:pt>
                <c:pt idx="4">
                  <c:v>0.98772266009693155</c:v>
                </c:pt>
                <c:pt idx="5">
                  <c:v>0.98772266009693155</c:v>
                </c:pt>
                <c:pt idx="6">
                  <c:v>0.98168436111126578</c:v>
                </c:pt>
                <c:pt idx="7">
                  <c:v>0.97267627755270747</c:v>
                </c:pt>
                <c:pt idx="8">
                  <c:v>0.95923779602163384</c:v>
                </c:pt>
                <c:pt idx="9">
                  <c:v>0.95923779602163384</c:v>
                </c:pt>
                <c:pt idx="10">
                  <c:v>0.95923779602163384</c:v>
                </c:pt>
                <c:pt idx="11">
                  <c:v>0.95923779602163384</c:v>
                </c:pt>
                <c:pt idx="12">
                  <c:v>0.93918993737478207</c:v>
                </c:pt>
                <c:pt idx="13">
                  <c:v>0.93918993737478207</c:v>
                </c:pt>
                <c:pt idx="14">
                  <c:v>0.93918993737478207</c:v>
                </c:pt>
                <c:pt idx="15">
                  <c:v>0.93918993737478207</c:v>
                </c:pt>
                <c:pt idx="16">
                  <c:v>0.93918993737478207</c:v>
                </c:pt>
                <c:pt idx="17">
                  <c:v>0.93918993737478207</c:v>
                </c:pt>
                <c:pt idx="18">
                  <c:v>0.90928204671058754</c:v>
                </c:pt>
                <c:pt idx="19">
                  <c:v>0.90928204671058754</c:v>
                </c:pt>
                <c:pt idx="20">
                  <c:v>0.90928204671058754</c:v>
                </c:pt>
                <c:pt idx="21">
                  <c:v>0.90928204671058754</c:v>
                </c:pt>
                <c:pt idx="22">
                  <c:v>0.90928204671058754</c:v>
                </c:pt>
                <c:pt idx="23">
                  <c:v>0.90928204671058754</c:v>
                </c:pt>
                <c:pt idx="24">
                  <c:v>0.90928204671058754</c:v>
                </c:pt>
                <c:pt idx="25">
                  <c:v>0.8646647167633873</c:v>
                </c:pt>
                <c:pt idx="26">
                  <c:v>0.8646647167633873</c:v>
                </c:pt>
                <c:pt idx="27">
                  <c:v>0.8646647167633873</c:v>
                </c:pt>
                <c:pt idx="28">
                  <c:v>0.8646647167633873</c:v>
                </c:pt>
                <c:pt idx="29">
                  <c:v>0.8646647167633873</c:v>
                </c:pt>
                <c:pt idx="30">
                  <c:v>0.8646647167633873</c:v>
                </c:pt>
                <c:pt idx="31">
                  <c:v>0.8646647167633873</c:v>
                </c:pt>
                <c:pt idx="32">
                  <c:v>0.8646647167633873</c:v>
                </c:pt>
                <c:pt idx="33">
                  <c:v>0.8646647167633873</c:v>
                </c:pt>
                <c:pt idx="34">
                  <c:v>0.8646647167633873</c:v>
                </c:pt>
                <c:pt idx="35">
                  <c:v>0.79810348200534464</c:v>
                </c:pt>
                <c:pt idx="36">
                  <c:v>0.79810348200534464</c:v>
                </c:pt>
                <c:pt idx="37">
                  <c:v>0.79810348200534464</c:v>
                </c:pt>
                <c:pt idx="38">
                  <c:v>0.79810348200534464</c:v>
                </c:pt>
                <c:pt idx="39">
                  <c:v>0.79810348200534464</c:v>
                </c:pt>
                <c:pt idx="40">
                  <c:v>0.79810348200534464</c:v>
                </c:pt>
                <c:pt idx="41">
                  <c:v>0.79810348200534464</c:v>
                </c:pt>
                <c:pt idx="42">
                  <c:v>0.79810348200534464</c:v>
                </c:pt>
                <c:pt idx="43">
                  <c:v>0.79810348200534464</c:v>
                </c:pt>
                <c:pt idx="44">
                  <c:v>0.79810348200534464</c:v>
                </c:pt>
                <c:pt idx="45">
                  <c:v>0.79810348200534464</c:v>
                </c:pt>
                <c:pt idx="46">
                  <c:v>0.79810348200534464</c:v>
                </c:pt>
                <c:pt idx="47">
                  <c:v>0.79810348200534464</c:v>
                </c:pt>
                <c:pt idx="48">
                  <c:v>0.79810348200534464</c:v>
                </c:pt>
                <c:pt idx="49">
                  <c:v>0.79810348200534464</c:v>
                </c:pt>
                <c:pt idx="50">
                  <c:v>0.69880578808779803</c:v>
                </c:pt>
                <c:pt idx="51">
                  <c:v>0.69880578808779803</c:v>
                </c:pt>
                <c:pt idx="52">
                  <c:v>0.69880578808779803</c:v>
                </c:pt>
                <c:pt idx="53">
                  <c:v>0.69880578808779803</c:v>
                </c:pt>
                <c:pt idx="54">
                  <c:v>0.69880578808779803</c:v>
                </c:pt>
                <c:pt idx="55">
                  <c:v>0.69880578808779803</c:v>
                </c:pt>
                <c:pt idx="56">
                  <c:v>0.69880578808779803</c:v>
                </c:pt>
                <c:pt idx="57">
                  <c:v>0.69880578808779803</c:v>
                </c:pt>
                <c:pt idx="58">
                  <c:v>0.69880578808779803</c:v>
                </c:pt>
                <c:pt idx="59">
                  <c:v>0.69880578808779803</c:v>
                </c:pt>
                <c:pt idx="60">
                  <c:v>0.69880578808779803</c:v>
                </c:pt>
                <c:pt idx="61">
                  <c:v>0.69880578808779803</c:v>
                </c:pt>
                <c:pt idx="62">
                  <c:v>0.69880578808779803</c:v>
                </c:pt>
                <c:pt idx="63">
                  <c:v>0.69880578808779803</c:v>
                </c:pt>
                <c:pt idx="64">
                  <c:v>0.69880578808779803</c:v>
                </c:pt>
                <c:pt idx="65">
                  <c:v>0.69880578808779803</c:v>
                </c:pt>
                <c:pt idx="66">
                  <c:v>0.69880578808779803</c:v>
                </c:pt>
                <c:pt idx="67">
                  <c:v>0.69880578808779803</c:v>
                </c:pt>
                <c:pt idx="68">
                  <c:v>0.69880578808779803</c:v>
                </c:pt>
                <c:pt idx="69">
                  <c:v>0.69880578808779803</c:v>
                </c:pt>
                <c:pt idx="70">
                  <c:v>0.69880578808779803</c:v>
                </c:pt>
                <c:pt idx="71">
                  <c:v>0.69880578808779803</c:v>
                </c:pt>
                <c:pt idx="72">
                  <c:v>0.69880578808779803</c:v>
                </c:pt>
                <c:pt idx="73">
                  <c:v>0.69880578808779803</c:v>
                </c:pt>
                <c:pt idx="74">
                  <c:v>0.69880578808779803</c:v>
                </c:pt>
                <c:pt idx="75">
                  <c:v>0.69880578808779803</c:v>
                </c:pt>
                <c:pt idx="76">
                  <c:v>0.69880578808779803</c:v>
                </c:pt>
                <c:pt idx="77">
                  <c:v>0.55067103588277844</c:v>
                </c:pt>
                <c:pt idx="78">
                  <c:v>0.55067103588277844</c:v>
                </c:pt>
                <c:pt idx="79">
                  <c:v>0.55067103588277844</c:v>
                </c:pt>
                <c:pt idx="80">
                  <c:v>0.55067103588277844</c:v>
                </c:pt>
                <c:pt idx="81">
                  <c:v>0.55067103588277844</c:v>
                </c:pt>
                <c:pt idx="82">
                  <c:v>0.55067103588277844</c:v>
                </c:pt>
                <c:pt idx="83">
                  <c:v>0.55067103588277844</c:v>
                </c:pt>
                <c:pt idx="84">
                  <c:v>0.55067103588277844</c:v>
                </c:pt>
                <c:pt idx="85">
                  <c:v>0.55067103588277844</c:v>
                </c:pt>
                <c:pt idx="86">
                  <c:v>0.55067103588277844</c:v>
                </c:pt>
                <c:pt idx="87">
                  <c:v>0.55067103588277844</c:v>
                </c:pt>
                <c:pt idx="88">
                  <c:v>0.55067103588277844</c:v>
                </c:pt>
                <c:pt idx="89">
                  <c:v>0.55067103588277844</c:v>
                </c:pt>
                <c:pt idx="90">
                  <c:v>0.55067103588277844</c:v>
                </c:pt>
                <c:pt idx="91">
                  <c:v>0.55067103588277844</c:v>
                </c:pt>
                <c:pt idx="92">
                  <c:v>0.55067103588277844</c:v>
                </c:pt>
                <c:pt idx="93">
                  <c:v>0.55067103588277844</c:v>
                </c:pt>
                <c:pt idx="94">
                  <c:v>0.55067103588277844</c:v>
                </c:pt>
                <c:pt idx="95">
                  <c:v>0.55067103588277844</c:v>
                </c:pt>
                <c:pt idx="96">
                  <c:v>0.55067103588277844</c:v>
                </c:pt>
                <c:pt idx="97">
                  <c:v>0.55067103588277844</c:v>
                </c:pt>
                <c:pt idx="98">
                  <c:v>0.55067103588277844</c:v>
                </c:pt>
                <c:pt idx="99">
                  <c:v>0.55067103588277844</c:v>
                </c:pt>
                <c:pt idx="100">
                  <c:v>0.55067103588277844</c:v>
                </c:pt>
                <c:pt idx="101">
                  <c:v>0.55067103588277844</c:v>
                </c:pt>
                <c:pt idx="102">
                  <c:v>0.55067103588277844</c:v>
                </c:pt>
                <c:pt idx="103">
                  <c:v>0.55067103588277844</c:v>
                </c:pt>
                <c:pt idx="104">
                  <c:v>0.55067103588277844</c:v>
                </c:pt>
                <c:pt idx="105">
                  <c:v>0.55067103588277844</c:v>
                </c:pt>
                <c:pt idx="106">
                  <c:v>0.55067103588277844</c:v>
                </c:pt>
                <c:pt idx="107">
                  <c:v>0.55067103588277844</c:v>
                </c:pt>
                <c:pt idx="108">
                  <c:v>0.55067103588277844</c:v>
                </c:pt>
                <c:pt idx="109">
                  <c:v>0.55067103588277844</c:v>
                </c:pt>
                <c:pt idx="110">
                  <c:v>0.55067103588277844</c:v>
                </c:pt>
                <c:pt idx="111">
                  <c:v>0.55067103588277844</c:v>
                </c:pt>
                <c:pt idx="112">
                  <c:v>0.55067103588277844</c:v>
                </c:pt>
                <c:pt idx="113">
                  <c:v>0.55067103588277844</c:v>
                </c:pt>
                <c:pt idx="114">
                  <c:v>0.55067103588277844</c:v>
                </c:pt>
                <c:pt idx="115">
                  <c:v>0.55067103588277844</c:v>
                </c:pt>
                <c:pt idx="116">
                  <c:v>0.55067103588277844</c:v>
                </c:pt>
                <c:pt idx="117">
                  <c:v>0.55067103588277844</c:v>
                </c:pt>
                <c:pt idx="118">
                  <c:v>0.32967995396436067</c:v>
                </c:pt>
                <c:pt idx="119">
                  <c:v>0.32967995396436067</c:v>
                </c:pt>
                <c:pt idx="120">
                  <c:v>0.32967995396436067</c:v>
                </c:pt>
                <c:pt idx="121">
                  <c:v>0.32967995396436067</c:v>
                </c:pt>
                <c:pt idx="122">
                  <c:v>0.32967995396436067</c:v>
                </c:pt>
                <c:pt idx="123">
                  <c:v>0.32967995396436067</c:v>
                </c:pt>
                <c:pt idx="124">
                  <c:v>0.32967995396436067</c:v>
                </c:pt>
                <c:pt idx="125">
                  <c:v>0.32967995396436067</c:v>
                </c:pt>
                <c:pt idx="126">
                  <c:v>0.32967995396436067</c:v>
                </c:pt>
                <c:pt idx="127">
                  <c:v>0.32967995396436067</c:v>
                </c:pt>
                <c:pt idx="128">
                  <c:v>0.32967995396436067</c:v>
                </c:pt>
                <c:pt idx="129">
                  <c:v>0.32967995396436067</c:v>
                </c:pt>
                <c:pt idx="130">
                  <c:v>0.32967995396436067</c:v>
                </c:pt>
                <c:pt idx="131">
                  <c:v>0.32967995396436067</c:v>
                </c:pt>
                <c:pt idx="132">
                  <c:v>0.32967995396436067</c:v>
                </c:pt>
                <c:pt idx="133">
                  <c:v>0.32967995396436067</c:v>
                </c:pt>
                <c:pt idx="134">
                  <c:v>0.32967995396436067</c:v>
                </c:pt>
                <c:pt idx="135">
                  <c:v>0.32967995396436067</c:v>
                </c:pt>
                <c:pt idx="136">
                  <c:v>0.32967995396436067</c:v>
                </c:pt>
                <c:pt idx="137">
                  <c:v>0.32967995396436067</c:v>
                </c:pt>
                <c:pt idx="138">
                  <c:v>0.32967995396436067</c:v>
                </c:pt>
                <c:pt idx="139">
                  <c:v>0.32967995396436067</c:v>
                </c:pt>
                <c:pt idx="140">
                  <c:v>0.32967995396436067</c:v>
                </c:pt>
                <c:pt idx="141">
                  <c:v>0.32967995396436067</c:v>
                </c:pt>
                <c:pt idx="142">
                  <c:v>0.32967995396436067</c:v>
                </c:pt>
                <c:pt idx="143">
                  <c:v>0.32967995396436067</c:v>
                </c:pt>
                <c:pt idx="144">
                  <c:v>0.32967995396436067</c:v>
                </c:pt>
                <c:pt idx="145">
                  <c:v>0.32967995396436067</c:v>
                </c:pt>
                <c:pt idx="146">
                  <c:v>0.32967995396436067</c:v>
                </c:pt>
                <c:pt idx="147">
                  <c:v>0.32967995396436067</c:v>
                </c:pt>
                <c:pt idx="148">
                  <c:v>0.32967995396436067</c:v>
                </c:pt>
                <c:pt idx="149">
                  <c:v>0.32967995396436067</c:v>
                </c:pt>
                <c:pt idx="150">
                  <c:v>0.32967995396436067</c:v>
                </c:pt>
                <c:pt idx="151">
                  <c:v>0.32967995396436067</c:v>
                </c:pt>
                <c:pt idx="152">
                  <c:v>0.32967995396436067</c:v>
                </c:pt>
                <c:pt idx="153">
                  <c:v>0.32967995396436067</c:v>
                </c:pt>
                <c:pt idx="154">
                  <c:v>0.32967995396436067</c:v>
                </c:pt>
                <c:pt idx="155">
                  <c:v>0.32967995396436067</c:v>
                </c:pt>
                <c:pt idx="156">
                  <c:v>0.32967995396436067</c:v>
                </c:pt>
                <c:pt idx="157">
                  <c:v>0.32967995396436067</c:v>
                </c:pt>
                <c:pt idx="158">
                  <c:v>0.32967995396436067</c:v>
                </c:pt>
                <c:pt idx="159">
                  <c:v>0.32967995396436067</c:v>
                </c:pt>
                <c:pt idx="160">
                  <c:v>0.32967995396436067</c:v>
                </c:pt>
                <c:pt idx="161">
                  <c:v>0.32967995396436067</c:v>
                </c:pt>
                <c:pt idx="162">
                  <c:v>0.32967995396436067</c:v>
                </c:pt>
                <c:pt idx="163">
                  <c:v>0.32967995396436067</c:v>
                </c:pt>
                <c:pt idx="164">
                  <c:v>0.32967995396436067</c:v>
                </c:pt>
                <c:pt idx="165">
                  <c:v>0.32967995396436067</c:v>
                </c:pt>
                <c:pt idx="166">
                  <c:v>0.32967995396436067</c:v>
                </c:pt>
                <c:pt idx="167">
                  <c:v>0.32967995396436067</c:v>
                </c:pt>
                <c:pt idx="168">
                  <c:v>0.32967995396436067</c:v>
                </c:pt>
                <c:pt idx="169">
                  <c:v>0.32967995396436067</c:v>
                </c:pt>
                <c:pt idx="170">
                  <c:v>0.32967995396436067</c:v>
                </c:pt>
                <c:pt idx="171">
                  <c:v>0.32967995396436067</c:v>
                </c:pt>
                <c:pt idx="172">
                  <c:v>0.32967995396436067</c:v>
                </c:pt>
                <c:pt idx="173">
                  <c:v>0.32967995396436067</c:v>
                </c:pt>
                <c:pt idx="174">
                  <c:v>0.32967995396436067</c:v>
                </c:pt>
                <c:pt idx="175">
                  <c:v>0.32967995396436067</c:v>
                </c:pt>
                <c:pt idx="176">
                  <c:v>0.32967995396436067</c:v>
                </c:pt>
                <c:pt idx="177">
                  <c:v>0.32967995396436067</c:v>
                </c:pt>
                <c:pt idx="178">
                  <c:v>0.32967995396436067</c:v>
                </c:pt>
                <c:pt idx="179">
                  <c:v>0.32967995396436067</c:v>
                </c:pt>
                <c:pt idx="180">
                  <c:v>0.32967995396436067</c:v>
                </c:pt>
                <c:pt idx="181">
                  <c:v>0.32967995396436067</c:v>
                </c:pt>
                <c:pt idx="182">
                  <c:v>0.32967995396436067</c:v>
                </c:pt>
                <c:pt idx="183">
                  <c:v>0.32967995396436067</c:v>
                </c:pt>
                <c:pt idx="184">
                  <c:v>0.32967995396436067</c:v>
                </c:pt>
                <c:pt idx="185">
                  <c:v>0.32967995396436067</c:v>
                </c:pt>
                <c:pt idx="186">
                  <c:v>0.32967995396436067</c:v>
                </c:pt>
                <c:pt idx="187">
                  <c:v>0.32967995396436067</c:v>
                </c:pt>
                <c:pt idx="188">
                  <c:v>0.32967995396436067</c:v>
                </c:pt>
                <c:pt idx="189">
                  <c:v>0.32967995396436067</c:v>
                </c:pt>
                <c:pt idx="190">
                  <c:v>0.32967995396436067</c:v>
                </c:pt>
                <c:pt idx="191">
                  <c:v>0.32967995396436067</c:v>
                </c:pt>
                <c:pt idx="192">
                  <c:v>0.32967995396436067</c:v>
                </c:pt>
                <c:pt idx="193">
                  <c:v>0.32967995396436067</c:v>
                </c:pt>
                <c:pt idx="194">
                  <c:v>0.32967995396436067</c:v>
                </c:pt>
                <c:pt idx="195">
                  <c:v>0</c:v>
                </c:pt>
              </c:numCache>
            </c:numRef>
          </c:yVal>
          <c:smooth val="1"/>
        </c:ser>
        <c:ser>
          <c:idx val="2"/>
          <c:order val="2"/>
          <c:xVal>
            <c:numRef>
              <c:f>duration!$B$2:$B$197</c:f>
              <c:numCache>
                <c:formatCode>General</c:formatCode>
                <c:ptCount val="196"/>
                <c:pt idx="0">
                  <c:v>17</c:v>
                </c:pt>
                <c:pt idx="1">
                  <c:v>14</c:v>
                </c:pt>
                <c:pt idx="2">
                  <c:v>14</c:v>
                </c:pt>
                <c:pt idx="3">
                  <c:v>14</c:v>
                </c:pt>
                <c:pt idx="4">
                  <c:v>11</c:v>
                </c:pt>
                <c:pt idx="5">
                  <c:v>11</c:v>
                </c:pt>
                <c:pt idx="6">
                  <c:v>10</c:v>
                </c:pt>
                <c:pt idx="7">
                  <c:v>9</c:v>
                </c:pt>
                <c:pt idx="8">
                  <c:v>8</c:v>
                </c:pt>
                <c:pt idx="9">
                  <c:v>8</c:v>
                </c:pt>
                <c:pt idx="10">
                  <c:v>8</c:v>
                </c:pt>
                <c:pt idx="11">
                  <c:v>8</c:v>
                </c:pt>
                <c:pt idx="12">
                  <c:v>7</c:v>
                </c:pt>
                <c:pt idx="13">
                  <c:v>7</c:v>
                </c:pt>
                <c:pt idx="14">
                  <c:v>7</c:v>
                </c:pt>
                <c:pt idx="15">
                  <c:v>7</c:v>
                </c:pt>
                <c:pt idx="16">
                  <c:v>7</c:v>
                </c:pt>
                <c:pt idx="17">
                  <c:v>7</c:v>
                </c:pt>
                <c:pt idx="18">
                  <c:v>6</c:v>
                </c:pt>
                <c:pt idx="19">
                  <c:v>6</c:v>
                </c:pt>
                <c:pt idx="20">
                  <c:v>6</c:v>
                </c:pt>
                <c:pt idx="21">
                  <c:v>6</c:v>
                </c:pt>
                <c:pt idx="22">
                  <c:v>6</c:v>
                </c:pt>
                <c:pt idx="23">
                  <c:v>6</c:v>
                </c:pt>
                <c:pt idx="24">
                  <c:v>6</c:v>
                </c:pt>
                <c:pt idx="25">
                  <c:v>5</c:v>
                </c:pt>
                <c:pt idx="26">
                  <c:v>5</c:v>
                </c:pt>
                <c:pt idx="27">
                  <c:v>5</c:v>
                </c:pt>
                <c:pt idx="28">
                  <c:v>5</c:v>
                </c:pt>
                <c:pt idx="29">
                  <c:v>5</c:v>
                </c:pt>
                <c:pt idx="30">
                  <c:v>5</c:v>
                </c:pt>
                <c:pt idx="31">
                  <c:v>5</c:v>
                </c:pt>
                <c:pt idx="32">
                  <c:v>5</c:v>
                </c:pt>
                <c:pt idx="33">
                  <c:v>5</c:v>
                </c:pt>
                <c:pt idx="34">
                  <c:v>5</c:v>
                </c:pt>
                <c:pt idx="35">
                  <c:v>4</c:v>
                </c:pt>
                <c:pt idx="36">
                  <c:v>4</c:v>
                </c:pt>
                <c:pt idx="37">
                  <c:v>4</c:v>
                </c:pt>
                <c:pt idx="38">
                  <c:v>4</c:v>
                </c:pt>
                <c:pt idx="39">
                  <c:v>4</c:v>
                </c:pt>
                <c:pt idx="40">
                  <c:v>4</c:v>
                </c:pt>
                <c:pt idx="41">
                  <c:v>4</c:v>
                </c:pt>
                <c:pt idx="42">
                  <c:v>4</c:v>
                </c:pt>
                <c:pt idx="43">
                  <c:v>4</c:v>
                </c:pt>
                <c:pt idx="44">
                  <c:v>4</c:v>
                </c:pt>
                <c:pt idx="45">
                  <c:v>4</c:v>
                </c:pt>
                <c:pt idx="46">
                  <c:v>4</c:v>
                </c:pt>
                <c:pt idx="47">
                  <c:v>4</c:v>
                </c:pt>
                <c:pt idx="48">
                  <c:v>4</c:v>
                </c:pt>
                <c:pt idx="49">
                  <c:v>4</c:v>
                </c:pt>
                <c:pt idx="50">
                  <c:v>3</c:v>
                </c:pt>
                <c:pt idx="51">
                  <c:v>3</c:v>
                </c:pt>
                <c:pt idx="52">
                  <c:v>3</c:v>
                </c:pt>
                <c:pt idx="53">
                  <c:v>3</c:v>
                </c:pt>
                <c:pt idx="54">
                  <c:v>3</c:v>
                </c:pt>
                <c:pt idx="55">
                  <c:v>3</c:v>
                </c:pt>
                <c:pt idx="56">
                  <c:v>3</c:v>
                </c:pt>
                <c:pt idx="57">
                  <c:v>3</c:v>
                </c:pt>
                <c:pt idx="58">
                  <c:v>3</c:v>
                </c:pt>
                <c:pt idx="59">
                  <c:v>3</c:v>
                </c:pt>
                <c:pt idx="60">
                  <c:v>3</c:v>
                </c:pt>
                <c:pt idx="61">
                  <c:v>3</c:v>
                </c:pt>
                <c:pt idx="62">
                  <c:v>3</c:v>
                </c:pt>
                <c:pt idx="63">
                  <c:v>3</c:v>
                </c:pt>
                <c:pt idx="64">
                  <c:v>3</c:v>
                </c:pt>
                <c:pt idx="65">
                  <c:v>3</c:v>
                </c:pt>
                <c:pt idx="66">
                  <c:v>3</c:v>
                </c:pt>
                <c:pt idx="67">
                  <c:v>3</c:v>
                </c:pt>
                <c:pt idx="68">
                  <c:v>3</c:v>
                </c:pt>
                <c:pt idx="69">
                  <c:v>3</c:v>
                </c:pt>
                <c:pt idx="70">
                  <c:v>3</c:v>
                </c:pt>
                <c:pt idx="71">
                  <c:v>3</c:v>
                </c:pt>
                <c:pt idx="72">
                  <c:v>3</c:v>
                </c:pt>
                <c:pt idx="73">
                  <c:v>3</c:v>
                </c:pt>
                <c:pt idx="74">
                  <c:v>3</c:v>
                </c:pt>
                <c:pt idx="75">
                  <c:v>3</c:v>
                </c:pt>
                <c:pt idx="76">
                  <c:v>3</c:v>
                </c:pt>
                <c:pt idx="77">
                  <c:v>2</c:v>
                </c:pt>
                <c:pt idx="78">
                  <c:v>2</c:v>
                </c:pt>
                <c:pt idx="79">
                  <c:v>2</c:v>
                </c:pt>
                <c:pt idx="80">
                  <c:v>2</c:v>
                </c:pt>
                <c:pt idx="81">
                  <c:v>2</c:v>
                </c:pt>
                <c:pt idx="82">
                  <c:v>2</c:v>
                </c:pt>
                <c:pt idx="83">
                  <c:v>2</c:v>
                </c:pt>
                <c:pt idx="84">
                  <c:v>2</c:v>
                </c:pt>
                <c:pt idx="85">
                  <c:v>2</c:v>
                </c:pt>
                <c:pt idx="86">
                  <c:v>2</c:v>
                </c:pt>
                <c:pt idx="87">
                  <c:v>2</c:v>
                </c:pt>
                <c:pt idx="88">
                  <c:v>2</c:v>
                </c:pt>
                <c:pt idx="89">
                  <c:v>2</c:v>
                </c:pt>
                <c:pt idx="90">
                  <c:v>2</c:v>
                </c:pt>
                <c:pt idx="91">
                  <c:v>2</c:v>
                </c:pt>
                <c:pt idx="92">
                  <c:v>2</c:v>
                </c:pt>
                <c:pt idx="93">
                  <c:v>2</c:v>
                </c:pt>
                <c:pt idx="94">
                  <c:v>2</c:v>
                </c:pt>
                <c:pt idx="95">
                  <c:v>2</c:v>
                </c:pt>
                <c:pt idx="96">
                  <c:v>2</c:v>
                </c:pt>
                <c:pt idx="97">
                  <c:v>2</c:v>
                </c:pt>
                <c:pt idx="98">
                  <c:v>2</c:v>
                </c:pt>
                <c:pt idx="99">
                  <c:v>2</c:v>
                </c:pt>
                <c:pt idx="100">
                  <c:v>2</c:v>
                </c:pt>
                <c:pt idx="101">
                  <c:v>2</c:v>
                </c:pt>
                <c:pt idx="102">
                  <c:v>2</c:v>
                </c:pt>
                <c:pt idx="103">
                  <c:v>2</c:v>
                </c:pt>
                <c:pt idx="104">
                  <c:v>2</c:v>
                </c:pt>
                <c:pt idx="105">
                  <c:v>2</c:v>
                </c:pt>
                <c:pt idx="106">
                  <c:v>2</c:v>
                </c:pt>
                <c:pt idx="107">
                  <c:v>2</c:v>
                </c:pt>
                <c:pt idx="108">
                  <c:v>2</c:v>
                </c:pt>
                <c:pt idx="109">
                  <c:v>2</c:v>
                </c:pt>
                <c:pt idx="110">
                  <c:v>2</c:v>
                </c:pt>
                <c:pt idx="111">
                  <c:v>2</c:v>
                </c:pt>
                <c:pt idx="112">
                  <c:v>2</c:v>
                </c:pt>
                <c:pt idx="113">
                  <c:v>2</c:v>
                </c:pt>
                <c:pt idx="114">
                  <c:v>2</c:v>
                </c:pt>
                <c:pt idx="115">
                  <c:v>2</c:v>
                </c:pt>
                <c:pt idx="116">
                  <c:v>2</c:v>
                </c:pt>
                <c:pt idx="117">
                  <c:v>2</c:v>
                </c:pt>
                <c:pt idx="118">
                  <c:v>1</c:v>
                </c:pt>
                <c:pt idx="119">
                  <c:v>1</c:v>
                </c:pt>
                <c:pt idx="120">
                  <c:v>1</c:v>
                </c:pt>
                <c:pt idx="121">
                  <c:v>1</c:v>
                </c:pt>
                <c:pt idx="122">
                  <c:v>1</c:v>
                </c:pt>
                <c:pt idx="123">
                  <c:v>1</c:v>
                </c:pt>
                <c:pt idx="124">
                  <c:v>1</c:v>
                </c:pt>
                <c:pt idx="125">
                  <c:v>1</c:v>
                </c:pt>
                <c:pt idx="126">
                  <c:v>1</c:v>
                </c:pt>
                <c:pt idx="127">
                  <c:v>1</c:v>
                </c:pt>
                <c:pt idx="128">
                  <c:v>1</c:v>
                </c:pt>
                <c:pt idx="129">
                  <c:v>1</c:v>
                </c:pt>
                <c:pt idx="130">
                  <c:v>1</c:v>
                </c:pt>
                <c:pt idx="131">
                  <c:v>1</c:v>
                </c:pt>
                <c:pt idx="132">
                  <c:v>1</c:v>
                </c:pt>
                <c:pt idx="133">
                  <c:v>1</c:v>
                </c:pt>
                <c:pt idx="134">
                  <c:v>1</c:v>
                </c:pt>
                <c:pt idx="135">
                  <c:v>1</c:v>
                </c:pt>
                <c:pt idx="136">
                  <c:v>1</c:v>
                </c:pt>
                <c:pt idx="137">
                  <c:v>1</c:v>
                </c:pt>
                <c:pt idx="138">
                  <c:v>1</c:v>
                </c:pt>
                <c:pt idx="139">
                  <c:v>1</c:v>
                </c:pt>
                <c:pt idx="140">
                  <c:v>1</c:v>
                </c:pt>
                <c:pt idx="141">
                  <c:v>1</c:v>
                </c:pt>
                <c:pt idx="142">
                  <c:v>1</c:v>
                </c:pt>
                <c:pt idx="143">
                  <c:v>1</c:v>
                </c:pt>
                <c:pt idx="144">
                  <c:v>1</c:v>
                </c:pt>
                <c:pt idx="145">
                  <c:v>1</c:v>
                </c:pt>
                <c:pt idx="146">
                  <c:v>1</c:v>
                </c:pt>
                <c:pt idx="147">
                  <c:v>1</c:v>
                </c:pt>
                <c:pt idx="148">
                  <c:v>1</c:v>
                </c:pt>
                <c:pt idx="149">
                  <c:v>1</c:v>
                </c:pt>
                <c:pt idx="150">
                  <c:v>1</c:v>
                </c:pt>
                <c:pt idx="151">
                  <c:v>1</c:v>
                </c:pt>
                <c:pt idx="152">
                  <c:v>1</c:v>
                </c:pt>
                <c:pt idx="153">
                  <c:v>1</c:v>
                </c:pt>
                <c:pt idx="154">
                  <c:v>1</c:v>
                </c:pt>
                <c:pt idx="155">
                  <c:v>1</c:v>
                </c:pt>
                <c:pt idx="156">
                  <c:v>1</c:v>
                </c:pt>
                <c:pt idx="157">
                  <c:v>1</c:v>
                </c:pt>
                <c:pt idx="158">
                  <c:v>1</c:v>
                </c:pt>
                <c:pt idx="159">
                  <c:v>1</c:v>
                </c:pt>
                <c:pt idx="160">
                  <c:v>1</c:v>
                </c:pt>
                <c:pt idx="161">
                  <c:v>1</c:v>
                </c:pt>
                <c:pt idx="162">
                  <c:v>1</c:v>
                </c:pt>
                <c:pt idx="163">
                  <c:v>1</c:v>
                </c:pt>
                <c:pt idx="164">
                  <c:v>1</c:v>
                </c:pt>
                <c:pt idx="165">
                  <c:v>1</c:v>
                </c:pt>
                <c:pt idx="166">
                  <c:v>1</c:v>
                </c:pt>
                <c:pt idx="167">
                  <c:v>1</c:v>
                </c:pt>
                <c:pt idx="168">
                  <c:v>1</c:v>
                </c:pt>
                <c:pt idx="169">
                  <c:v>1</c:v>
                </c:pt>
                <c:pt idx="170">
                  <c:v>1</c:v>
                </c:pt>
                <c:pt idx="171">
                  <c:v>1</c:v>
                </c:pt>
                <c:pt idx="172">
                  <c:v>1</c:v>
                </c:pt>
                <c:pt idx="173">
                  <c:v>1</c:v>
                </c:pt>
                <c:pt idx="174">
                  <c:v>1</c:v>
                </c:pt>
                <c:pt idx="175">
                  <c:v>1</c:v>
                </c:pt>
                <c:pt idx="176">
                  <c:v>1</c:v>
                </c:pt>
                <c:pt idx="177">
                  <c:v>1</c:v>
                </c:pt>
                <c:pt idx="178">
                  <c:v>1</c:v>
                </c:pt>
                <c:pt idx="179">
                  <c:v>1</c:v>
                </c:pt>
                <c:pt idx="180">
                  <c:v>1</c:v>
                </c:pt>
                <c:pt idx="181">
                  <c:v>1</c:v>
                </c:pt>
                <c:pt idx="182">
                  <c:v>1</c:v>
                </c:pt>
                <c:pt idx="183">
                  <c:v>1</c:v>
                </c:pt>
                <c:pt idx="184">
                  <c:v>1</c:v>
                </c:pt>
                <c:pt idx="185">
                  <c:v>1</c:v>
                </c:pt>
                <c:pt idx="186">
                  <c:v>1</c:v>
                </c:pt>
                <c:pt idx="187">
                  <c:v>1</c:v>
                </c:pt>
                <c:pt idx="188">
                  <c:v>1</c:v>
                </c:pt>
                <c:pt idx="189">
                  <c:v>1</c:v>
                </c:pt>
                <c:pt idx="190">
                  <c:v>1</c:v>
                </c:pt>
                <c:pt idx="191">
                  <c:v>1</c:v>
                </c:pt>
                <c:pt idx="192">
                  <c:v>1</c:v>
                </c:pt>
                <c:pt idx="193">
                  <c:v>1</c:v>
                </c:pt>
                <c:pt idx="194">
                  <c:v>1</c:v>
                </c:pt>
                <c:pt idx="195">
                  <c:v>0</c:v>
                </c:pt>
              </c:numCache>
            </c:numRef>
          </c:xVal>
          <c:yVal>
            <c:numRef>
              <c:f>duration!$K$2:$K$197</c:f>
              <c:numCache>
                <c:formatCode>General</c:formatCode>
                <c:ptCount val="196"/>
                <c:pt idx="0">
                  <c:v>0.99852489129987776</c:v>
                </c:pt>
                <c:pt idx="1">
                  <c:v>0.99558879391623878</c:v>
                </c:pt>
                <c:pt idx="2">
                  <c:v>0.99558879391623878</c:v>
                </c:pt>
                <c:pt idx="3">
                  <c:v>0.99558879391623878</c:v>
                </c:pt>
                <c:pt idx="4">
                  <c:v>0.98672543480496089</c:v>
                </c:pt>
                <c:pt idx="5">
                  <c:v>0.98672543480496089</c:v>
                </c:pt>
                <c:pt idx="6">
                  <c:v>0.98079833579356512</c:v>
                </c:pt>
                <c:pt idx="7">
                  <c:v>0.97219030800524564</c:v>
                </c:pt>
                <c:pt idx="8">
                  <c:v>0.95966335984163786</c:v>
                </c:pt>
                <c:pt idx="9">
                  <c:v>0.95966335984163786</c:v>
                </c:pt>
                <c:pt idx="10">
                  <c:v>0.95966335984163786</c:v>
                </c:pt>
                <c:pt idx="11">
                  <c:v>0.95966335984163786</c:v>
                </c:pt>
                <c:pt idx="12">
                  <c:v>0.94138698713725888</c:v>
                </c:pt>
                <c:pt idx="13">
                  <c:v>0.94138698713725888</c:v>
                </c:pt>
                <c:pt idx="14">
                  <c:v>0.94138698713725888</c:v>
                </c:pt>
                <c:pt idx="15">
                  <c:v>0.94138698713725888</c:v>
                </c:pt>
                <c:pt idx="16">
                  <c:v>0.94138698713725888</c:v>
                </c:pt>
                <c:pt idx="17">
                  <c:v>0.94138698713725888</c:v>
                </c:pt>
                <c:pt idx="18">
                  <c:v>0.91463493880472779</c:v>
                </c:pt>
                <c:pt idx="19">
                  <c:v>0.91463493880472779</c:v>
                </c:pt>
                <c:pt idx="20">
                  <c:v>0.91463493880472779</c:v>
                </c:pt>
                <c:pt idx="21">
                  <c:v>0.91463493880472779</c:v>
                </c:pt>
                <c:pt idx="22">
                  <c:v>0.91463493880472779</c:v>
                </c:pt>
                <c:pt idx="23">
                  <c:v>0.91463493880472779</c:v>
                </c:pt>
                <c:pt idx="24">
                  <c:v>0.91463493880472779</c:v>
                </c:pt>
                <c:pt idx="25">
                  <c:v>0.87530442238360262</c:v>
                </c:pt>
                <c:pt idx="26">
                  <c:v>0.87530442238360262</c:v>
                </c:pt>
                <c:pt idx="27">
                  <c:v>0.87530442238360262</c:v>
                </c:pt>
                <c:pt idx="28">
                  <c:v>0.87530442238360262</c:v>
                </c:pt>
                <c:pt idx="29">
                  <c:v>0.87530442238360262</c:v>
                </c:pt>
                <c:pt idx="30">
                  <c:v>0.87530442238360262</c:v>
                </c:pt>
                <c:pt idx="31">
                  <c:v>0.87530442238360262</c:v>
                </c:pt>
                <c:pt idx="32">
                  <c:v>0.87530442238360262</c:v>
                </c:pt>
                <c:pt idx="33">
                  <c:v>0.87530442238360262</c:v>
                </c:pt>
                <c:pt idx="34">
                  <c:v>0.87530442238360262</c:v>
                </c:pt>
                <c:pt idx="35">
                  <c:v>0.81712239238581275</c:v>
                </c:pt>
                <c:pt idx="36">
                  <c:v>0.81712239238581275</c:v>
                </c:pt>
                <c:pt idx="37">
                  <c:v>0.81712239238581275</c:v>
                </c:pt>
                <c:pt idx="38">
                  <c:v>0.81712239238581275</c:v>
                </c:pt>
                <c:pt idx="39">
                  <c:v>0.81712239238581275</c:v>
                </c:pt>
                <c:pt idx="40">
                  <c:v>0.81712239238581275</c:v>
                </c:pt>
                <c:pt idx="41">
                  <c:v>0.81712239238581275</c:v>
                </c:pt>
                <c:pt idx="42">
                  <c:v>0.81712239238581275</c:v>
                </c:pt>
                <c:pt idx="43">
                  <c:v>0.81712239238581275</c:v>
                </c:pt>
                <c:pt idx="44">
                  <c:v>0.81712239238581275</c:v>
                </c:pt>
                <c:pt idx="45">
                  <c:v>0.81712239238581275</c:v>
                </c:pt>
                <c:pt idx="46">
                  <c:v>0.81712239238581275</c:v>
                </c:pt>
                <c:pt idx="47">
                  <c:v>0.81712239238581275</c:v>
                </c:pt>
                <c:pt idx="48">
                  <c:v>0.81712239238581275</c:v>
                </c:pt>
                <c:pt idx="49">
                  <c:v>0.81712239238581275</c:v>
                </c:pt>
                <c:pt idx="50">
                  <c:v>0.73024075432236213</c:v>
                </c:pt>
                <c:pt idx="51">
                  <c:v>0.73024075432236213</c:v>
                </c:pt>
                <c:pt idx="52">
                  <c:v>0.73024075432236213</c:v>
                </c:pt>
                <c:pt idx="53">
                  <c:v>0.73024075432236213</c:v>
                </c:pt>
                <c:pt idx="54">
                  <c:v>0.73024075432236213</c:v>
                </c:pt>
                <c:pt idx="55">
                  <c:v>0.73024075432236213</c:v>
                </c:pt>
                <c:pt idx="56">
                  <c:v>0.73024075432236213</c:v>
                </c:pt>
                <c:pt idx="57">
                  <c:v>0.73024075432236213</c:v>
                </c:pt>
                <c:pt idx="58">
                  <c:v>0.73024075432236213</c:v>
                </c:pt>
                <c:pt idx="59">
                  <c:v>0.73024075432236213</c:v>
                </c:pt>
                <c:pt idx="60">
                  <c:v>0.73024075432236213</c:v>
                </c:pt>
                <c:pt idx="61">
                  <c:v>0.73024075432236213</c:v>
                </c:pt>
                <c:pt idx="62">
                  <c:v>0.73024075432236213</c:v>
                </c:pt>
                <c:pt idx="63">
                  <c:v>0.73024075432236213</c:v>
                </c:pt>
                <c:pt idx="64">
                  <c:v>0.73024075432236213</c:v>
                </c:pt>
                <c:pt idx="65">
                  <c:v>0.73024075432236213</c:v>
                </c:pt>
                <c:pt idx="66">
                  <c:v>0.73024075432236213</c:v>
                </c:pt>
                <c:pt idx="67">
                  <c:v>0.73024075432236213</c:v>
                </c:pt>
                <c:pt idx="68">
                  <c:v>0.73024075432236213</c:v>
                </c:pt>
                <c:pt idx="69">
                  <c:v>0.73024075432236213</c:v>
                </c:pt>
                <c:pt idx="70">
                  <c:v>0.73024075432236213</c:v>
                </c:pt>
                <c:pt idx="71">
                  <c:v>0.73024075432236213</c:v>
                </c:pt>
                <c:pt idx="72">
                  <c:v>0.73024075432236213</c:v>
                </c:pt>
                <c:pt idx="73">
                  <c:v>0.73024075432236213</c:v>
                </c:pt>
                <c:pt idx="74">
                  <c:v>0.73024075432236213</c:v>
                </c:pt>
                <c:pt idx="75">
                  <c:v>0.73024075432236213</c:v>
                </c:pt>
                <c:pt idx="76">
                  <c:v>0.73024075432236213</c:v>
                </c:pt>
                <c:pt idx="77">
                  <c:v>0.59840462462974986</c:v>
                </c:pt>
                <c:pt idx="78">
                  <c:v>0.59840462462974986</c:v>
                </c:pt>
                <c:pt idx="79">
                  <c:v>0.59840462462974986</c:v>
                </c:pt>
                <c:pt idx="80">
                  <c:v>0.59840462462974986</c:v>
                </c:pt>
                <c:pt idx="81">
                  <c:v>0.59840462462974986</c:v>
                </c:pt>
                <c:pt idx="82">
                  <c:v>0.59840462462974986</c:v>
                </c:pt>
                <c:pt idx="83">
                  <c:v>0.59840462462974986</c:v>
                </c:pt>
                <c:pt idx="84">
                  <c:v>0.59840462462974986</c:v>
                </c:pt>
                <c:pt idx="85">
                  <c:v>0.59840462462974986</c:v>
                </c:pt>
                <c:pt idx="86">
                  <c:v>0.59840462462974986</c:v>
                </c:pt>
                <c:pt idx="87">
                  <c:v>0.59840462462974986</c:v>
                </c:pt>
                <c:pt idx="88">
                  <c:v>0.59840462462974986</c:v>
                </c:pt>
                <c:pt idx="89">
                  <c:v>0.59840462462974986</c:v>
                </c:pt>
                <c:pt idx="90">
                  <c:v>0.59840462462974986</c:v>
                </c:pt>
                <c:pt idx="91">
                  <c:v>0.59840462462974986</c:v>
                </c:pt>
                <c:pt idx="92">
                  <c:v>0.59840462462974986</c:v>
                </c:pt>
                <c:pt idx="93">
                  <c:v>0.59840462462974986</c:v>
                </c:pt>
                <c:pt idx="94">
                  <c:v>0.59840462462974986</c:v>
                </c:pt>
                <c:pt idx="95">
                  <c:v>0.59840462462974986</c:v>
                </c:pt>
                <c:pt idx="96">
                  <c:v>0.59840462462974986</c:v>
                </c:pt>
                <c:pt idx="97">
                  <c:v>0.59840462462974986</c:v>
                </c:pt>
                <c:pt idx="98">
                  <c:v>0.59840462462974986</c:v>
                </c:pt>
                <c:pt idx="99">
                  <c:v>0.59840462462974986</c:v>
                </c:pt>
                <c:pt idx="100">
                  <c:v>0.59840462462974986</c:v>
                </c:pt>
                <c:pt idx="101">
                  <c:v>0.59840462462974986</c:v>
                </c:pt>
                <c:pt idx="102">
                  <c:v>0.59840462462974986</c:v>
                </c:pt>
                <c:pt idx="103">
                  <c:v>0.59840462462974986</c:v>
                </c:pt>
                <c:pt idx="104">
                  <c:v>0.59840462462974986</c:v>
                </c:pt>
                <c:pt idx="105">
                  <c:v>0.59840462462974986</c:v>
                </c:pt>
                <c:pt idx="106">
                  <c:v>0.59840462462974986</c:v>
                </c:pt>
                <c:pt idx="107">
                  <c:v>0.59840462462974986</c:v>
                </c:pt>
                <c:pt idx="108">
                  <c:v>0.59840462462974986</c:v>
                </c:pt>
                <c:pt idx="109">
                  <c:v>0.59840462462974986</c:v>
                </c:pt>
                <c:pt idx="110">
                  <c:v>0.59840462462974986</c:v>
                </c:pt>
                <c:pt idx="111">
                  <c:v>0.59840462462974986</c:v>
                </c:pt>
                <c:pt idx="112">
                  <c:v>0.59840462462974986</c:v>
                </c:pt>
                <c:pt idx="113">
                  <c:v>0.59840462462974986</c:v>
                </c:pt>
                <c:pt idx="114">
                  <c:v>0.59840462462974986</c:v>
                </c:pt>
                <c:pt idx="115">
                  <c:v>0.59840462462974986</c:v>
                </c:pt>
                <c:pt idx="116">
                  <c:v>0.59840462462974986</c:v>
                </c:pt>
                <c:pt idx="117">
                  <c:v>0.59840462462974986</c:v>
                </c:pt>
                <c:pt idx="118">
                  <c:v>0.39138517497393988</c:v>
                </c:pt>
                <c:pt idx="119">
                  <c:v>0.39138517497393988</c:v>
                </c:pt>
                <c:pt idx="120">
                  <c:v>0.39138517497393988</c:v>
                </c:pt>
                <c:pt idx="121">
                  <c:v>0.39138517497393988</c:v>
                </c:pt>
                <c:pt idx="122">
                  <c:v>0.39138517497393988</c:v>
                </c:pt>
                <c:pt idx="123">
                  <c:v>0.39138517497393988</c:v>
                </c:pt>
                <c:pt idx="124">
                  <c:v>0.39138517497393988</c:v>
                </c:pt>
                <c:pt idx="125">
                  <c:v>0.39138517497393988</c:v>
                </c:pt>
                <c:pt idx="126">
                  <c:v>0.39138517497393988</c:v>
                </c:pt>
                <c:pt idx="127">
                  <c:v>0.39138517497393988</c:v>
                </c:pt>
                <c:pt idx="128">
                  <c:v>0.39138517497393988</c:v>
                </c:pt>
                <c:pt idx="129">
                  <c:v>0.39138517497393988</c:v>
                </c:pt>
                <c:pt idx="130">
                  <c:v>0.39138517497393988</c:v>
                </c:pt>
                <c:pt idx="131">
                  <c:v>0.39138517497393988</c:v>
                </c:pt>
                <c:pt idx="132">
                  <c:v>0.39138517497393988</c:v>
                </c:pt>
                <c:pt idx="133">
                  <c:v>0.39138517497393988</c:v>
                </c:pt>
                <c:pt idx="134">
                  <c:v>0.39138517497393988</c:v>
                </c:pt>
                <c:pt idx="135">
                  <c:v>0.39138517497393988</c:v>
                </c:pt>
                <c:pt idx="136">
                  <c:v>0.39138517497393988</c:v>
                </c:pt>
                <c:pt idx="137">
                  <c:v>0.39138517497393988</c:v>
                </c:pt>
                <c:pt idx="138">
                  <c:v>0.39138517497393988</c:v>
                </c:pt>
                <c:pt idx="139">
                  <c:v>0.39138517497393988</c:v>
                </c:pt>
                <c:pt idx="140">
                  <c:v>0.39138517497393988</c:v>
                </c:pt>
                <c:pt idx="141">
                  <c:v>0.39138517497393988</c:v>
                </c:pt>
                <c:pt idx="142">
                  <c:v>0.39138517497393988</c:v>
                </c:pt>
                <c:pt idx="143">
                  <c:v>0.39138517497393988</c:v>
                </c:pt>
                <c:pt idx="144">
                  <c:v>0.39138517497393988</c:v>
                </c:pt>
                <c:pt idx="145">
                  <c:v>0.39138517497393988</c:v>
                </c:pt>
                <c:pt idx="146">
                  <c:v>0.39138517497393988</c:v>
                </c:pt>
                <c:pt idx="147">
                  <c:v>0.39138517497393988</c:v>
                </c:pt>
                <c:pt idx="148">
                  <c:v>0.39138517497393988</c:v>
                </c:pt>
                <c:pt idx="149">
                  <c:v>0.39138517497393988</c:v>
                </c:pt>
                <c:pt idx="150">
                  <c:v>0.39138517497393988</c:v>
                </c:pt>
                <c:pt idx="151">
                  <c:v>0.39138517497393988</c:v>
                </c:pt>
                <c:pt idx="152">
                  <c:v>0.39138517497393988</c:v>
                </c:pt>
                <c:pt idx="153">
                  <c:v>0.39138517497393988</c:v>
                </c:pt>
                <c:pt idx="154">
                  <c:v>0.39138517497393988</c:v>
                </c:pt>
                <c:pt idx="155">
                  <c:v>0.39138517497393988</c:v>
                </c:pt>
                <c:pt idx="156">
                  <c:v>0.39138517497393988</c:v>
                </c:pt>
                <c:pt idx="157">
                  <c:v>0.39138517497393988</c:v>
                </c:pt>
                <c:pt idx="158">
                  <c:v>0.39138517497393988</c:v>
                </c:pt>
                <c:pt idx="159">
                  <c:v>0.39138517497393988</c:v>
                </c:pt>
                <c:pt idx="160">
                  <c:v>0.39138517497393988</c:v>
                </c:pt>
                <c:pt idx="161">
                  <c:v>0.39138517497393988</c:v>
                </c:pt>
                <c:pt idx="162">
                  <c:v>0.39138517497393988</c:v>
                </c:pt>
                <c:pt idx="163">
                  <c:v>0.39138517497393988</c:v>
                </c:pt>
                <c:pt idx="164">
                  <c:v>0.39138517497393988</c:v>
                </c:pt>
                <c:pt idx="165">
                  <c:v>0.39138517497393988</c:v>
                </c:pt>
                <c:pt idx="166">
                  <c:v>0.39138517497393988</c:v>
                </c:pt>
                <c:pt idx="167">
                  <c:v>0.39138517497393988</c:v>
                </c:pt>
                <c:pt idx="168">
                  <c:v>0.39138517497393988</c:v>
                </c:pt>
                <c:pt idx="169">
                  <c:v>0.39138517497393988</c:v>
                </c:pt>
                <c:pt idx="170">
                  <c:v>0.39138517497393988</c:v>
                </c:pt>
                <c:pt idx="171">
                  <c:v>0.39138517497393988</c:v>
                </c:pt>
                <c:pt idx="172">
                  <c:v>0.39138517497393988</c:v>
                </c:pt>
                <c:pt idx="173">
                  <c:v>0.39138517497393988</c:v>
                </c:pt>
                <c:pt idx="174">
                  <c:v>0.39138517497393988</c:v>
                </c:pt>
                <c:pt idx="175">
                  <c:v>0.39138517497393988</c:v>
                </c:pt>
                <c:pt idx="176">
                  <c:v>0.39138517497393988</c:v>
                </c:pt>
                <c:pt idx="177">
                  <c:v>0.39138517497393988</c:v>
                </c:pt>
                <c:pt idx="178">
                  <c:v>0.39138517497393988</c:v>
                </c:pt>
                <c:pt idx="179">
                  <c:v>0.39138517497393988</c:v>
                </c:pt>
                <c:pt idx="180">
                  <c:v>0.39138517497393988</c:v>
                </c:pt>
                <c:pt idx="181">
                  <c:v>0.39138517497393988</c:v>
                </c:pt>
                <c:pt idx="182">
                  <c:v>0.39138517497393988</c:v>
                </c:pt>
                <c:pt idx="183">
                  <c:v>0.39138517497393988</c:v>
                </c:pt>
                <c:pt idx="184">
                  <c:v>0.39138517497393988</c:v>
                </c:pt>
                <c:pt idx="185">
                  <c:v>0.39138517497393988</c:v>
                </c:pt>
                <c:pt idx="186">
                  <c:v>0.39138517497393988</c:v>
                </c:pt>
                <c:pt idx="187">
                  <c:v>0.39138517497393988</c:v>
                </c:pt>
                <c:pt idx="188">
                  <c:v>0.39138517497393988</c:v>
                </c:pt>
                <c:pt idx="189">
                  <c:v>0.39138517497393988</c:v>
                </c:pt>
                <c:pt idx="190">
                  <c:v>0.39138517497393988</c:v>
                </c:pt>
                <c:pt idx="191">
                  <c:v>0.39138517497393988</c:v>
                </c:pt>
                <c:pt idx="192">
                  <c:v>0.39138517497393988</c:v>
                </c:pt>
                <c:pt idx="193">
                  <c:v>0.39138517497393988</c:v>
                </c:pt>
                <c:pt idx="194">
                  <c:v>0.39138517497393988</c:v>
                </c:pt>
                <c:pt idx="195">
                  <c:v>0</c:v>
                </c:pt>
              </c:numCache>
            </c:numRef>
          </c:yVal>
          <c:smooth val="1"/>
        </c:ser>
        <c:axId val="96748288"/>
        <c:axId val="96750208"/>
      </c:scatterChart>
      <c:valAx>
        <c:axId val="96748288"/>
        <c:scaling>
          <c:orientation val="minMax"/>
          <c:min val="0"/>
        </c:scaling>
        <c:axPos val="b"/>
        <c:title>
          <c:tx>
            <c:rich>
              <a:bodyPr/>
              <a:lstStyle/>
              <a:p>
                <a:pPr>
                  <a:defRPr sz="5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Drought Duration</a:t>
                </a:r>
              </a:p>
            </c:rich>
          </c:tx>
          <c:layout>
            <c:manualLayout>
              <c:xMode val="edge"/>
              <c:yMode val="edge"/>
              <c:x val="0.40103270223752152"/>
              <c:y val="0.92146706792540956"/>
            </c:manualLayout>
          </c:layout>
          <c:spPr>
            <a:noFill/>
            <a:ln w="25400">
              <a:noFill/>
            </a:ln>
          </c:spPr>
        </c:title>
        <c:numFmt formatCode="General" sourceLinked="0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96750208"/>
        <c:crosses val="autoZero"/>
        <c:crossBetween val="midCat"/>
        <c:majorUnit val="1"/>
      </c:valAx>
      <c:valAx>
        <c:axId val="96750208"/>
        <c:scaling>
          <c:orientation val="minMax"/>
          <c:max val="1"/>
        </c:scaling>
        <c:axPos val="l"/>
        <c:majorGridlines>
          <c:spPr>
            <a:ln w="12700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5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Probabiity</a:t>
                </a:r>
              </a:p>
            </c:rich>
          </c:tx>
          <c:layout>
            <c:manualLayout>
              <c:xMode val="edge"/>
              <c:yMode val="edge"/>
              <c:x val="2.7538726333907037E-2"/>
              <c:y val="0.45288013082134382"/>
            </c:manualLayout>
          </c:layout>
          <c:spPr>
            <a:noFill/>
            <a:ln w="25400">
              <a:noFill/>
            </a:ln>
          </c:spPr>
        </c:title>
        <c:numFmt formatCode="General" sourceLinked="0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96748288"/>
        <c:crosses val="autoZero"/>
        <c:crossBetween val="midCat"/>
      </c:valAx>
      <c:spPr>
        <a:solidFill>
          <a:srgbClr val="EAEAEA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88296041308089646"/>
          <c:y val="0.48429374338678866"/>
          <c:w val="0.11703951555709115"/>
          <c:h val="0.14524819193839048"/>
        </c:manualLayout>
      </c:layout>
      <c:spPr>
        <a:solidFill>
          <a:srgbClr val="FFFFFF"/>
        </a:solidFill>
        <a:ln w="12700">
          <a:solidFill>
            <a:srgbClr val="000000"/>
          </a:solidFill>
          <a:prstDash val="solid"/>
        </a:ln>
      </c:spPr>
      <c:txPr>
        <a:bodyPr/>
        <a:lstStyle/>
        <a:p>
          <a:pPr>
            <a:defRPr sz="50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dispBlanksAs val="gap"/>
  </c:chart>
  <c:spPr>
    <a:solidFill>
      <a:srgbClr val="FFFFFF"/>
    </a:solidFill>
    <a:ln w="12700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144" r="0.75000000000000144" t="1" header="0.49212598450000067" footer="0.49212598450000067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/>
      <c:scatterChart>
        <c:scatterStyle val="lineMarker"/>
        <c:ser>
          <c:idx val="0"/>
          <c:order val="0"/>
          <c:spPr>
            <a:ln w="28575">
              <a:noFill/>
            </a:ln>
          </c:spPr>
          <c:xVal>
            <c:numRef>
              <c:f>Copula!$M$2:$M$196</c:f>
              <c:numCache>
                <c:formatCode>General</c:formatCode>
                <c:ptCount val="195"/>
                <c:pt idx="0">
                  <c:v>7.5449999999999999</c:v>
                </c:pt>
                <c:pt idx="1">
                  <c:v>28.51</c:v>
                </c:pt>
                <c:pt idx="2">
                  <c:v>8.3949999999999996</c:v>
                </c:pt>
                <c:pt idx="3">
                  <c:v>1.9140000000000001</c:v>
                </c:pt>
                <c:pt idx="4">
                  <c:v>5.3760000000000003</c:v>
                </c:pt>
                <c:pt idx="5">
                  <c:v>15.449</c:v>
                </c:pt>
                <c:pt idx="6">
                  <c:v>7.4139999999999997</c:v>
                </c:pt>
                <c:pt idx="7">
                  <c:v>0.74</c:v>
                </c:pt>
                <c:pt idx="8">
                  <c:v>9.1349999999999998</c:v>
                </c:pt>
                <c:pt idx="9">
                  <c:v>0.13200000000000001</c:v>
                </c:pt>
                <c:pt idx="10">
                  <c:v>25.858999999999998</c:v>
                </c:pt>
                <c:pt idx="11">
                  <c:v>4.4809999999999999</c:v>
                </c:pt>
                <c:pt idx="12">
                  <c:v>6.7920000000000007</c:v>
                </c:pt>
                <c:pt idx="13">
                  <c:v>4.9400000000000004</c:v>
                </c:pt>
                <c:pt idx="14">
                  <c:v>6.0030000000000001</c:v>
                </c:pt>
                <c:pt idx="15">
                  <c:v>12.244</c:v>
                </c:pt>
                <c:pt idx="16">
                  <c:v>9.0009999999999994</c:v>
                </c:pt>
                <c:pt idx="17">
                  <c:v>36.018000000000001</c:v>
                </c:pt>
                <c:pt idx="18">
                  <c:v>16.382999999999999</c:v>
                </c:pt>
                <c:pt idx="19">
                  <c:v>34.043000000000006</c:v>
                </c:pt>
                <c:pt idx="20">
                  <c:v>0.755</c:v>
                </c:pt>
                <c:pt idx="21">
                  <c:v>0.67600000000000005</c:v>
                </c:pt>
                <c:pt idx="22">
                  <c:v>7.6520000000000001</c:v>
                </c:pt>
                <c:pt idx="23">
                  <c:v>4.5460000000000003</c:v>
                </c:pt>
                <c:pt idx="24">
                  <c:v>16.47</c:v>
                </c:pt>
                <c:pt idx="25">
                  <c:v>27.78</c:v>
                </c:pt>
                <c:pt idx="26">
                  <c:v>13.637</c:v>
                </c:pt>
                <c:pt idx="27">
                  <c:v>17.312000000000001</c:v>
                </c:pt>
                <c:pt idx="28">
                  <c:v>19.756999999999998</c:v>
                </c:pt>
                <c:pt idx="29">
                  <c:v>12.442000000000002</c:v>
                </c:pt>
                <c:pt idx="30">
                  <c:v>10.241</c:v>
                </c:pt>
                <c:pt idx="31">
                  <c:v>0.753</c:v>
                </c:pt>
                <c:pt idx="32">
                  <c:v>1.3220000000000001</c:v>
                </c:pt>
                <c:pt idx="33">
                  <c:v>3.234</c:v>
                </c:pt>
                <c:pt idx="34">
                  <c:v>0.192</c:v>
                </c:pt>
                <c:pt idx="35">
                  <c:v>8.6339999999999986</c:v>
                </c:pt>
                <c:pt idx="36">
                  <c:v>1.7250000000000001</c:v>
                </c:pt>
                <c:pt idx="37">
                  <c:v>0.68600000000000005</c:v>
                </c:pt>
                <c:pt idx="38">
                  <c:v>1.583</c:v>
                </c:pt>
                <c:pt idx="39">
                  <c:v>4.7089999999999996</c:v>
                </c:pt>
                <c:pt idx="40">
                  <c:v>11.071</c:v>
                </c:pt>
                <c:pt idx="41">
                  <c:v>3.64</c:v>
                </c:pt>
                <c:pt idx="42">
                  <c:v>7.2539999999999996</c:v>
                </c:pt>
                <c:pt idx="43">
                  <c:v>8.8840000000000003</c:v>
                </c:pt>
                <c:pt idx="44">
                  <c:v>1.5640000000000001</c:v>
                </c:pt>
                <c:pt idx="45">
                  <c:v>8.1109999999999989</c:v>
                </c:pt>
                <c:pt idx="46">
                  <c:v>4.0609999999999999</c:v>
                </c:pt>
                <c:pt idx="47">
                  <c:v>1.32</c:v>
                </c:pt>
                <c:pt idx="48">
                  <c:v>0.13800000000000001</c:v>
                </c:pt>
                <c:pt idx="49">
                  <c:v>2.992</c:v>
                </c:pt>
                <c:pt idx="50">
                  <c:v>1.8660000000000001</c:v>
                </c:pt>
                <c:pt idx="51">
                  <c:v>7.1280000000000001</c:v>
                </c:pt>
                <c:pt idx="52">
                  <c:v>10.96</c:v>
                </c:pt>
                <c:pt idx="53">
                  <c:v>2.3149999999999999</c:v>
                </c:pt>
                <c:pt idx="54">
                  <c:v>4.8079999999999998</c:v>
                </c:pt>
                <c:pt idx="55">
                  <c:v>8.4130000000000003</c:v>
                </c:pt>
                <c:pt idx="56">
                  <c:v>11.102</c:v>
                </c:pt>
                <c:pt idx="57">
                  <c:v>6.3220000000000001</c:v>
                </c:pt>
                <c:pt idx="58">
                  <c:v>1.1870000000000001</c:v>
                </c:pt>
                <c:pt idx="59">
                  <c:v>6.8009999999999993</c:v>
                </c:pt>
                <c:pt idx="60">
                  <c:v>5.9559999999999995</c:v>
                </c:pt>
                <c:pt idx="61">
                  <c:v>1.0029999999999999</c:v>
                </c:pt>
                <c:pt idx="62">
                  <c:v>1.5489999999999999</c:v>
                </c:pt>
                <c:pt idx="63">
                  <c:v>1.018</c:v>
                </c:pt>
                <c:pt idx="64">
                  <c:v>2.246</c:v>
                </c:pt>
                <c:pt idx="65">
                  <c:v>1.6</c:v>
                </c:pt>
                <c:pt idx="66">
                  <c:v>6.4770000000000003</c:v>
                </c:pt>
                <c:pt idx="67">
                  <c:v>2.2959999999999998</c:v>
                </c:pt>
                <c:pt idx="68">
                  <c:v>1.544</c:v>
                </c:pt>
                <c:pt idx="69">
                  <c:v>7.1870000000000003</c:v>
                </c:pt>
                <c:pt idx="70">
                  <c:v>3.948</c:v>
                </c:pt>
                <c:pt idx="71">
                  <c:v>2.5219999999999998</c:v>
                </c:pt>
                <c:pt idx="72">
                  <c:v>2.8970000000000002</c:v>
                </c:pt>
                <c:pt idx="73">
                  <c:v>0.371</c:v>
                </c:pt>
                <c:pt idx="74">
                  <c:v>4.04</c:v>
                </c:pt>
                <c:pt idx="75">
                  <c:v>0.88600000000000001</c:v>
                </c:pt>
                <c:pt idx="76">
                  <c:v>0.32400000000000001</c:v>
                </c:pt>
                <c:pt idx="77">
                  <c:v>11.140999999999998</c:v>
                </c:pt>
                <c:pt idx="78">
                  <c:v>4.3209999999999997</c:v>
                </c:pt>
                <c:pt idx="79">
                  <c:v>29.376999999999999</c:v>
                </c:pt>
                <c:pt idx="80">
                  <c:v>11.721</c:v>
                </c:pt>
                <c:pt idx="81">
                  <c:v>2.089</c:v>
                </c:pt>
                <c:pt idx="82">
                  <c:v>7.0000000000000001E-3</c:v>
                </c:pt>
                <c:pt idx="83">
                  <c:v>3.6629999999999998</c:v>
                </c:pt>
                <c:pt idx="84">
                  <c:v>8.9999999999999993E-3</c:v>
                </c:pt>
                <c:pt idx="85">
                  <c:v>8.7859999999999996</c:v>
                </c:pt>
                <c:pt idx="86">
                  <c:v>12.855</c:v>
                </c:pt>
                <c:pt idx="87">
                  <c:v>6.7930000000000001</c:v>
                </c:pt>
                <c:pt idx="88">
                  <c:v>1.2210000000000001</c:v>
                </c:pt>
                <c:pt idx="89">
                  <c:v>0.78500000000000003</c:v>
                </c:pt>
                <c:pt idx="90">
                  <c:v>0.42</c:v>
                </c:pt>
                <c:pt idx="91">
                  <c:v>5.7210000000000001</c:v>
                </c:pt>
                <c:pt idx="92">
                  <c:v>7.4380000000000006</c:v>
                </c:pt>
                <c:pt idx="93">
                  <c:v>3.9689999999999999</c:v>
                </c:pt>
                <c:pt idx="94">
                  <c:v>1.7729999999999999</c:v>
                </c:pt>
                <c:pt idx="95">
                  <c:v>8.8390000000000004</c:v>
                </c:pt>
                <c:pt idx="96">
                  <c:v>0.375</c:v>
                </c:pt>
                <c:pt idx="97">
                  <c:v>1.752</c:v>
                </c:pt>
                <c:pt idx="98">
                  <c:v>4.6189999999999998</c:v>
                </c:pt>
                <c:pt idx="99">
                  <c:v>0.56100000000000005</c:v>
                </c:pt>
                <c:pt idx="100">
                  <c:v>15.484999999999999</c:v>
                </c:pt>
                <c:pt idx="101">
                  <c:v>3.2069999999999999</c:v>
                </c:pt>
                <c:pt idx="102">
                  <c:v>1.4239999999999999</c:v>
                </c:pt>
                <c:pt idx="103">
                  <c:v>0.36</c:v>
                </c:pt>
                <c:pt idx="104">
                  <c:v>2.6970000000000001</c:v>
                </c:pt>
                <c:pt idx="105">
                  <c:v>1.6839999999999999</c:v>
                </c:pt>
                <c:pt idx="106">
                  <c:v>9.7409999999999997</c:v>
                </c:pt>
                <c:pt idx="107">
                  <c:v>3.556</c:v>
                </c:pt>
                <c:pt idx="108">
                  <c:v>0.61199999999999999</c:v>
                </c:pt>
                <c:pt idx="109">
                  <c:v>3.09</c:v>
                </c:pt>
                <c:pt idx="110">
                  <c:v>1.859</c:v>
                </c:pt>
                <c:pt idx="111">
                  <c:v>8.8049999999999997</c:v>
                </c:pt>
                <c:pt idx="112">
                  <c:v>6.2509999999999994</c:v>
                </c:pt>
                <c:pt idx="113">
                  <c:v>1.4259999999999999</c:v>
                </c:pt>
                <c:pt idx="114">
                  <c:v>14.693999999999999</c:v>
                </c:pt>
                <c:pt idx="115">
                  <c:v>0.91900000000000004</c:v>
                </c:pt>
                <c:pt idx="116">
                  <c:v>4.0890000000000004</c:v>
                </c:pt>
                <c:pt idx="117">
                  <c:v>0.74299999999999999</c:v>
                </c:pt>
                <c:pt idx="118">
                  <c:v>2.1860000000000004</c:v>
                </c:pt>
                <c:pt idx="119">
                  <c:v>0.312</c:v>
                </c:pt>
                <c:pt idx="120">
                  <c:v>1.623</c:v>
                </c:pt>
                <c:pt idx="121">
                  <c:v>0.629</c:v>
                </c:pt>
                <c:pt idx="122">
                  <c:v>3.613</c:v>
                </c:pt>
                <c:pt idx="123">
                  <c:v>0.59799999999999998</c:v>
                </c:pt>
                <c:pt idx="124">
                  <c:v>5.8360000000000003</c:v>
                </c:pt>
                <c:pt idx="125">
                  <c:v>5.76</c:v>
                </c:pt>
                <c:pt idx="126">
                  <c:v>4.5780000000000003</c:v>
                </c:pt>
                <c:pt idx="127">
                  <c:v>5.6079999999999997</c:v>
                </c:pt>
                <c:pt idx="128">
                  <c:v>0.14599999999999999</c:v>
                </c:pt>
                <c:pt idx="129">
                  <c:v>7.0190000000000001</c:v>
                </c:pt>
                <c:pt idx="130">
                  <c:v>7.8360000000000003</c:v>
                </c:pt>
                <c:pt idx="131">
                  <c:v>3.5939999999999999</c:v>
                </c:pt>
                <c:pt idx="132">
                  <c:v>0.42699999999999999</c:v>
                </c:pt>
                <c:pt idx="133">
                  <c:v>7.6539999999999999</c:v>
                </c:pt>
                <c:pt idx="134">
                  <c:v>1.649</c:v>
                </c:pt>
                <c:pt idx="135">
                  <c:v>3.3260000000000001</c:v>
                </c:pt>
                <c:pt idx="136">
                  <c:v>11.206000000000001</c:v>
                </c:pt>
                <c:pt idx="137">
                  <c:v>0.376</c:v>
                </c:pt>
                <c:pt idx="138">
                  <c:v>6.5690000000000008</c:v>
                </c:pt>
                <c:pt idx="139">
                  <c:v>3.8689999999999998</c:v>
                </c:pt>
                <c:pt idx="140">
                  <c:v>14.353</c:v>
                </c:pt>
                <c:pt idx="141">
                  <c:v>6.87</c:v>
                </c:pt>
                <c:pt idx="142">
                  <c:v>14.530999999999999</c:v>
                </c:pt>
                <c:pt idx="143">
                  <c:v>1.657</c:v>
                </c:pt>
                <c:pt idx="144">
                  <c:v>7</c:v>
                </c:pt>
                <c:pt idx="145">
                  <c:v>8.6590000000000007</c:v>
                </c:pt>
                <c:pt idx="146">
                  <c:v>0.80400000000000005</c:v>
                </c:pt>
                <c:pt idx="147">
                  <c:v>4.476</c:v>
                </c:pt>
                <c:pt idx="148">
                  <c:v>6.6189999999999998</c:v>
                </c:pt>
                <c:pt idx="149">
                  <c:v>1.911</c:v>
                </c:pt>
                <c:pt idx="150">
                  <c:v>0.9</c:v>
                </c:pt>
                <c:pt idx="151">
                  <c:v>0.373</c:v>
                </c:pt>
                <c:pt idx="152">
                  <c:v>3.367</c:v>
                </c:pt>
                <c:pt idx="153">
                  <c:v>3.258</c:v>
                </c:pt>
                <c:pt idx="154">
                  <c:v>3.95</c:v>
                </c:pt>
                <c:pt idx="155">
                  <c:v>5.176000000000001</c:v>
                </c:pt>
                <c:pt idx="156">
                  <c:v>1.5349999999999999</c:v>
                </c:pt>
                <c:pt idx="157">
                  <c:v>2.8179999999999996</c:v>
                </c:pt>
                <c:pt idx="158">
                  <c:v>6.6619999999999999</c:v>
                </c:pt>
                <c:pt idx="159">
                  <c:v>4.2450000000000001</c:v>
                </c:pt>
                <c:pt idx="160">
                  <c:v>0.441</c:v>
                </c:pt>
                <c:pt idx="161">
                  <c:v>10.876999999999999</c:v>
                </c:pt>
                <c:pt idx="162">
                  <c:v>17.239000000000001</c:v>
                </c:pt>
                <c:pt idx="163">
                  <c:v>2.2650000000000001</c:v>
                </c:pt>
                <c:pt idx="164">
                  <c:v>2.8530000000000002</c:v>
                </c:pt>
                <c:pt idx="165">
                  <c:v>7.5780000000000003</c:v>
                </c:pt>
                <c:pt idx="166">
                  <c:v>0.9</c:v>
                </c:pt>
                <c:pt idx="167">
                  <c:v>7.8369999999999997</c:v>
                </c:pt>
                <c:pt idx="168">
                  <c:v>0.28499999999999998</c:v>
                </c:pt>
                <c:pt idx="169">
                  <c:v>5.0419999999999998</c:v>
                </c:pt>
                <c:pt idx="170">
                  <c:v>1.6459999999999999</c:v>
                </c:pt>
                <c:pt idx="171">
                  <c:v>0.51800000000000002</c:v>
                </c:pt>
                <c:pt idx="172">
                  <c:v>4.4160000000000004</c:v>
                </c:pt>
                <c:pt idx="173">
                  <c:v>1.569</c:v>
                </c:pt>
                <c:pt idx="174">
                  <c:v>7.9190000000000005</c:v>
                </c:pt>
                <c:pt idx="175">
                  <c:v>6.444</c:v>
                </c:pt>
                <c:pt idx="176">
                  <c:v>0.20899999999999999</c:v>
                </c:pt>
                <c:pt idx="177">
                  <c:v>2.673</c:v>
                </c:pt>
                <c:pt idx="178">
                  <c:v>6.4749999999999996</c:v>
                </c:pt>
                <c:pt idx="179">
                  <c:v>0.10199999999999999</c:v>
                </c:pt>
                <c:pt idx="180">
                  <c:v>0.246</c:v>
                </c:pt>
                <c:pt idx="181">
                  <c:v>18.978000000000002</c:v>
                </c:pt>
                <c:pt idx="182">
                  <c:v>0.41699999999999998</c:v>
                </c:pt>
                <c:pt idx="183">
                  <c:v>0.36299999999999999</c:v>
                </c:pt>
                <c:pt idx="184">
                  <c:v>4.609</c:v>
                </c:pt>
                <c:pt idx="185">
                  <c:v>3.3540000000000001</c:v>
                </c:pt>
                <c:pt idx="186">
                  <c:v>5.399</c:v>
                </c:pt>
                <c:pt idx="187">
                  <c:v>0.34200000000000003</c:v>
                </c:pt>
                <c:pt idx="188">
                  <c:v>2.4350000000000001</c:v>
                </c:pt>
                <c:pt idx="189">
                  <c:v>1.617</c:v>
                </c:pt>
                <c:pt idx="190">
                  <c:v>2.0619999999999998</c:v>
                </c:pt>
                <c:pt idx="191">
                  <c:v>1.306</c:v>
                </c:pt>
                <c:pt idx="192">
                  <c:v>1.619</c:v>
                </c:pt>
                <c:pt idx="193">
                  <c:v>4.101</c:v>
                </c:pt>
                <c:pt idx="194">
                  <c:v>0.72599999999999998</c:v>
                </c:pt>
              </c:numCache>
            </c:numRef>
          </c:xVal>
          <c:yVal>
            <c:numRef>
              <c:f>Copula!$N$2:$N$196</c:f>
              <c:numCache>
                <c:formatCode>General</c:formatCode>
                <c:ptCount val="195"/>
                <c:pt idx="0">
                  <c:v>3</c:v>
                </c:pt>
                <c:pt idx="1">
                  <c:v>14</c:v>
                </c:pt>
                <c:pt idx="2">
                  <c:v>6</c:v>
                </c:pt>
                <c:pt idx="3">
                  <c:v>2</c:v>
                </c:pt>
                <c:pt idx="4">
                  <c:v>5</c:v>
                </c:pt>
                <c:pt idx="5">
                  <c:v>8</c:v>
                </c:pt>
                <c:pt idx="6">
                  <c:v>5</c:v>
                </c:pt>
                <c:pt idx="7">
                  <c:v>1</c:v>
                </c:pt>
                <c:pt idx="8">
                  <c:v>3</c:v>
                </c:pt>
                <c:pt idx="9">
                  <c:v>1</c:v>
                </c:pt>
                <c:pt idx="10">
                  <c:v>14</c:v>
                </c:pt>
                <c:pt idx="11">
                  <c:v>2</c:v>
                </c:pt>
                <c:pt idx="12">
                  <c:v>4</c:v>
                </c:pt>
                <c:pt idx="13">
                  <c:v>3</c:v>
                </c:pt>
                <c:pt idx="14">
                  <c:v>2</c:v>
                </c:pt>
                <c:pt idx="15">
                  <c:v>6</c:v>
                </c:pt>
                <c:pt idx="16">
                  <c:v>5</c:v>
                </c:pt>
                <c:pt idx="17">
                  <c:v>14</c:v>
                </c:pt>
                <c:pt idx="18">
                  <c:v>10</c:v>
                </c:pt>
                <c:pt idx="19">
                  <c:v>17</c:v>
                </c:pt>
                <c:pt idx="20">
                  <c:v>1</c:v>
                </c:pt>
                <c:pt idx="21">
                  <c:v>1</c:v>
                </c:pt>
                <c:pt idx="22">
                  <c:v>5</c:v>
                </c:pt>
                <c:pt idx="23">
                  <c:v>4</c:v>
                </c:pt>
                <c:pt idx="24">
                  <c:v>7</c:v>
                </c:pt>
                <c:pt idx="25">
                  <c:v>11</c:v>
                </c:pt>
                <c:pt idx="26">
                  <c:v>6</c:v>
                </c:pt>
                <c:pt idx="27">
                  <c:v>6</c:v>
                </c:pt>
                <c:pt idx="28">
                  <c:v>7</c:v>
                </c:pt>
                <c:pt idx="29">
                  <c:v>8</c:v>
                </c:pt>
                <c:pt idx="30">
                  <c:v>3</c:v>
                </c:pt>
                <c:pt idx="31">
                  <c:v>1</c:v>
                </c:pt>
                <c:pt idx="32">
                  <c:v>2</c:v>
                </c:pt>
                <c:pt idx="33">
                  <c:v>2</c:v>
                </c:pt>
                <c:pt idx="34">
                  <c:v>1</c:v>
                </c:pt>
                <c:pt idx="35">
                  <c:v>4</c:v>
                </c:pt>
                <c:pt idx="36">
                  <c:v>1</c:v>
                </c:pt>
                <c:pt idx="37">
                  <c:v>1</c:v>
                </c:pt>
                <c:pt idx="38">
                  <c:v>1</c:v>
                </c:pt>
                <c:pt idx="39">
                  <c:v>3</c:v>
                </c:pt>
                <c:pt idx="40">
                  <c:v>4</c:v>
                </c:pt>
                <c:pt idx="41">
                  <c:v>2</c:v>
                </c:pt>
                <c:pt idx="42">
                  <c:v>5</c:v>
                </c:pt>
                <c:pt idx="43">
                  <c:v>4</c:v>
                </c:pt>
                <c:pt idx="44">
                  <c:v>1</c:v>
                </c:pt>
                <c:pt idx="45">
                  <c:v>3</c:v>
                </c:pt>
                <c:pt idx="46">
                  <c:v>2</c:v>
                </c:pt>
                <c:pt idx="47">
                  <c:v>1</c:v>
                </c:pt>
                <c:pt idx="48">
                  <c:v>1</c:v>
                </c:pt>
                <c:pt idx="49">
                  <c:v>3</c:v>
                </c:pt>
                <c:pt idx="50">
                  <c:v>1</c:v>
                </c:pt>
                <c:pt idx="51">
                  <c:v>3</c:v>
                </c:pt>
                <c:pt idx="52">
                  <c:v>7</c:v>
                </c:pt>
                <c:pt idx="53">
                  <c:v>1</c:v>
                </c:pt>
                <c:pt idx="54">
                  <c:v>2</c:v>
                </c:pt>
                <c:pt idx="55">
                  <c:v>4</c:v>
                </c:pt>
                <c:pt idx="56">
                  <c:v>4</c:v>
                </c:pt>
                <c:pt idx="57">
                  <c:v>3</c:v>
                </c:pt>
                <c:pt idx="58">
                  <c:v>2</c:v>
                </c:pt>
                <c:pt idx="59">
                  <c:v>4</c:v>
                </c:pt>
                <c:pt idx="60">
                  <c:v>2</c:v>
                </c:pt>
                <c:pt idx="61">
                  <c:v>1</c:v>
                </c:pt>
                <c:pt idx="62">
                  <c:v>2</c:v>
                </c:pt>
                <c:pt idx="63">
                  <c:v>1</c:v>
                </c:pt>
                <c:pt idx="64">
                  <c:v>3</c:v>
                </c:pt>
                <c:pt idx="65">
                  <c:v>2</c:v>
                </c:pt>
                <c:pt idx="66">
                  <c:v>3</c:v>
                </c:pt>
                <c:pt idx="67">
                  <c:v>1</c:v>
                </c:pt>
                <c:pt idx="68">
                  <c:v>2</c:v>
                </c:pt>
                <c:pt idx="69">
                  <c:v>2</c:v>
                </c:pt>
                <c:pt idx="70">
                  <c:v>2</c:v>
                </c:pt>
                <c:pt idx="71">
                  <c:v>1</c:v>
                </c:pt>
                <c:pt idx="72">
                  <c:v>2</c:v>
                </c:pt>
                <c:pt idx="73">
                  <c:v>1</c:v>
                </c:pt>
                <c:pt idx="74">
                  <c:v>2</c:v>
                </c:pt>
                <c:pt idx="75">
                  <c:v>1</c:v>
                </c:pt>
                <c:pt idx="76">
                  <c:v>1</c:v>
                </c:pt>
                <c:pt idx="77">
                  <c:v>4</c:v>
                </c:pt>
                <c:pt idx="78">
                  <c:v>2</c:v>
                </c:pt>
                <c:pt idx="79">
                  <c:v>11</c:v>
                </c:pt>
                <c:pt idx="80">
                  <c:v>6</c:v>
                </c:pt>
                <c:pt idx="81">
                  <c:v>1</c:v>
                </c:pt>
                <c:pt idx="82">
                  <c:v>1</c:v>
                </c:pt>
                <c:pt idx="83">
                  <c:v>3</c:v>
                </c:pt>
                <c:pt idx="84">
                  <c:v>1</c:v>
                </c:pt>
                <c:pt idx="85">
                  <c:v>2</c:v>
                </c:pt>
                <c:pt idx="86">
                  <c:v>7</c:v>
                </c:pt>
                <c:pt idx="87">
                  <c:v>3</c:v>
                </c:pt>
                <c:pt idx="88">
                  <c:v>3</c:v>
                </c:pt>
                <c:pt idx="89">
                  <c:v>1</c:v>
                </c:pt>
                <c:pt idx="90">
                  <c:v>1</c:v>
                </c:pt>
                <c:pt idx="91">
                  <c:v>2</c:v>
                </c:pt>
                <c:pt idx="92">
                  <c:v>4</c:v>
                </c:pt>
                <c:pt idx="93">
                  <c:v>2</c:v>
                </c:pt>
                <c:pt idx="94">
                  <c:v>1</c:v>
                </c:pt>
                <c:pt idx="95">
                  <c:v>3</c:v>
                </c:pt>
                <c:pt idx="96">
                  <c:v>1</c:v>
                </c:pt>
                <c:pt idx="97">
                  <c:v>2</c:v>
                </c:pt>
                <c:pt idx="98">
                  <c:v>2</c:v>
                </c:pt>
                <c:pt idx="99">
                  <c:v>1</c:v>
                </c:pt>
                <c:pt idx="100">
                  <c:v>9</c:v>
                </c:pt>
                <c:pt idx="101">
                  <c:v>1</c:v>
                </c:pt>
                <c:pt idx="102">
                  <c:v>2</c:v>
                </c:pt>
                <c:pt idx="103">
                  <c:v>1</c:v>
                </c:pt>
                <c:pt idx="104">
                  <c:v>3</c:v>
                </c:pt>
                <c:pt idx="105">
                  <c:v>1</c:v>
                </c:pt>
                <c:pt idx="106">
                  <c:v>5</c:v>
                </c:pt>
                <c:pt idx="107">
                  <c:v>1</c:v>
                </c:pt>
                <c:pt idx="108">
                  <c:v>1</c:v>
                </c:pt>
                <c:pt idx="109">
                  <c:v>2</c:v>
                </c:pt>
                <c:pt idx="110">
                  <c:v>1</c:v>
                </c:pt>
                <c:pt idx="111">
                  <c:v>3</c:v>
                </c:pt>
                <c:pt idx="112">
                  <c:v>3</c:v>
                </c:pt>
                <c:pt idx="113">
                  <c:v>1</c:v>
                </c:pt>
                <c:pt idx="114">
                  <c:v>8</c:v>
                </c:pt>
                <c:pt idx="115">
                  <c:v>1</c:v>
                </c:pt>
                <c:pt idx="116">
                  <c:v>1</c:v>
                </c:pt>
                <c:pt idx="117">
                  <c:v>1</c:v>
                </c:pt>
                <c:pt idx="118">
                  <c:v>2</c:v>
                </c:pt>
                <c:pt idx="119">
                  <c:v>1</c:v>
                </c:pt>
                <c:pt idx="120">
                  <c:v>1</c:v>
                </c:pt>
                <c:pt idx="121">
                  <c:v>1</c:v>
                </c:pt>
                <c:pt idx="122">
                  <c:v>1</c:v>
                </c:pt>
                <c:pt idx="123">
                  <c:v>1</c:v>
                </c:pt>
                <c:pt idx="124">
                  <c:v>2</c:v>
                </c:pt>
                <c:pt idx="125">
                  <c:v>2</c:v>
                </c:pt>
                <c:pt idx="126">
                  <c:v>2</c:v>
                </c:pt>
                <c:pt idx="127">
                  <c:v>5</c:v>
                </c:pt>
                <c:pt idx="128">
                  <c:v>1</c:v>
                </c:pt>
                <c:pt idx="129">
                  <c:v>4</c:v>
                </c:pt>
                <c:pt idx="130">
                  <c:v>3</c:v>
                </c:pt>
                <c:pt idx="131">
                  <c:v>3</c:v>
                </c:pt>
                <c:pt idx="132">
                  <c:v>1</c:v>
                </c:pt>
                <c:pt idx="133">
                  <c:v>4</c:v>
                </c:pt>
                <c:pt idx="134">
                  <c:v>1</c:v>
                </c:pt>
                <c:pt idx="135">
                  <c:v>2</c:v>
                </c:pt>
                <c:pt idx="136">
                  <c:v>5</c:v>
                </c:pt>
                <c:pt idx="137">
                  <c:v>1</c:v>
                </c:pt>
                <c:pt idx="138">
                  <c:v>3</c:v>
                </c:pt>
                <c:pt idx="139">
                  <c:v>3</c:v>
                </c:pt>
                <c:pt idx="140">
                  <c:v>8</c:v>
                </c:pt>
                <c:pt idx="141">
                  <c:v>7</c:v>
                </c:pt>
                <c:pt idx="142">
                  <c:v>7</c:v>
                </c:pt>
                <c:pt idx="143">
                  <c:v>1</c:v>
                </c:pt>
                <c:pt idx="144">
                  <c:v>2</c:v>
                </c:pt>
                <c:pt idx="145">
                  <c:v>3</c:v>
                </c:pt>
                <c:pt idx="146">
                  <c:v>1</c:v>
                </c:pt>
                <c:pt idx="147">
                  <c:v>2</c:v>
                </c:pt>
                <c:pt idx="148">
                  <c:v>2</c:v>
                </c:pt>
                <c:pt idx="149">
                  <c:v>1</c:v>
                </c:pt>
                <c:pt idx="150">
                  <c:v>1</c:v>
                </c:pt>
                <c:pt idx="151">
                  <c:v>1</c:v>
                </c:pt>
                <c:pt idx="152">
                  <c:v>2</c:v>
                </c:pt>
                <c:pt idx="153">
                  <c:v>1</c:v>
                </c:pt>
                <c:pt idx="154">
                  <c:v>1</c:v>
                </c:pt>
                <c:pt idx="155">
                  <c:v>4</c:v>
                </c:pt>
                <c:pt idx="156">
                  <c:v>1</c:v>
                </c:pt>
                <c:pt idx="157">
                  <c:v>3</c:v>
                </c:pt>
                <c:pt idx="158">
                  <c:v>2</c:v>
                </c:pt>
                <c:pt idx="159">
                  <c:v>4</c:v>
                </c:pt>
                <c:pt idx="160">
                  <c:v>1</c:v>
                </c:pt>
                <c:pt idx="161">
                  <c:v>4</c:v>
                </c:pt>
                <c:pt idx="162">
                  <c:v>6</c:v>
                </c:pt>
                <c:pt idx="163">
                  <c:v>1</c:v>
                </c:pt>
                <c:pt idx="164">
                  <c:v>2</c:v>
                </c:pt>
                <c:pt idx="165">
                  <c:v>2</c:v>
                </c:pt>
                <c:pt idx="166">
                  <c:v>1</c:v>
                </c:pt>
                <c:pt idx="167">
                  <c:v>5</c:v>
                </c:pt>
                <c:pt idx="168">
                  <c:v>1</c:v>
                </c:pt>
                <c:pt idx="169">
                  <c:v>2</c:v>
                </c:pt>
                <c:pt idx="170">
                  <c:v>1</c:v>
                </c:pt>
                <c:pt idx="171">
                  <c:v>1</c:v>
                </c:pt>
                <c:pt idx="172">
                  <c:v>3</c:v>
                </c:pt>
                <c:pt idx="173">
                  <c:v>1</c:v>
                </c:pt>
                <c:pt idx="174">
                  <c:v>3</c:v>
                </c:pt>
                <c:pt idx="175">
                  <c:v>1</c:v>
                </c:pt>
                <c:pt idx="176">
                  <c:v>1</c:v>
                </c:pt>
                <c:pt idx="177">
                  <c:v>1</c:v>
                </c:pt>
                <c:pt idx="178">
                  <c:v>5</c:v>
                </c:pt>
                <c:pt idx="179">
                  <c:v>1</c:v>
                </c:pt>
                <c:pt idx="180">
                  <c:v>1</c:v>
                </c:pt>
                <c:pt idx="181">
                  <c:v>6</c:v>
                </c:pt>
                <c:pt idx="182">
                  <c:v>1</c:v>
                </c:pt>
                <c:pt idx="183">
                  <c:v>1</c:v>
                </c:pt>
                <c:pt idx="184">
                  <c:v>2</c:v>
                </c:pt>
                <c:pt idx="185">
                  <c:v>2</c:v>
                </c:pt>
                <c:pt idx="186">
                  <c:v>2</c:v>
                </c:pt>
                <c:pt idx="187">
                  <c:v>1</c:v>
                </c:pt>
                <c:pt idx="188">
                  <c:v>1</c:v>
                </c:pt>
                <c:pt idx="189">
                  <c:v>1</c:v>
                </c:pt>
                <c:pt idx="190">
                  <c:v>1</c:v>
                </c:pt>
                <c:pt idx="191">
                  <c:v>1</c:v>
                </c:pt>
                <c:pt idx="192">
                  <c:v>1</c:v>
                </c:pt>
                <c:pt idx="193">
                  <c:v>3</c:v>
                </c:pt>
                <c:pt idx="194">
                  <c:v>1</c:v>
                </c:pt>
              </c:numCache>
            </c:numRef>
          </c:yVal>
        </c:ser>
        <c:axId val="96761728"/>
        <c:axId val="96862208"/>
      </c:scatterChart>
      <c:valAx>
        <c:axId val="96761728"/>
        <c:scaling>
          <c:orientation val="minMax"/>
        </c:scaling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Severity</a:t>
                </a:r>
              </a:p>
            </c:rich>
          </c:tx>
          <c:layout/>
        </c:title>
        <c:numFmt formatCode="General" sourceLinked="1"/>
        <c:tickLblPos val="nextTo"/>
        <c:crossAx val="96862208"/>
        <c:crosses val="autoZero"/>
        <c:crossBetween val="midCat"/>
      </c:valAx>
      <c:valAx>
        <c:axId val="96862208"/>
        <c:scaling>
          <c:orientation val="minMax"/>
        </c:scaling>
        <c:axPos val="l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Duration</a:t>
                </a:r>
              </a:p>
            </c:rich>
          </c:tx>
          <c:layout/>
        </c:title>
        <c:numFmt formatCode="General" sourceLinked="1"/>
        <c:tickLblPos val="nextTo"/>
        <c:crossAx val="96761728"/>
        <c:crosses val="autoZero"/>
        <c:crossBetween val="midCat"/>
      </c:valAx>
    </c:plotArea>
    <c:plotVisOnly val="1"/>
  </c:chart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/>
      <c:scatterChart>
        <c:scatterStyle val="lineMarker"/>
        <c:ser>
          <c:idx val="0"/>
          <c:order val="0"/>
          <c:spPr>
            <a:ln w="28575">
              <a:noFill/>
            </a:ln>
          </c:spPr>
          <c:marker>
            <c:symbol val="diamond"/>
            <c:size val="2"/>
          </c:marker>
          <c:xVal>
            <c:numRef>
              <c:f>Sheet2!$K$1:$K$1000</c:f>
              <c:numCache>
                <c:formatCode>General</c:formatCode>
                <c:ptCount val="1000"/>
                <c:pt idx="0">
                  <c:v>0.65620857600759086</c:v>
                </c:pt>
                <c:pt idx="1">
                  <c:v>0.78540094023072826</c:v>
                </c:pt>
                <c:pt idx="2">
                  <c:v>1.9382256874437491</c:v>
                </c:pt>
                <c:pt idx="3">
                  <c:v>9.4018066395213644</c:v>
                </c:pt>
                <c:pt idx="4">
                  <c:v>4.1270190597478962</c:v>
                </c:pt>
                <c:pt idx="5">
                  <c:v>0.92044740401636393</c:v>
                </c:pt>
                <c:pt idx="6">
                  <c:v>3.6281215338853414</c:v>
                </c:pt>
                <c:pt idx="7">
                  <c:v>5.2367892561845195E-2</c:v>
                </c:pt>
                <c:pt idx="8">
                  <c:v>4.2976104706942415</c:v>
                </c:pt>
                <c:pt idx="9">
                  <c:v>1.0208656168779457</c:v>
                </c:pt>
                <c:pt idx="10">
                  <c:v>0.33498210822058749</c:v>
                </c:pt>
                <c:pt idx="11">
                  <c:v>0.78108271384643047</c:v>
                </c:pt>
                <c:pt idx="12">
                  <c:v>4.3433558893609963</c:v>
                </c:pt>
                <c:pt idx="13">
                  <c:v>6.9520139009143911</c:v>
                </c:pt>
                <c:pt idx="14">
                  <c:v>0.50560702405001479</c:v>
                </c:pt>
                <c:pt idx="15">
                  <c:v>1.5032324841398861</c:v>
                </c:pt>
                <c:pt idx="16">
                  <c:v>9.9945454703003533E-2</c:v>
                </c:pt>
                <c:pt idx="17">
                  <c:v>5.0661526217755259</c:v>
                </c:pt>
                <c:pt idx="18">
                  <c:v>1.5252044594568566</c:v>
                </c:pt>
                <c:pt idx="19">
                  <c:v>5.9493627564100713</c:v>
                </c:pt>
                <c:pt idx="20">
                  <c:v>0.11842257107275031</c:v>
                </c:pt>
                <c:pt idx="21">
                  <c:v>0.35513840543567976</c:v>
                </c:pt>
                <c:pt idx="22">
                  <c:v>3.1874692879085513</c:v>
                </c:pt>
                <c:pt idx="23">
                  <c:v>2.9567775924592707</c:v>
                </c:pt>
                <c:pt idx="24">
                  <c:v>3.262527883394311</c:v>
                </c:pt>
                <c:pt idx="25">
                  <c:v>1.955394431991634E-2</c:v>
                </c:pt>
                <c:pt idx="26">
                  <c:v>0.21496871474921447</c:v>
                </c:pt>
                <c:pt idx="27">
                  <c:v>12.590120349907501</c:v>
                </c:pt>
                <c:pt idx="28">
                  <c:v>2.8276779624443042</c:v>
                </c:pt>
                <c:pt idx="29">
                  <c:v>0.15425996496835259</c:v>
                </c:pt>
                <c:pt idx="30">
                  <c:v>14.128192942872943</c:v>
                </c:pt>
                <c:pt idx="31">
                  <c:v>3.6233498248566712E-2</c:v>
                </c:pt>
                <c:pt idx="32">
                  <c:v>3.3315157150404513</c:v>
                </c:pt>
                <c:pt idx="33">
                  <c:v>6.3234571389774459</c:v>
                </c:pt>
                <c:pt idx="34">
                  <c:v>0.60252729367562896</c:v>
                </c:pt>
                <c:pt idx="35">
                  <c:v>8.5531879411788339</c:v>
                </c:pt>
                <c:pt idx="36">
                  <c:v>1.9081232223170734</c:v>
                </c:pt>
                <c:pt idx="37">
                  <c:v>8.6361353694114449</c:v>
                </c:pt>
                <c:pt idx="38">
                  <c:v>3.4382633378420513</c:v>
                </c:pt>
                <c:pt idx="39">
                  <c:v>11.725101389548357</c:v>
                </c:pt>
                <c:pt idx="40">
                  <c:v>7.7780473786541453</c:v>
                </c:pt>
                <c:pt idx="41">
                  <c:v>2.8754617008995202</c:v>
                </c:pt>
                <c:pt idx="42">
                  <c:v>0.5246895943094847</c:v>
                </c:pt>
                <c:pt idx="43">
                  <c:v>0.1200395241086836</c:v>
                </c:pt>
                <c:pt idx="44">
                  <c:v>3.1846811636250445</c:v>
                </c:pt>
                <c:pt idx="45">
                  <c:v>0.74204456386460005</c:v>
                </c:pt>
                <c:pt idx="46">
                  <c:v>0.26257625772304416</c:v>
                </c:pt>
                <c:pt idx="47">
                  <c:v>1.2754752028662582</c:v>
                </c:pt>
                <c:pt idx="48">
                  <c:v>6.8206815011212338</c:v>
                </c:pt>
                <c:pt idx="49">
                  <c:v>0.13403228113489996</c:v>
                </c:pt>
                <c:pt idx="50">
                  <c:v>0.66728464955812217</c:v>
                </c:pt>
                <c:pt idx="51">
                  <c:v>1.1950708787800366</c:v>
                </c:pt>
                <c:pt idx="52">
                  <c:v>0.97156265877375847</c:v>
                </c:pt>
                <c:pt idx="53">
                  <c:v>4.9437860437851455</c:v>
                </c:pt>
                <c:pt idx="54">
                  <c:v>2.8636527951981714</c:v>
                </c:pt>
                <c:pt idx="55">
                  <c:v>0.43702803542866264</c:v>
                </c:pt>
                <c:pt idx="56">
                  <c:v>0.16515234714851479</c:v>
                </c:pt>
                <c:pt idx="57">
                  <c:v>2.6112103975127585</c:v>
                </c:pt>
                <c:pt idx="58">
                  <c:v>3.5521960669166779</c:v>
                </c:pt>
                <c:pt idx="59">
                  <c:v>0.64771169553236252</c:v>
                </c:pt>
                <c:pt idx="60">
                  <c:v>3.9517137050321844</c:v>
                </c:pt>
                <c:pt idx="61">
                  <c:v>3.7936162313940551</c:v>
                </c:pt>
                <c:pt idx="62">
                  <c:v>1.4799044220420599</c:v>
                </c:pt>
                <c:pt idx="63">
                  <c:v>5.3863843102647815E-2</c:v>
                </c:pt>
                <c:pt idx="64">
                  <c:v>1.6352564554872271</c:v>
                </c:pt>
                <c:pt idx="65">
                  <c:v>3.007622603916281</c:v>
                </c:pt>
                <c:pt idx="66">
                  <c:v>2.5710165801865195</c:v>
                </c:pt>
                <c:pt idx="67">
                  <c:v>6.985256347826116</c:v>
                </c:pt>
                <c:pt idx="68">
                  <c:v>0.17246872829458876</c:v>
                </c:pt>
                <c:pt idx="69">
                  <c:v>9.0674773367695159E-3</c:v>
                </c:pt>
                <c:pt idx="70">
                  <c:v>7.4197566657114944</c:v>
                </c:pt>
                <c:pt idx="71">
                  <c:v>1.0752943187793722</c:v>
                </c:pt>
                <c:pt idx="72">
                  <c:v>2.9878943032365726</c:v>
                </c:pt>
                <c:pt idx="73">
                  <c:v>3.0639539355044461</c:v>
                </c:pt>
                <c:pt idx="74">
                  <c:v>7.5617586212128163E-2</c:v>
                </c:pt>
                <c:pt idx="75">
                  <c:v>0.64234551139775053</c:v>
                </c:pt>
                <c:pt idx="76">
                  <c:v>1.035166652248277</c:v>
                </c:pt>
                <c:pt idx="77">
                  <c:v>4.015339903370748</c:v>
                </c:pt>
                <c:pt idx="78">
                  <c:v>2.3831646182052104</c:v>
                </c:pt>
                <c:pt idx="79">
                  <c:v>2.0749474616311581</c:v>
                </c:pt>
                <c:pt idx="80">
                  <c:v>2.5272008827595771</c:v>
                </c:pt>
                <c:pt idx="81">
                  <c:v>4.3690543472633845</c:v>
                </c:pt>
                <c:pt idx="82">
                  <c:v>4.3872843000005144</c:v>
                </c:pt>
                <c:pt idx="83">
                  <c:v>1.8357861982731465</c:v>
                </c:pt>
                <c:pt idx="84">
                  <c:v>0.63911895563074772</c:v>
                </c:pt>
                <c:pt idx="85">
                  <c:v>3.5005295850140703</c:v>
                </c:pt>
                <c:pt idx="86">
                  <c:v>0.14562305812008902</c:v>
                </c:pt>
                <c:pt idx="87">
                  <c:v>5.2738164446830726</c:v>
                </c:pt>
                <c:pt idx="88">
                  <c:v>0.17652497918346549</c:v>
                </c:pt>
                <c:pt idx="89">
                  <c:v>5.8448511098016169</c:v>
                </c:pt>
                <c:pt idx="90">
                  <c:v>1.2344305080095732</c:v>
                </c:pt>
                <c:pt idx="91">
                  <c:v>4.0642744190949038</c:v>
                </c:pt>
                <c:pt idx="92">
                  <c:v>1.2841911999833582E-2</c:v>
                </c:pt>
                <c:pt idx="93">
                  <c:v>1.1987330295503194</c:v>
                </c:pt>
                <c:pt idx="94">
                  <c:v>9.6672019580836626</c:v>
                </c:pt>
                <c:pt idx="95">
                  <c:v>0.15349187268268522</c:v>
                </c:pt>
                <c:pt idx="96">
                  <c:v>1.3048638088914148</c:v>
                </c:pt>
                <c:pt idx="97">
                  <c:v>0.12954943966654819</c:v>
                </c:pt>
                <c:pt idx="98">
                  <c:v>1.1995363293794781</c:v>
                </c:pt>
                <c:pt idx="99">
                  <c:v>2.2669722938961456</c:v>
                </c:pt>
                <c:pt idx="100">
                  <c:v>2.2819756190674436</c:v>
                </c:pt>
                <c:pt idx="101">
                  <c:v>1.4261484550228634</c:v>
                </c:pt>
                <c:pt idx="102">
                  <c:v>1.3137409944570284</c:v>
                </c:pt>
                <c:pt idx="103">
                  <c:v>1.0018422325874439</c:v>
                </c:pt>
                <c:pt idx="104">
                  <c:v>0.32585256210399016</c:v>
                </c:pt>
                <c:pt idx="105">
                  <c:v>3.5985422623586842</c:v>
                </c:pt>
                <c:pt idx="106">
                  <c:v>2.2369672734031017E-3</c:v>
                </c:pt>
                <c:pt idx="107">
                  <c:v>2.4511777794404841</c:v>
                </c:pt>
                <c:pt idx="108">
                  <c:v>1.3816998704691748</c:v>
                </c:pt>
                <c:pt idx="109">
                  <c:v>4.4931848931905218</c:v>
                </c:pt>
                <c:pt idx="110">
                  <c:v>6.4049719790657544</c:v>
                </c:pt>
                <c:pt idx="111">
                  <c:v>5.7492587658540266</c:v>
                </c:pt>
                <c:pt idx="112">
                  <c:v>1.5162253907880223</c:v>
                </c:pt>
                <c:pt idx="113">
                  <c:v>2.7534119302817119</c:v>
                </c:pt>
                <c:pt idx="114">
                  <c:v>0.20720085334628924</c:v>
                </c:pt>
                <c:pt idx="115">
                  <c:v>4.1528169177553238</c:v>
                </c:pt>
                <c:pt idx="116">
                  <c:v>3.0672207224320127</c:v>
                </c:pt>
                <c:pt idx="117">
                  <c:v>4.5139259202447786</c:v>
                </c:pt>
                <c:pt idx="118">
                  <c:v>0.7654633583094399</c:v>
                </c:pt>
                <c:pt idx="119">
                  <c:v>1.1805913949060272</c:v>
                </c:pt>
                <c:pt idx="120">
                  <c:v>2.2948726368719834</c:v>
                </c:pt>
                <c:pt idx="121">
                  <c:v>7.8083323524676533</c:v>
                </c:pt>
                <c:pt idx="122">
                  <c:v>0.87070784216240971</c:v>
                </c:pt>
                <c:pt idx="123">
                  <c:v>0.43167279626860555</c:v>
                </c:pt>
                <c:pt idx="124">
                  <c:v>0.2057705916484095</c:v>
                </c:pt>
                <c:pt idx="125">
                  <c:v>7.2699148294586315</c:v>
                </c:pt>
                <c:pt idx="126">
                  <c:v>0.31062312688311333</c:v>
                </c:pt>
                <c:pt idx="127">
                  <c:v>1.4600441907209118</c:v>
                </c:pt>
                <c:pt idx="128">
                  <c:v>3.9940015381167431</c:v>
                </c:pt>
                <c:pt idx="129">
                  <c:v>0.93454786305271109</c:v>
                </c:pt>
                <c:pt idx="130">
                  <c:v>1.3197349299711303</c:v>
                </c:pt>
                <c:pt idx="131">
                  <c:v>0.58148057690838684</c:v>
                </c:pt>
                <c:pt idx="132">
                  <c:v>9.8245947245850083</c:v>
                </c:pt>
                <c:pt idx="133">
                  <c:v>2.4691270681074364</c:v>
                </c:pt>
                <c:pt idx="134">
                  <c:v>0.90112668415124952</c:v>
                </c:pt>
                <c:pt idx="135">
                  <c:v>0.7494116347001798</c:v>
                </c:pt>
                <c:pt idx="136">
                  <c:v>1.5904852948261246</c:v>
                </c:pt>
                <c:pt idx="137">
                  <c:v>9.125939247356694</c:v>
                </c:pt>
                <c:pt idx="138">
                  <c:v>2.7971096890042642</c:v>
                </c:pt>
                <c:pt idx="139">
                  <c:v>4.9015360493718401</c:v>
                </c:pt>
                <c:pt idx="140">
                  <c:v>4.1561732514265213</c:v>
                </c:pt>
                <c:pt idx="141">
                  <c:v>5.2511657000827956</c:v>
                </c:pt>
                <c:pt idx="142">
                  <c:v>0.85932597414137946</c:v>
                </c:pt>
                <c:pt idx="143">
                  <c:v>5.4584342923026039</c:v>
                </c:pt>
                <c:pt idx="144">
                  <c:v>0.53256540242574224</c:v>
                </c:pt>
                <c:pt idx="145">
                  <c:v>1.9797783419626978</c:v>
                </c:pt>
                <c:pt idx="146">
                  <c:v>2.578688950559898</c:v>
                </c:pt>
                <c:pt idx="147">
                  <c:v>0.3541348566458159</c:v>
                </c:pt>
                <c:pt idx="148">
                  <c:v>1.3942982092852838</c:v>
                </c:pt>
                <c:pt idx="149">
                  <c:v>3.6114985347595736</c:v>
                </c:pt>
                <c:pt idx="150">
                  <c:v>6.9568668293084741</c:v>
                </c:pt>
                <c:pt idx="151">
                  <c:v>1.9173715991110849</c:v>
                </c:pt>
                <c:pt idx="152">
                  <c:v>6.013767847614309</c:v>
                </c:pt>
                <c:pt idx="153">
                  <c:v>1.9036233350496605</c:v>
                </c:pt>
                <c:pt idx="154">
                  <c:v>0.37909773754206899</c:v>
                </c:pt>
                <c:pt idx="155">
                  <c:v>1.9314256981380526</c:v>
                </c:pt>
                <c:pt idx="156">
                  <c:v>1.2581024631876181</c:v>
                </c:pt>
                <c:pt idx="157">
                  <c:v>2.4952746257760401</c:v>
                </c:pt>
                <c:pt idx="158">
                  <c:v>2.7607061655277709</c:v>
                </c:pt>
                <c:pt idx="159">
                  <c:v>4.3292428158056335</c:v>
                </c:pt>
                <c:pt idx="160">
                  <c:v>1.1853901202674262</c:v>
                </c:pt>
                <c:pt idx="161">
                  <c:v>0.88596810813848226</c:v>
                </c:pt>
                <c:pt idx="162">
                  <c:v>1.7761509876821382</c:v>
                </c:pt>
                <c:pt idx="163">
                  <c:v>0.45290218668111237</c:v>
                </c:pt>
                <c:pt idx="164">
                  <c:v>3.1337751549027839</c:v>
                </c:pt>
                <c:pt idx="165">
                  <c:v>4.534809986046751</c:v>
                </c:pt>
                <c:pt idx="166">
                  <c:v>3.8370558834700734</c:v>
                </c:pt>
                <c:pt idx="167">
                  <c:v>3.8323535954076036</c:v>
                </c:pt>
                <c:pt idx="168">
                  <c:v>7.3952859211366739</c:v>
                </c:pt>
                <c:pt idx="169">
                  <c:v>0.49475619295180773</c:v>
                </c:pt>
                <c:pt idx="170">
                  <c:v>3.9738218441102902</c:v>
                </c:pt>
                <c:pt idx="171">
                  <c:v>2.6883648269172298</c:v>
                </c:pt>
                <c:pt idx="172">
                  <c:v>1.2178434130272011</c:v>
                </c:pt>
                <c:pt idx="173">
                  <c:v>3.7098822956452624</c:v>
                </c:pt>
                <c:pt idx="174">
                  <c:v>3.107955063080133E-3</c:v>
                </c:pt>
                <c:pt idx="175">
                  <c:v>0.67691648491801693</c:v>
                </c:pt>
                <c:pt idx="176">
                  <c:v>6.7867369040304268</c:v>
                </c:pt>
                <c:pt idx="177">
                  <c:v>2.4578250674569833E-2</c:v>
                </c:pt>
                <c:pt idx="178">
                  <c:v>4.2005993151526226</c:v>
                </c:pt>
                <c:pt idx="179">
                  <c:v>3.6829568946918227</c:v>
                </c:pt>
                <c:pt idx="180">
                  <c:v>3.5005520487813246</c:v>
                </c:pt>
                <c:pt idx="181">
                  <c:v>0.27878757988836955</c:v>
                </c:pt>
                <c:pt idx="182">
                  <c:v>1.1386074351750501</c:v>
                </c:pt>
                <c:pt idx="183">
                  <c:v>0.43617613763754248</c:v>
                </c:pt>
                <c:pt idx="184">
                  <c:v>3.2311176319390705E-2</c:v>
                </c:pt>
                <c:pt idx="185">
                  <c:v>14.46121513144524</c:v>
                </c:pt>
                <c:pt idx="186">
                  <c:v>0.21386817599923785</c:v>
                </c:pt>
                <c:pt idx="187">
                  <c:v>1.7194912787808523</c:v>
                </c:pt>
                <c:pt idx="188">
                  <c:v>5.6739447222339869</c:v>
                </c:pt>
                <c:pt idx="189">
                  <c:v>0.17086236563753393</c:v>
                </c:pt>
                <c:pt idx="190">
                  <c:v>7.9293728015146971</c:v>
                </c:pt>
                <c:pt idx="191">
                  <c:v>8.9398275518224629E-2</c:v>
                </c:pt>
                <c:pt idx="192">
                  <c:v>6.4032029616386374</c:v>
                </c:pt>
                <c:pt idx="193">
                  <c:v>0.58117329477999813</c:v>
                </c:pt>
                <c:pt idx="194">
                  <c:v>0.40872242744674359</c:v>
                </c:pt>
                <c:pt idx="195">
                  <c:v>6.1869594021429801</c:v>
                </c:pt>
                <c:pt idx="196">
                  <c:v>1.2081696823489199</c:v>
                </c:pt>
                <c:pt idx="197">
                  <c:v>3.5631453489797495</c:v>
                </c:pt>
                <c:pt idx="198">
                  <c:v>1.328169863400821</c:v>
                </c:pt>
                <c:pt idx="199">
                  <c:v>5.5269632551586998</c:v>
                </c:pt>
                <c:pt idx="200">
                  <c:v>1.3887474199528453</c:v>
                </c:pt>
                <c:pt idx="201">
                  <c:v>10.198511454409299</c:v>
                </c:pt>
                <c:pt idx="202">
                  <c:v>0.34909845309405585</c:v>
                </c:pt>
                <c:pt idx="203">
                  <c:v>0.47010458993695314</c:v>
                </c:pt>
                <c:pt idx="204">
                  <c:v>1.0164850436244555</c:v>
                </c:pt>
                <c:pt idx="205">
                  <c:v>0.62664180906195255</c:v>
                </c:pt>
                <c:pt idx="206">
                  <c:v>0.21949244335907259</c:v>
                </c:pt>
                <c:pt idx="207">
                  <c:v>1.861537375815276</c:v>
                </c:pt>
                <c:pt idx="208">
                  <c:v>13.460986474253499</c:v>
                </c:pt>
                <c:pt idx="209">
                  <c:v>0.54866650459185196</c:v>
                </c:pt>
                <c:pt idx="210">
                  <c:v>0.13221717296349478</c:v>
                </c:pt>
                <c:pt idx="211">
                  <c:v>1.4859874131466149</c:v>
                </c:pt>
                <c:pt idx="212">
                  <c:v>0.32651554890852519</c:v>
                </c:pt>
                <c:pt idx="213">
                  <c:v>0.4362785746416501</c:v>
                </c:pt>
                <c:pt idx="214">
                  <c:v>4.4171202411556152</c:v>
                </c:pt>
                <c:pt idx="215">
                  <c:v>0.43641918118887579</c:v>
                </c:pt>
                <c:pt idx="216">
                  <c:v>0.18976977208531259</c:v>
                </c:pt>
                <c:pt idx="217">
                  <c:v>1.5443272928177438</c:v>
                </c:pt>
                <c:pt idx="218">
                  <c:v>1.6815545628064665</c:v>
                </c:pt>
                <c:pt idx="219">
                  <c:v>0.51222972523113341</c:v>
                </c:pt>
                <c:pt idx="220">
                  <c:v>9.4395813653296301</c:v>
                </c:pt>
                <c:pt idx="221">
                  <c:v>1.6724083340983511</c:v>
                </c:pt>
                <c:pt idx="222">
                  <c:v>0.51340557850982149</c:v>
                </c:pt>
                <c:pt idx="223">
                  <c:v>1.2263117704446564</c:v>
                </c:pt>
                <c:pt idx="224">
                  <c:v>0.2797357804851921</c:v>
                </c:pt>
                <c:pt idx="225">
                  <c:v>2.3070180428595739</c:v>
                </c:pt>
                <c:pt idx="226">
                  <c:v>1.550672291274751</c:v>
                </c:pt>
                <c:pt idx="227">
                  <c:v>1.8524628938523353</c:v>
                </c:pt>
                <c:pt idx="228">
                  <c:v>0.12463938813357844</c:v>
                </c:pt>
                <c:pt idx="229">
                  <c:v>3.316276509074938</c:v>
                </c:pt>
                <c:pt idx="230">
                  <c:v>8.4792799802529508</c:v>
                </c:pt>
                <c:pt idx="231">
                  <c:v>3.145167288594485</c:v>
                </c:pt>
                <c:pt idx="232">
                  <c:v>1.0135930124740953</c:v>
                </c:pt>
                <c:pt idx="233">
                  <c:v>2.3740748449508278</c:v>
                </c:pt>
                <c:pt idx="234">
                  <c:v>0.6306458960031176</c:v>
                </c:pt>
                <c:pt idx="235">
                  <c:v>0.76718258170119524</c:v>
                </c:pt>
                <c:pt idx="236">
                  <c:v>1.2488255361396758</c:v>
                </c:pt>
                <c:pt idx="237">
                  <c:v>4.3951854435589635</c:v>
                </c:pt>
                <c:pt idx="238">
                  <c:v>0.40653910003520011</c:v>
                </c:pt>
                <c:pt idx="239">
                  <c:v>0.31923609289956112</c:v>
                </c:pt>
                <c:pt idx="240">
                  <c:v>0.30040026008318221</c:v>
                </c:pt>
                <c:pt idx="241">
                  <c:v>0.87152975484770923</c:v>
                </c:pt>
                <c:pt idx="242">
                  <c:v>8.9437414846976182</c:v>
                </c:pt>
                <c:pt idx="243">
                  <c:v>0.58312789274130639</c:v>
                </c:pt>
                <c:pt idx="244">
                  <c:v>0.30640606289158401</c:v>
                </c:pt>
                <c:pt idx="245">
                  <c:v>2.0505064632982428</c:v>
                </c:pt>
                <c:pt idx="246">
                  <c:v>2.0904417749851154</c:v>
                </c:pt>
                <c:pt idx="247">
                  <c:v>3.0654764558182608</c:v>
                </c:pt>
                <c:pt idx="248">
                  <c:v>0.77317510528780264</c:v>
                </c:pt>
                <c:pt idx="249">
                  <c:v>4.6703499719656385</c:v>
                </c:pt>
                <c:pt idx="250">
                  <c:v>1.4409351575823313</c:v>
                </c:pt>
                <c:pt idx="251">
                  <c:v>0.50848135795743366</c:v>
                </c:pt>
                <c:pt idx="252">
                  <c:v>0.82472002701308278</c:v>
                </c:pt>
                <c:pt idx="253">
                  <c:v>3.3957534556510716</c:v>
                </c:pt>
                <c:pt idx="254">
                  <c:v>1.4095153762284367</c:v>
                </c:pt>
                <c:pt idx="255">
                  <c:v>5.162293408397014</c:v>
                </c:pt>
                <c:pt idx="256">
                  <c:v>1.2371720664384807</c:v>
                </c:pt>
                <c:pt idx="257">
                  <c:v>4.3247352751278676</c:v>
                </c:pt>
                <c:pt idx="258">
                  <c:v>2.132021917390408</c:v>
                </c:pt>
                <c:pt idx="259">
                  <c:v>0.39843588955607878</c:v>
                </c:pt>
                <c:pt idx="260">
                  <c:v>0.20458672928401189</c:v>
                </c:pt>
                <c:pt idx="261">
                  <c:v>0.16997089611278732</c:v>
                </c:pt>
                <c:pt idx="262">
                  <c:v>7.0513838912311833E-2</c:v>
                </c:pt>
                <c:pt idx="263">
                  <c:v>8.957827589534741</c:v>
                </c:pt>
                <c:pt idx="264">
                  <c:v>1.0202188513707817</c:v>
                </c:pt>
                <c:pt idx="265">
                  <c:v>2.0308697493343832E-2</c:v>
                </c:pt>
                <c:pt idx="266">
                  <c:v>1.5652555436352769</c:v>
                </c:pt>
                <c:pt idx="267">
                  <c:v>0.73589153217876513</c:v>
                </c:pt>
                <c:pt idx="268">
                  <c:v>3.2167703523782345</c:v>
                </c:pt>
                <c:pt idx="269">
                  <c:v>0.84436880692598826</c:v>
                </c:pt>
                <c:pt idx="270">
                  <c:v>5.1790349451570545</c:v>
                </c:pt>
                <c:pt idx="271">
                  <c:v>3.7271687093108747</c:v>
                </c:pt>
                <c:pt idx="272">
                  <c:v>1.9377357712785934</c:v>
                </c:pt>
                <c:pt idx="273">
                  <c:v>0.68664313353945627</c:v>
                </c:pt>
                <c:pt idx="274">
                  <c:v>0.13962254854903888</c:v>
                </c:pt>
                <c:pt idx="275">
                  <c:v>0.64579057401936057</c:v>
                </c:pt>
                <c:pt idx="276">
                  <c:v>2.96625908222026E-2</c:v>
                </c:pt>
                <c:pt idx="277">
                  <c:v>1.2698770918559346</c:v>
                </c:pt>
                <c:pt idx="278">
                  <c:v>1.3030140414949374</c:v>
                </c:pt>
                <c:pt idx="279">
                  <c:v>6.2479876188182111</c:v>
                </c:pt>
                <c:pt idx="280">
                  <c:v>2.3597483030905853</c:v>
                </c:pt>
                <c:pt idx="281">
                  <c:v>1.095404214028862</c:v>
                </c:pt>
                <c:pt idx="282">
                  <c:v>0.42244520234268834</c:v>
                </c:pt>
                <c:pt idx="283">
                  <c:v>0.13095440264498132</c:v>
                </c:pt>
                <c:pt idx="284">
                  <c:v>3.0431807533290849</c:v>
                </c:pt>
                <c:pt idx="285">
                  <c:v>1.6364441397286913</c:v>
                </c:pt>
                <c:pt idx="286">
                  <c:v>8.0228751322862835E-2</c:v>
                </c:pt>
                <c:pt idx="287">
                  <c:v>2.4118164897587642</c:v>
                </c:pt>
                <c:pt idx="288">
                  <c:v>3.8712337974128692</c:v>
                </c:pt>
                <c:pt idx="289">
                  <c:v>2.0036269162368727</c:v>
                </c:pt>
                <c:pt idx="290">
                  <c:v>2.4452426066440376</c:v>
                </c:pt>
                <c:pt idx="291">
                  <c:v>1.9357241945264554</c:v>
                </c:pt>
                <c:pt idx="292">
                  <c:v>3.6257573562704986</c:v>
                </c:pt>
                <c:pt idx="293">
                  <c:v>0.9555693277932944</c:v>
                </c:pt>
                <c:pt idx="294">
                  <c:v>3.3099508429826132</c:v>
                </c:pt>
                <c:pt idx="295">
                  <c:v>6.0865702337025762E-2</c:v>
                </c:pt>
                <c:pt idx="296">
                  <c:v>1.3730483591108009</c:v>
                </c:pt>
                <c:pt idx="297">
                  <c:v>6.5308603505453338</c:v>
                </c:pt>
                <c:pt idx="298">
                  <c:v>5.5588159690857601</c:v>
                </c:pt>
                <c:pt idx="299">
                  <c:v>2.9783457624714407</c:v>
                </c:pt>
                <c:pt idx="300">
                  <c:v>9.0627216931217974E-2</c:v>
                </c:pt>
                <c:pt idx="301">
                  <c:v>1.1795176131394713</c:v>
                </c:pt>
                <c:pt idx="302">
                  <c:v>5.4709647960463865</c:v>
                </c:pt>
                <c:pt idx="303">
                  <c:v>0.91346382358143319</c:v>
                </c:pt>
                <c:pt idx="304">
                  <c:v>1.4563359066546275</c:v>
                </c:pt>
                <c:pt idx="305">
                  <c:v>3.2313964219202971</c:v>
                </c:pt>
                <c:pt idx="306">
                  <c:v>3.6637920172313034</c:v>
                </c:pt>
                <c:pt idx="307">
                  <c:v>0.90284138633290123</c:v>
                </c:pt>
                <c:pt idx="308">
                  <c:v>2.6508092211529846</c:v>
                </c:pt>
                <c:pt idx="309">
                  <c:v>1.4155971172471769</c:v>
                </c:pt>
                <c:pt idx="310">
                  <c:v>3.1589726066359809</c:v>
                </c:pt>
                <c:pt idx="311">
                  <c:v>0.31458940175639005</c:v>
                </c:pt>
                <c:pt idx="312">
                  <c:v>0.81673220924264434</c:v>
                </c:pt>
                <c:pt idx="313">
                  <c:v>1.2238519628368749</c:v>
                </c:pt>
                <c:pt idx="314">
                  <c:v>1.0113804290070667</c:v>
                </c:pt>
                <c:pt idx="315">
                  <c:v>0.68248248070946338</c:v>
                </c:pt>
                <c:pt idx="316">
                  <c:v>0.73903091381446329</c:v>
                </c:pt>
                <c:pt idx="317">
                  <c:v>3.9245270519151143</c:v>
                </c:pt>
                <c:pt idx="318">
                  <c:v>4.9223722945980661</c:v>
                </c:pt>
                <c:pt idx="319">
                  <c:v>3.385713975242818</c:v>
                </c:pt>
                <c:pt idx="320">
                  <c:v>0.24216745782876953</c:v>
                </c:pt>
                <c:pt idx="321">
                  <c:v>1.4344993971587314</c:v>
                </c:pt>
                <c:pt idx="322">
                  <c:v>3.2218700819247461</c:v>
                </c:pt>
                <c:pt idx="323">
                  <c:v>1.231598959837346</c:v>
                </c:pt>
                <c:pt idx="324">
                  <c:v>0.49595867870259935</c:v>
                </c:pt>
                <c:pt idx="325">
                  <c:v>4.2996010187441094</c:v>
                </c:pt>
                <c:pt idx="326">
                  <c:v>0.11669748187478851</c:v>
                </c:pt>
                <c:pt idx="327">
                  <c:v>10.291588650034537</c:v>
                </c:pt>
                <c:pt idx="328">
                  <c:v>2.8847513487859784</c:v>
                </c:pt>
                <c:pt idx="329">
                  <c:v>2.4139082409423791</c:v>
                </c:pt>
                <c:pt idx="330">
                  <c:v>0.45453340362085737</c:v>
                </c:pt>
                <c:pt idx="331">
                  <c:v>7.1111847471757694E-2</c:v>
                </c:pt>
                <c:pt idx="332">
                  <c:v>3.7949344115911643</c:v>
                </c:pt>
                <c:pt idx="333">
                  <c:v>0.19223489391041099</c:v>
                </c:pt>
                <c:pt idx="334">
                  <c:v>0.85001800226969682</c:v>
                </c:pt>
                <c:pt idx="335">
                  <c:v>3.9419806020088322</c:v>
                </c:pt>
                <c:pt idx="336">
                  <c:v>2.3162112107348412</c:v>
                </c:pt>
                <c:pt idx="337">
                  <c:v>0.25730338807333375</c:v>
                </c:pt>
                <c:pt idx="338">
                  <c:v>2.8706733582697126</c:v>
                </c:pt>
                <c:pt idx="339">
                  <c:v>1.9646247041849012</c:v>
                </c:pt>
                <c:pt idx="340">
                  <c:v>2.6707503674628157</c:v>
                </c:pt>
                <c:pt idx="341">
                  <c:v>0.27771437671520183</c:v>
                </c:pt>
                <c:pt idx="342">
                  <c:v>2.6935802607955077</c:v>
                </c:pt>
                <c:pt idx="343">
                  <c:v>9.6296072566937241</c:v>
                </c:pt>
                <c:pt idx="344">
                  <c:v>0.53444141733446604</c:v>
                </c:pt>
                <c:pt idx="345">
                  <c:v>8.5066718884360277</c:v>
                </c:pt>
                <c:pt idx="346">
                  <c:v>3.019431870557769</c:v>
                </c:pt>
                <c:pt idx="347">
                  <c:v>0.85780339490518887</c:v>
                </c:pt>
                <c:pt idx="348">
                  <c:v>1.8752316881060556</c:v>
                </c:pt>
                <c:pt idx="349">
                  <c:v>4.4417138220312697</c:v>
                </c:pt>
                <c:pt idx="350">
                  <c:v>9.5770859501662891</c:v>
                </c:pt>
                <c:pt idx="351">
                  <c:v>8.024522246235577</c:v>
                </c:pt>
                <c:pt idx="352">
                  <c:v>3.4048116158457633</c:v>
                </c:pt>
                <c:pt idx="353">
                  <c:v>1.1991344275023939</c:v>
                </c:pt>
                <c:pt idx="354">
                  <c:v>0.6115542473642146</c:v>
                </c:pt>
                <c:pt idx="355">
                  <c:v>2.6449127654762465</c:v>
                </c:pt>
                <c:pt idx="356">
                  <c:v>0.76659453666227151</c:v>
                </c:pt>
                <c:pt idx="357">
                  <c:v>0.15244461828606948</c:v>
                </c:pt>
                <c:pt idx="358">
                  <c:v>0.28220508258042809</c:v>
                </c:pt>
                <c:pt idx="359">
                  <c:v>2.4622835944571619</c:v>
                </c:pt>
                <c:pt idx="360">
                  <c:v>19.623148696892386</c:v>
                </c:pt>
                <c:pt idx="361">
                  <c:v>1.7189087637732428</c:v>
                </c:pt>
                <c:pt idx="362">
                  <c:v>0.67929753476906241</c:v>
                </c:pt>
                <c:pt idx="363">
                  <c:v>3.4313537729268555</c:v>
                </c:pt>
                <c:pt idx="364">
                  <c:v>2.4289131287442354</c:v>
                </c:pt>
                <c:pt idx="365">
                  <c:v>6.5715976466022727</c:v>
                </c:pt>
                <c:pt idx="366">
                  <c:v>6.0501407206072244</c:v>
                </c:pt>
                <c:pt idx="367">
                  <c:v>5.9056460452961285E-2</c:v>
                </c:pt>
                <c:pt idx="368">
                  <c:v>3.5861122036203845</c:v>
                </c:pt>
                <c:pt idx="369">
                  <c:v>0.89623285379870632</c:v>
                </c:pt>
                <c:pt idx="370">
                  <c:v>1.4924667912410849</c:v>
                </c:pt>
                <c:pt idx="371">
                  <c:v>4.0983560580114915</c:v>
                </c:pt>
                <c:pt idx="372">
                  <c:v>13.459469119451271</c:v>
                </c:pt>
                <c:pt idx="373">
                  <c:v>4.7273088205744038</c:v>
                </c:pt>
                <c:pt idx="374">
                  <c:v>6.456489405122726</c:v>
                </c:pt>
                <c:pt idx="375">
                  <c:v>2.1264828254592718</c:v>
                </c:pt>
                <c:pt idx="376">
                  <c:v>2.1588502028713625</c:v>
                </c:pt>
                <c:pt idx="377">
                  <c:v>2.9431939006380237</c:v>
                </c:pt>
                <c:pt idx="378">
                  <c:v>1.3090794556480998</c:v>
                </c:pt>
                <c:pt idx="379">
                  <c:v>5.0690317012376411</c:v>
                </c:pt>
                <c:pt idx="380">
                  <c:v>0.52824021445687053</c:v>
                </c:pt>
                <c:pt idx="381">
                  <c:v>0.2363594799742465</c:v>
                </c:pt>
                <c:pt idx="382">
                  <c:v>2.7429320805422144</c:v>
                </c:pt>
                <c:pt idx="383">
                  <c:v>0.10097179717091009</c:v>
                </c:pt>
                <c:pt idx="384">
                  <c:v>2.4984167784082958</c:v>
                </c:pt>
                <c:pt idx="385">
                  <c:v>0.78894195284738244</c:v>
                </c:pt>
                <c:pt idx="386">
                  <c:v>0.53618038795046585</c:v>
                </c:pt>
                <c:pt idx="387">
                  <c:v>0.49434369479126528</c:v>
                </c:pt>
                <c:pt idx="388">
                  <c:v>1.7934491363762071</c:v>
                </c:pt>
                <c:pt idx="389">
                  <c:v>3.7733094867857879</c:v>
                </c:pt>
                <c:pt idx="390">
                  <c:v>3.948134199216482</c:v>
                </c:pt>
                <c:pt idx="391">
                  <c:v>0.36743853251758418</c:v>
                </c:pt>
                <c:pt idx="392">
                  <c:v>2.0215167700270396</c:v>
                </c:pt>
                <c:pt idx="393">
                  <c:v>0.55460908577067469</c:v>
                </c:pt>
                <c:pt idx="394">
                  <c:v>3.1230665824777608</c:v>
                </c:pt>
                <c:pt idx="395">
                  <c:v>2.4051985730964578</c:v>
                </c:pt>
                <c:pt idx="396">
                  <c:v>2.7504729137623682</c:v>
                </c:pt>
                <c:pt idx="397">
                  <c:v>3.146321968870982</c:v>
                </c:pt>
                <c:pt idx="398">
                  <c:v>2.809657517180745</c:v>
                </c:pt>
                <c:pt idx="399">
                  <c:v>0.51089260452645058</c:v>
                </c:pt>
                <c:pt idx="400">
                  <c:v>5.4755998244099153</c:v>
                </c:pt>
                <c:pt idx="401">
                  <c:v>0.27351790333967829</c:v>
                </c:pt>
                <c:pt idx="402">
                  <c:v>0.20132444201751859</c:v>
                </c:pt>
                <c:pt idx="403">
                  <c:v>1.5786218728205661</c:v>
                </c:pt>
                <c:pt idx="404">
                  <c:v>4.169283279981407</c:v>
                </c:pt>
                <c:pt idx="405">
                  <c:v>0.87870886637735457</c:v>
                </c:pt>
                <c:pt idx="406">
                  <c:v>5.2458133420069331</c:v>
                </c:pt>
                <c:pt idx="407">
                  <c:v>0.43651347229533899</c:v>
                </c:pt>
                <c:pt idx="408">
                  <c:v>2.0292987333308021</c:v>
                </c:pt>
                <c:pt idx="409">
                  <c:v>9.6555885892044024</c:v>
                </c:pt>
                <c:pt idx="410">
                  <c:v>2.9302851639355048</c:v>
                </c:pt>
                <c:pt idx="411">
                  <c:v>5.770493423611013</c:v>
                </c:pt>
                <c:pt idx="412">
                  <c:v>6.8236322535486824</c:v>
                </c:pt>
                <c:pt idx="413">
                  <c:v>0.78068566425133601</c:v>
                </c:pt>
                <c:pt idx="414">
                  <c:v>0.13432012994483067</c:v>
                </c:pt>
                <c:pt idx="415">
                  <c:v>6.2540706811801368</c:v>
                </c:pt>
                <c:pt idx="416">
                  <c:v>0.47016481488303963</c:v>
                </c:pt>
                <c:pt idx="417">
                  <c:v>0.78223352484426312</c:v>
                </c:pt>
                <c:pt idx="418">
                  <c:v>7.2144136481448395</c:v>
                </c:pt>
                <c:pt idx="419">
                  <c:v>1.6496700304118859</c:v>
                </c:pt>
                <c:pt idx="420">
                  <c:v>9.1673031249821442</c:v>
                </c:pt>
                <c:pt idx="421">
                  <c:v>2.0135719364262332E-2</c:v>
                </c:pt>
                <c:pt idx="422">
                  <c:v>10.241513284332278</c:v>
                </c:pt>
                <c:pt idx="423">
                  <c:v>2.1450914838818456</c:v>
                </c:pt>
                <c:pt idx="424">
                  <c:v>6.8382424584218455</c:v>
                </c:pt>
                <c:pt idx="425">
                  <c:v>2.1431048136664392</c:v>
                </c:pt>
                <c:pt idx="426">
                  <c:v>0.84210493890533011</c:v>
                </c:pt>
                <c:pt idx="427">
                  <c:v>3.445253311609731</c:v>
                </c:pt>
                <c:pt idx="428">
                  <c:v>3.6127785365330443</c:v>
                </c:pt>
                <c:pt idx="429">
                  <c:v>6.1115110713031822</c:v>
                </c:pt>
                <c:pt idx="430">
                  <c:v>0.24386360967316961</c:v>
                </c:pt>
                <c:pt idx="431">
                  <c:v>0.69002770513506362</c:v>
                </c:pt>
                <c:pt idx="432">
                  <c:v>0.85713985787206104</c:v>
                </c:pt>
                <c:pt idx="433">
                  <c:v>1.7676365990568548</c:v>
                </c:pt>
                <c:pt idx="434">
                  <c:v>4.4711449787377031</c:v>
                </c:pt>
                <c:pt idx="435">
                  <c:v>1.6297298833938219</c:v>
                </c:pt>
                <c:pt idx="436">
                  <c:v>12.695404025553032</c:v>
                </c:pt>
                <c:pt idx="437">
                  <c:v>5.4360103821298029</c:v>
                </c:pt>
                <c:pt idx="438">
                  <c:v>0.93711443246276205</c:v>
                </c:pt>
                <c:pt idx="439">
                  <c:v>1.6908932798250671</c:v>
                </c:pt>
                <c:pt idx="440">
                  <c:v>0.36115029938370291</c:v>
                </c:pt>
                <c:pt idx="441">
                  <c:v>3.8102027920501511</c:v>
                </c:pt>
                <c:pt idx="442">
                  <c:v>1.6103636246723192</c:v>
                </c:pt>
                <c:pt idx="443">
                  <c:v>0.83948599434611371</c:v>
                </c:pt>
                <c:pt idx="444">
                  <c:v>1.2169539352606762</c:v>
                </c:pt>
                <c:pt idx="445">
                  <c:v>3.1998674712628432</c:v>
                </c:pt>
                <c:pt idx="446">
                  <c:v>0.48305977850860138</c:v>
                </c:pt>
                <c:pt idx="447">
                  <c:v>2.5624373441353425</c:v>
                </c:pt>
                <c:pt idx="448">
                  <c:v>2.4623022846764098</c:v>
                </c:pt>
                <c:pt idx="449">
                  <c:v>3.5138903524190557</c:v>
                </c:pt>
                <c:pt idx="450">
                  <c:v>1.1330997813308903</c:v>
                </c:pt>
                <c:pt idx="451">
                  <c:v>3.0767919654438751</c:v>
                </c:pt>
                <c:pt idx="452">
                  <c:v>3.0745785233542851</c:v>
                </c:pt>
                <c:pt idx="453">
                  <c:v>2.8582673964205831</c:v>
                </c:pt>
                <c:pt idx="454">
                  <c:v>0.24383637542853082</c:v>
                </c:pt>
                <c:pt idx="455">
                  <c:v>0.76706788348717914</c:v>
                </c:pt>
                <c:pt idx="456">
                  <c:v>0.1192723338038017</c:v>
                </c:pt>
                <c:pt idx="457">
                  <c:v>1.1592568812228548</c:v>
                </c:pt>
                <c:pt idx="458">
                  <c:v>4.6785748199093096</c:v>
                </c:pt>
                <c:pt idx="459">
                  <c:v>6.2306565890181534E-2</c:v>
                </c:pt>
                <c:pt idx="460">
                  <c:v>0.34449539843363952</c:v>
                </c:pt>
                <c:pt idx="461">
                  <c:v>1.3228783387410532</c:v>
                </c:pt>
                <c:pt idx="462">
                  <c:v>0.24163388633214439</c:v>
                </c:pt>
                <c:pt idx="463">
                  <c:v>5.1147939363662172</c:v>
                </c:pt>
                <c:pt idx="464">
                  <c:v>1.5834120449613658</c:v>
                </c:pt>
                <c:pt idx="465">
                  <c:v>1.1783881732329222</c:v>
                </c:pt>
                <c:pt idx="466">
                  <c:v>0.20332005400917175</c:v>
                </c:pt>
                <c:pt idx="467">
                  <c:v>0.56918195564671548</c:v>
                </c:pt>
                <c:pt idx="468">
                  <c:v>1.6952553199536675</c:v>
                </c:pt>
                <c:pt idx="469">
                  <c:v>6.5844445259877897</c:v>
                </c:pt>
                <c:pt idx="470">
                  <c:v>6.7482822021907332</c:v>
                </c:pt>
                <c:pt idx="471">
                  <c:v>0.57390262864603558</c:v>
                </c:pt>
                <c:pt idx="472">
                  <c:v>1.993886379023059</c:v>
                </c:pt>
                <c:pt idx="473">
                  <c:v>0.71439754134532785</c:v>
                </c:pt>
                <c:pt idx="474">
                  <c:v>0.98803318460614165</c:v>
                </c:pt>
                <c:pt idx="475">
                  <c:v>0.27799537608886737</c:v>
                </c:pt>
                <c:pt idx="476">
                  <c:v>0.45288724198674124</c:v>
                </c:pt>
                <c:pt idx="477">
                  <c:v>3.904446425566455</c:v>
                </c:pt>
                <c:pt idx="478">
                  <c:v>0.87767724961023297</c:v>
                </c:pt>
                <c:pt idx="479">
                  <c:v>0.13775744055502875</c:v>
                </c:pt>
                <c:pt idx="480">
                  <c:v>3.2964253765425529</c:v>
                </c:pt>
                <c:pt idx="481">
                  <c:v>7.0714569056007204E-2</c:v>
                </c:pt>
                <c:pt idx="482">
                  <c:v>0.18898886681562782</c:v>
                </c:pt>
                <c:pt idx="483">
                  <c:v>1.0419327388372168</c:v>
                </c:pt>
                <c:pt idx="484">
                  <c:v>5.8928949556499468</c:v>
                </c:pt>
                <c:pt idx="485">
                  <c:v>0.46176393698833529</c:v>
                </c:pt>
                <c:pt idx="486">
                  <c:v>3.139015409409641</c:v>
                </c:pt>
                <c:pt idx="487">
                  <c:v>0.65342980609930534</c:v>
                </c:pt>
                <c:pt idx="488">
                  <c:v>1.3372716576395369</c:v>
                </c:pt>
                <c:pt idx="489">
                  <c:v>0.71995897268837439</c:v>
                </c:pt>
                <c:pt idx="490">
                  <c:v>0.12480649532695393</c:v>
                </c:pt>
                <c:pt idx="491">
                  <c:v>0.19488176687299658</c:v>
                </c:pt>
                <c:pt idx="492">
                  <c:v>1.7778463620968159</c:v>
                </c:pt>
                <c:pt idx="493">
                  <c:v>1.8305721432244675</c:v>
                </c:pt>
                <c:pt idx="494">
                  <c:v>0.88944924092224653</c:v>
                </c:pt>
                <c:pt idx="495">
                  <c:v>5.0450617905013697</c:v>
                </c:pt>
                <c:pt idx="496">
                  <c:v>0.22255694095769385</c:v>
                </c:pt>
                <c:pt idx="497">
                  <c:v>2.2799284954738752</c:v>
                </c:pt>
                <c:pt idx="498">
                  <c:v>2.7688073148893704</c:v>
                </c:pt>
                <c:pt idx="499">
                  <c:v>2.5358648354965823</c:v>
                </c:pt>
                <c:pt idx="500">
                  <c:v>1.3915744065852831</c:v>
                </c:pt>
                <c:pt idx="501">
                  <c:v>1.3764145547775417</c:v>
                </c:pt>
                <c:pt idx="502">
                  <c:v>2.8448069138190162</c:v>
                </c:pt>
                <c:pt idx="503">
                  <c:v>2.8284106557153299</c:v>
                </c:pt>
                <c:pt idx="504">
                  <c:v>1.16776067762614</c:v>
                </c:pt>
                <c:pt idx="505">
                  <c:v>8.3055661740949915</c:v>
                </c:pt>
                <c:pt idx="506">
                  <c:v>5.9038053589439046E-2</c:v>
                </c:pt>
                <c:pt idx="507">
                  <c:v>7.6361665885588312</c:v>
                </c:pt>
                <c:pt idx="508">
                  <c:v>4.5268469859998124</c:v>
                </c:pt>
                <c:pt idx="509">
                  <c:v>3.385237265378171</c:v>
                </c:pt>
                <c:pt idx="510">
                  <c:v>3.1891662204199038</c:v>
                </c:pt>
                <c:pt idx="511">
                  <c:v>1.6887276440590662</c:v>
                </c:pt>
                <c:pt idx="512">
                  <c:v>4.0688025792635252E-2</c:v>
                </c:pt>
                <c:pt idx="513">
                  <c:v>0.12218459566773238</c:v>
                </c:pt>
                <c:pt idx="514">
                  <c:v>0.42849790827400147</c:v>
                </c:pt>
                <c:pt idx="515">
                  <c:v>1.6537212726219521</c:v>
                </c:pt>
                <c:pt idx="516">
                  <c:v>2.5740908869176495</c:v>
                </c:pt>
                <c:pt idx="517">
                  <c:v>1.591137452019626</c:v>
                </c:pt>
                <c:pt idx="518">
                  <c:v>15.467747963944294</c:v>
                </c:pt>
                <c:pt idx="519">
                  <c:v>1.4956484178544436</c:v>
                </c:pt>
                <c:pt idx="520">
                  <c:v>0.22476647500264574</c:v>
                </c:pt>
                <c:pt idx="521">
                  <c:v>0.2901151414923141</c:v>
                </c:pt>
                <c:pt idx="522">
                  <c:v>1.4850728529247319</c:v>
                </c:pt>
                <c:pt idx="523">
                  <c:v>3.4363915573490234</c:v>
                </c:pt>
                <c:pt idx="524">
                  <c:v>1.0555679520627339</c:v>
                </c:pt>
                <c:pt idx="525">
                  <c:v>1.3164241246791364</c:v>
                </c:pt>
                <c:pt idx="526">
                  <c:v>0.20700065991272143</c:v>
                </c:pt>
                <c:pt idx="527">
                  <c:v>9.7179995517185161E-3</c:v>
                </c:pt>
                <c:pt idx="528">
                  <c:v>0.38477580288620228</c:v>
                </c:pt>
                <c:pt idx="529">
                  <c:v>0.92847321968299656</c:v>
                </c:pt>
                <c:pt idx="530">
                  <c:v>10.790718209412891</c:v>
                </c:pt>
                <c:pt idx="531">
                  <c:v>3.8201617249848834</c:v>
                </c:pt>
                <c:pt idx="532">
                  <c:v>2.3657549882720872</c:v>
                </c:pt>
                <c:pt idx="533">
                  <c:v>2.9309327477519949</c:v>
                </c:pt>
                <c:pt idx="534">
                  <c:v>2.094973142877997</c:v>
                </c:pt>
                <c:pt idx="535">
                  <c:v>1.0017551968434737</c:v>
                </c:pt>
                <c:pt idx="536">
                  <c:v>4.4152840340418997</c:v>
                </c:pt>
                <c:pt idx="537">
                  <c:v>4.2989922833589862</c:v>
                </c:pt>
                <c:pt idx="538">
                  <c:v>3.1032808347606142</c:v>
                </c:pt>
                <c:pt idx="539">
                  <c:v>1.512086830139594</c:v>
                </c:pt>
                <c:pt idx="540">
                  <c:v>0.50163549874765301</c:v>
                </c:pt>
                <c:pt idx="541">
                  <c:v>0.35313477643291835</c:v>
                </c:pt>
                <c:pt idx="542">
                  <c:v>1.7235878433238065</c:v>
                </c:pt>
                <c:pt idx="543">
                  <c:v>0.97316031264835567</c:v>
                </c:pt>
                <c:pt idx="544">
                  <c:v>5.5652720786311427</c:v>
                </c:pt>
                <c:pt idx="545">
                  <c:v>0.77357358747256777</c:v>
                </c:pt>
                <c:pt idx="546">
                  <c:v>3.8591220465225913</c:v>
                </c:pt>
                <c:pt idx="547">
                  <c:v>6.4880755598034607</c:v>
                </c:pt>
                <c:pt idx="548">
                  <c:v>2.8393673770361003</c:v>
                </c:pt>
                <c:pt idx="549">
                  <c:v>1.4726780450681924</c:v>
                </c:pt>
                <c:pt idx="550">
                  <c:v>5.3046259339212956</c:v>
                </c:pt>
                <c:pt idx="551">
                  <c:v>0.6979345583208143</c:v>
                </c:pt>
                <c:pt idx="552">
                  <c:v>0.42416293299534313</c:v>
                </c:pt>
                <c:pt idx="553">
                  <c:v>2.7065782559238629</c:v>
                </c:pt>
                <c:pt idx="554">
                  <c:v>1.4669744956269577</c:v>
                </c:pt>
                <c:pt idx="555">
                  <c:v>3.0138762526892364</c:v>
                </c:pt>
                <c:pt idx="556">
                  <c:v>0.27256122800262761</c:v>
                </c:pt>
                <c:pt idx="557">
                  <c:v>0.88340312422026912</c:v>
                </c:pt>
                <c:pt idx="558">
                  <c:v>1.0392360742597231</c:v>
                </c:pt>
                <c:pt idx="559">
                  <c:v>0.51551111301270147</c:v>
                </c:pt>
                <c:pt idx="560">
                  <c:v>0.19472473082862218</c:v>
                </c:pt>
                <c:pt idx="561">
                  <c:v>2.4368214846233149</c:v>
                </c:pt>
                <c:pt idx="562">
                  <c:v>7.3250235880981087</c:v>
                </c:pt>
                <c:pt idx="563">
                  <c:v>0.6921319531062371</c:v>
                </c:pt>
                <c:pt idx="564">
                  <c:v>1.2373037645445475</c:v>
                </c:pt>
                <c:pt idx="565">
                  <c:v>5.6958507995459762</c:v>
                </c:pt>
                <c:pt idx="566">
                  <c:v>0.97599878584951272</c:v>
                </c:pt>
                <c:pt idx="567">
                  <c:v>6.562800137473121E-2</c:v>
                </c:pt>
                <c:pt idx="568">
                  <c:v>5.497329493473059E-2</c:v>
                </c:pt>
                <c:pt idx="569">
                  <c:v>0.75473336924947865</c:v>
                </c:pt>
                <c:pt idx="570">
                  <c:v>4.2556864573502988</c:v>
                </c:pt>
                <c:pt idx="571">
                  <c:v>4.8549086611002696</c:v>
                </c:pt>
                <c:pt idx="572">
                  <c:v>1.3639499857761366</c:v>
                </c:pt>
                <c:pt idx="573">
                  <c:v>0.2278188174691535</c:v>
                </c:pt>
                <c:pt idx="574">
                  <c:v>6.2653492715923353E-2</c:v>
                </c:pt>
                <c:pt idx="575">
                  <c:v>0.10013451635480786</c:v>
                </c:pt>
                <c:pt idx="576">
                  <c:v>2.9961775270601043</c:v>
                </c:pt>
                <c:pt idx="577">
                  <c:v>1.2891320204768304</c:v>
                </c:pt>
                <c:pt idx="578">
                  <c:v>1.0217892009380223</c:v>
                </c:pt>
                <c:pt idx="579">
                  <c:v>0.17039641048285065</c:v>
                </c:pt>
                <c:pt idx="580">
                  <c:v>6.7578413337444374</c:v>
                </c:pt>
                <c:pt idx="581">
                  <c:v>0.51815592557030588</c:v>
                </c:pt>
                <c:pt idx="582">
                  <c:v>5.5811599736508644</c:v>
                </c:pt>
                <c:pt idx="583">
                  <c:v>2.644156067314408</c:v>
                </c:pt>
                <c:pt idx="584">
                  <c:v>2.736964894662675</c:v>
                </c:pt>
                <c:pt idx="585">
                  <c:v>0.31417535909606109</c:v>
                </c:pt>
                <c:pt idx="586">
                  <c:v>1.0572251997745896</c:v>
                </c:pt>
                <c:pt idx="587">
                  <c:v>0.99422783315103058</c:v>
                </c:pt>
                <c:pt idx="588">
                  <c:v>1.7140960350262757</c:v>
                </c:pt>
                <c:pt idx="589">
                  <c:v>1.5839341964360303</c:v>
                </c:pt>
                <c:pt idx="590">
                  <c:v>1.2634731196458024</c:v>
                </c:pt>
                <c:pt idx="591">
                  <c:v>2.8578451193500332</c:v>
                </c:pt>
                <c:pt idx="592">
                  <c:v>3.8066010826317083</c:v>
                </c:pt>
                <c:pt idx="593">
                  <c:v>0.92079124519567146</c:v>
                </c:pt>
                <c:pt idx="594">
                  <c:v>4.8474472001225841</c:v>
                </c:pt>
                <c:pt idx="595">
                  <c:v>0.13411880513440716</c:v>
                </c:pt>
                <c:pt idx="596">
                  <c:v>0.24425817372351299</c:v>
                </c:pt>
                <c:pt idx="597">
                  <c:v>0.1765686193238572</c:v>
                </c:pt>
                <c:pt idx="598">
                  <c:v>5.188398713083048</c:v>
                </c:pt>
                <c:pt idx="599">
                  <c:v>1.5012388819073292</c:v>
                </c:pt>
                <c:pt idx="600">
                  <c:v>0.33320932265910097</c:v>
                </c:pt>
                <c:pt idx="601">
                  <c:v>0.57987861507335414</c:v>
                </c:pt>
                <c:pt idx="602">
                  <c:v>3.2715266712237758</c:v>
                </c:pt>
                <c:pt idx="603">
                  <c:v>2.5071523549729289</c:v>
                </c:pt>
                <c:pt idx="604">
                  <c:v>0.15780882793784679</c:v>
                </c:pt>
                <c:pt idx="605">
                  <c:v>0.83400833218256532</c:v>
                </c:pt>
                <c:pt idx="606">
                  <c:v>0.39083224182269638</c:v>
                </c:pt>
                <c:pt idx="607">
                  <c:v>1.7851948996876148</c:v>
                </c:pt>
                <c:pt idx="608">
                  <c:v>3.2807383668945773</c:v>
                </c:pt>
                <c:pt idx="609">
                  <c:v>0.63360899108638868</c:v>
                </c:pt>
                <c:pt idx="610">
                  <c:v>1.6577469371062055</c:v>
                </c:pt>
                <c:pt idx="611">
                  <c:v>6.8717377743139654</c:v>
                </c:pt>
                <c:pt idx="612">
                  <c:v>7.1595381343869473E-4</c:v>
                </c:pt>
                <c:pt idx="613">
                  <c:v>0.45242062939743866</c:v>
                </c:pt>
                <c:pt idx="614">
                  <c:v>4.7242679416937996</c:v>
                </c:pt>
                <c:pt idx="615">
                  <c:v>2.1603114879626375</c:v>
                </c:pt>
                <c:pt idx="616">
                  <c:v>0.31661554182835794</c:v>
                </c:pt>
                <c:pt idx="617">
                  <c:v>7.7324090554409519</c:v>
                </c:pt>
                <c:pt idx="618">
                  <c:v>3.0972542304342454</c:v>
                </c:pt>
                <c:pt idx="619">
                  <c:v>3.3869467000057361</c:v>
                </c:pt>
                <c:pt idx="620">
                  <c:v>6.6921539240134642</c:v>
                </c:pt>
                <c:pt idx="621">
                  <c:v>0.77841993764275985</c:v>
                </c:pt>
                <c:pt idx="622">
                  <c:v>5.4812189422215302E-2</c:v>
                </c:pt>
                <c:pt idx="623">
                  <c:v>2.2687104215522496</c:v>
                </c:pt>
                <c:pt idx="624">
                  <c:v>1.0299781844855791</c:v>
                </c:pt>
                <c:pt idx="625">
                  <c:v>6.9747800852737676</c:v>
                </c:pt>
                <c:pt idx="626">
                  <c:v>2.9432299746659458</c:v>
                </c:pt>
                <c:pt idx="627">
                  <c:v>1.47894234402969</c:v>
                </c:pt>
                <c:pt idx="628">
                  <c:v>7.254330273542367E-2</c:v>
                </c:pt>
                <c:pt idx="629">
                  <c:v>4.8031570432272019</c:v>
                </c:pt>
                <c:pt idx="630">
                  <c:v>0.22329951467775611</c:v>
                </c:pt>
                <c:pt idx="631">
                  <c:v>0.18784116063400347</c:v>
                </c:pt>
                <c:pt idx="632">
                  <c:v>3.9972789385140262</c:v>
                </c:pt>
                <c:pt idx="633">
                  <c:v>0.48503317939805279</c:v>
                </c:pt>
                <c:pt idx="634">
                  <c:v>1.5692974744265213</c:v>
                </c:pt>
                <c:pt idx="635">
                  <c:v>2.6944597988996435</c:v>
                </c:pt>
                <c:pt idx="636">
                  <c:v>2.0853877320342891</c:v>
                </c:pt>
                <c:pt idx="637">
                  <c:v>4.0141579223645998</c:v>
                </c:pt>
                <c:pt idx="638">
                  <c:v>0.27913332659035095</c:v>
                </c:pt>
                <c:pt idx="639">
                  <c:v>4.3574732967230079E-2</c:v>
                </c:pt>
                <c:pt idx="640">
                  <c:v>2.7717656159811801</c:v>
                </c:pt>
                <c:pt idx="641">
                  <c:v>0.32178910503934643</c:v>
                </c:pt>
                <c:pt idx="642">
                  <c:v>0.45639590206448954</c:v>
                </c:pt>
                <c:pt idx="643">
                  <c:v>3.8489459241147506</c:v>
                </c:pt>
                <c:pt idx="644">
                  <c:v>1.3870144343509119</c:v>
                </c:pt>
                <c:pt idx="645">
                  <c:v>5.5859822123722491</c:v>
                </c:pt>
                <c:pt idx="646">
                  <c:v>3.2908945152548981</c:v>
                </c:pt>
                <c:pt idx="647">
                  <c:v>1.3038361684754904</c:v>
                </c:pt>
                <c:pt idx="648">
                  <c:v>1.691069829615202</c:v>
                </c:pt>
                <c:pt idx="649">
                  <c:v>1.5716964913746958</c:v>
                </c:pt>
                <c:pt idx="650">
                  <c:v>2.2067988014860571</c:v>
                </c:pt>
                <c:pt idx="651">
                  <c:v>0.59445866600493358</c:v>
                </c:pt>
                <c:pt idx="652">
                  <c:v>2.0284011370747947</c:v>
                </c:pt>
                <c:pt idx="653">
                  <c:v>1.4866800260977464</c:v>
                </c:pt>
                <c:pt idx="654">
                  <c:v>0.65032094348325375</c:v>
                </c:pt>
                <c:pt idx="655">
                  <c:v>2.4646337776111418</c:v>
                </c:pt>
                <c:pt idx="656">
                  <c:v>2.5471289480804886</c:v>
                </c:pt>
                <c:pt idx="657">
                  <c:v>1.2872638866623527</c:v>
                </c:pt>
                <c:pt idx="658">
                  <c:v>1.9038356126818439</c:v>
                </c:pt>
                <c:pt idx="659">
                  <c:v>0.62670175379689019</c:v>
                </c:pt>
                <c:pt idx="660">
                  <c:v>0.6870456794195916</c:v>
                </c:pt>
                <c:pt idx="661">
                  <c:v>4.1654604224402352</c:v>
                </c:pt>
                <c:pt idx="662">
                  <c:v>2.9057168610192763</c:v>
                </c:pt>
                <c:pt idx="663">
                  <c:v>11.023908503429425</c:v>
                </c:pt>
                <c:pt idx="664">
                  <c:v>1.0913319678301741</c:v>
                </c:pt>
                <c:pt idx="665">
                  <c:v>0.3962632780091675</c:v>
                </c:pt>
                <c:pt idx="666">
                  <c:v>4.1183146106039565</c:v>
                </c:pt>
                <c:pt idx="667">
                  <c:v>1.1750421987272288</c:v>
                </c:pt>
                <c:pt idx="668">
                  <c:v>5.6775485749335033</c:v>
                </c:pt>
                <c:pt idx="669">
                  <c:v>2.3078597658382609</c:v>
                </c:pt>
                <c:pt idx="670">
                  <c:v>2.780990006689211</c:v>
                </c:pt>
                <c:pt idx="671">
                  <c:v>6.2430208882130273E-2</c:v>
                </c:pt>
                <c:pt idx="672">
                  <c:v>2.2049543101184259</c:v>
                </c:pt>
                <c:pt idx="673">
                  <c:v>5.0311476512453321</c:v>
                </c:pt>
                <c:pt idx="674">
                  <c:v>0.94265559634425067</c:v>
                </c:pt>
                <c:pt idx="675">
                  <c:v>1.1267625007661612</c:v>
                </c:pt>
                <c:pt idx="676">
                  <c:v>0.81182502998264083</c:v>
                </c:pt>
                <c:pt idx="677">
                  <c:v>2.0033718588307146</c:v>
                </c:pt>
                <c:pt idx="678">
                  <c:v>1.1094867082194804</c:v>
                </c:pt>
                <c:pt idx="679">
                  <c:v>1.5432858946340389</c:v>
                </c:pt>
                <c:pt idx="680">
                  <c:v>0.784469289264629</c:v>
                </c:pt>
                <c:pt idx="681">
                  <c:v>0.84464770548549017</c:v>
                </c:pt>
                <c:pt idx="682">
                  <c:v>1.5249805090381852</c:v>
                </c:pt>
                <c:pt idx="683">
                  <c:v>0.66261952354418141</c:v>
                </c:pt>
                <c:pt idx="684">
                  <c:v>0.36008086539026318</c:v>
                </c:pt>
                <c:pt idx="685">
                  <c:v>0.57140536040630696</c:v>
                </c:pt>
                <c:pt idx="686">
                  <c:v>1.765902837466105</c:v>
                </c:pt>
                <c:pt idx="687">
                  <c:v>3.4342919690167699</c:v>
                </c:pt>
                <c:pt idx="688">
                  <c:v>4.83673631427666</c:v>
                </c:pt>
                <c:pt idx="689">
                  <c:v>0.10655629861447405</c:v>
                </c:pt>
                <c:pt idx="690">
                  <c:v>1.5308496569202471E-2</c:v>
                </c:pt>
                <c:pt idx="691">
                  <c:v>7.7294797192677009</c:v>
                </c:pt>
                <c:pt idx="692">
                  <c:v>1.4660259144887706</c:v>
                </c:pt>
                <c:pt idx="693">
                  <c:v>1.4551805472998685</c:v>
                </c:pt>
                <c:pt idx="694">
                  <c:v>1.8731226200811166</c:v>
                </c:pt>
                <c:pt idx="695">
                  <c:v>3.1252527001933057</c:v>
                </c:pt>
                <c:pt idx="696">
                  <c:v>7.3559791846961637</c:v>
                </c:pt>
                <c:pt idx="697">
                  <c:v>8.9542317547577563E-3</c:v>
                </c:pt>
                <c:pt idx="698">
                  <c:v>1.0933739313771293</c:v>
                </c:pt>
                <c:pt idx="699">
                  <c:v>6.6439088986668811</c:v>
                </c:pt>
                <c:pt idx="700">
                  <c:v>5.5809634607250729</c:v>
                </c:pt>
                <c:pt idx="701">
                  <c:v>0.5653316791720735</c:v>
                </c:pt>
                <c:pt idx="702">
                  <c:v>0.2670392178219505</c:v>
                </c:pt>
                <c:pt idx="703">
                  <c:v>1.739845067489405</c:v>
                </c:pt>
                <c:pt idx="704">
                  <c:v>0.11132353396891947</c:v>
                </c:pt>
                <c:pt idx="705">
                  <c:v>0.17227190719589541</c:v>
                </c:pt>
                <c:pt idx="706">
                  <c:v>0.59971720508888637</c:v>
                </c:pt>
                <c:pt idx="707">
                  <c:v>0.67509674807267572</c:v>
                </c:pt>
                <c:pt idx="708">
                  <c:v>0.32257821303108469</c:v>
                </c:pt>
                <c:pt idx="709">
                  <c:v>2.684097431248289</c:v>
                </c:pt>
                <c:pt idx="710">
                  <c:v>3.6852969122733112</c:v>
                </c:pt>
                <c:pt idx="711">
                  <c:v>2.013223762738475</c:v>
                </c:pt>
                <c:pt idx="712">
                  <c:v>0.79957700891466232</c:v>
                </c:pt>
                <c:pt idx="713">
                  <c:v>6.457551342868193</c:v>
                </c:pt>
                <c:pt idx="714">
                  <c:v>6.2579366850679694</c:v>
                </c:pt>
                <c:pt idx="715">
                  <c:v>0.89060174796069402</c:v>
                </c:pt>
                <c:pt idx="716">
                  <c:v>6.4160921517101704E-2</c:v>
                </c:pt>
                <c:pt idx="717">
                  <c:v>0.60441942101201329</c:v>
                </c:pt>
                <c:pt idx="718">
                  <c:v>0.98765467219364123</c:v>
                </c:pt>
                <c:pt idx="719">
                  <c:v>3.5004633014164739</c:v>
                </c:pt>
                <c:pt idx="720">
                  <c:v>0.23905928165959556</c:v>
                </c:pt>
                <c:pt idx="721">
                  <c:v>0.2306943654932414</c:v>
                </c:pt>
                <c:pt idx="722">
                  <c:v>0.51547091357852537</c:v>
                </c:pt>
                <c:pt idx="723">
                  <c:v>0.85440079916922351</c:v>
                </c:pt>
                <c:pt idx="724">
                  <c:v>3.0982665616074376</c:v>
                </c:pt>
                <c:pt idx="725">
                  <c:v>2.1448584576694865</c:v>
                </c:pt>
                <c:pt idx="726">
                  <c:v>6.1397594453674889E-2</c:v>
                </c:pt>
                <c:pt idx="727">
                  <c:v>2.4057541074756905</c:v>
                </c:pt>
                <c:pt idx="728">
                  <c:v>3.0265861922533492</c:v>
                </c:pt>
                <c:pt idx="729">
                  <c:v>3.4044295470806745</c:v>
                </c:pt>
                <c:pt idx="730">
                  <c:v>0.48605931313527095</c:v>
                </c:pt>
                <c:pt idx="731">
                  <c:v>3.3693038498090008E-2</c:v>
                </c:pt>
                <c:pt idx="732">
                  <c:v>0.35971206531103495</c:v>
                </c:pt>
                <c:pt idx="733">
                  <c:v>8.7556074825381813</c:v>
                </c:pt>
                <c:pt idx="734">
                  <c:v>0.71992760689495894</c:v>
                </c:pt>
                <c:pt idx="735">
                  <c:v>5.412820084882874</c:v>
                </c:pt>
                <c:pt idx="736">
                  <c:v>2.1942390342049531</c:v>
                </c:pt>
                <c:pt idx="737">
                  <c:v>4.4206769651778846</c:v>
                </c:pt>
                <c:pt idx="738">
                  <c:v>1.0292176379173599</c:v>
                </c:pt>
                <c:pt idx="739">
                  <c:v>2.9631405394118451</c:v>
                </c:pt>
                <c:pt idx="740">
                  <c:v>0.50117965762263239</c:v>
                </c:pt>
                <c:pt idx="741">
                  <c:v>5.7284583379586217E-3</c:v>
                </c:pt>
                <c:pt idx="742">
                  <c:v>2.9257781741801265</c:v>
                </c:pt>
                <c:pt idx="743">
                  <c:v>4.2890562346146002</c:v>
                </c:pt>
                <c:pt idx="744">
                  <c:v>0.10371203824673927</c:v>
                </c:pt>
                <c:pt idx="745">
                  <c:v>0.17219136132941265</c:v>
                </c:pt>
                <c:pt idx="746">
                  <c:v>0.51675577728975242</c:v>
                </c:pt>
                <c:pt idx="747">
                  <c:v>5.4092097060304418</c:v>
                </c:pt>
                <c:pt idx="748">
                  <c:v>0.62892825338997782</c:v>
                </c:pt>
                <c:pt idx="749">
                  <c:v>1.425327716166382</c:v>
                </c:pt>
                <c:pt idx="750">
                  <c:v>7.8575774673199934</c:v>
                </c:pt>
                <c:pt idx="751">
                  <c:v>5.6217276336143254</c:v>
                </c:pt>
                <c:pt idx="752">
                  <c:v>1.4371423003361792</c:v>
                </c:pt>
                <c:pt idx="753">
                  <c:v>2.1142788541661455</c:v>
                </c:pt>
                <c:pt idx="754">
                  <c:v>8.0655695929455149</c:v>
                </c:pt>
                <c:pt idx="755">
                  <c:v>2.4172201370016202</c:v>
                </c:pt>
                <c:pt idx="756">
                  <c:v>1.6677728871890456</c:v>
                </c:pt>
                <c:pt idx="757">
                  <c:v>1.5978236602957678</c:v>
                </c:pt>
                <c:pt idx="758">
                  <c:v>8.3700724605426906</c:v>
                </c:pt>
                <c:pt idx="759">
                  <c:v>0.13144621961248515</c:v>
                </c:pt>
                <c:pt idx="760">
                  <c:v>0.40630866220232442</c:v>
                </c:pt>
                <c:pt idx="761">
                  <c:v>0.13503261331518818</c:v>
                </c:pt>
                <c:pt idx="762">
                  <c:v>1.1741844927147946</c:v>
                </c:pt>
                <c:pt idx="763">
                  <c:v>2.4227902960375944</c:v>
                </c:pt>
                <c:pt idx="764">
                  <c:v>4.3945421015619814</c:v>
                </c:pt>
                <c:pt idx="765">
                  <c:v>2.9971165719996788</c:v>
                </c:pt>
                <c:pt idx="766">
                  <c:v>1.0962587804313273</c:v>
                </c:pt>
                <c:pt idx="767">
                  <c:v>6.8454088004989568</c:v>
                </c:pt>
                <c:pt idx="768">
                  <c:v>1.456543901832434</c:v>
                </c:pt>
                <c:pt idx="769">
                  <c:v>1.0723739356866307E-2</c:v>
                </c:pt>
                <c:pt idx="770">
                  <c:v>2.495700949807758</c:v>
                </c:pt>
                <c:pt idx="771">
                  <c:v>2.0013142645207438</c:v>
                </c:pt>
                <c:pt idx="772">
                  <c:v>0.39610617580737983</c:v>
                </c:pt>
                <c:pt idx="773">
                  <c:v>0.72662937431015151</c:v>
                </c:pt>
                <c:pt idx="774">
                  <c:v>0.2055324771128853</c:v>
                </c:pt>
                <c:pt idx="775">
                  <c:v>0.31796959279592418</c:v>
                </c:pt>
                <c:pt idx="776">
                  <c:v>0.75120112676558493</c:v>
                </c:pt>
                <c:pt idx="777">
                  <c:v>3.3305960496338471</c:v>
                </c:pt>
                <c:pt idx="778">
                  <c:v>0.39809731746890786</c:v>
                </c:pt>
                <c:pt idx="779">
                  <c:v>1.5274048384741081</c:v>
                </c:pt>
                <c:pt idx="780">
                  <c:v>4.5253142039562029</c:v>
                </c:pt>
                <c:pt idx="781">
                  <c:v>8.1148021408688997</c:v>
                </c:pt>
                <c:pt idx="782">
                  <c:v>2.3807719043848206</c:v>
                </c:pt>
                <c:pt idx="783">
                  <c:v>18.615839226691484</c:v>
                </c:pt>
                <c:pt idx="784">
                  <c:v>0.19285225452194588</c:v>
                </c:pt>
                <c:pt idx="785">
                  <c:v>0.71967580079782745</c:v>
                </c:pt>
                <c:pt idx="786">
                  <c:v>0.6667560719554273</c:v>
                </c:pt>
                <c:pt idx="787">
                  <c:v>4.9909355761244676</c:v>
                </c:pt>
                <c:pt idx="788">
                  <c:v>4.7363198503145476</c:v>
                </c:pt>
                <c:pt idx="789">
                  <c:v>7.5313050472672707</c:v>
                </c:pt>
                <c:pt idx="790">
                  <c:v>7.4372019859854852</c:v>
                </c:pt>
                <c:pt idx="791">
                  <c:v>2.2958089868769553</c:v>
                </c:pt>
                <c:pt idx="792">
                  <c:v>2.358996352312098</c:v>
                </c:pt>
                <c:pt idx="793">
                  <c:v>0.24187352789905436</c:v>
                </c:pt>
                <c:pt idx="794">
                  <c:v>1.5068465064064931</c:v>
                </c:pt>
                <c:pt idx="795">
                  <c:v>2.2759867397757541</c:v>
                </c:pt>
                <c:pt idx="796">
                  <c:v>9.4045791945037926E-2</c:v>
                </c:pt>
                <c:pt idx="797">
                  <c:v>0.54590569920139975</c:v>
                </c:pt>
                <c:pt idx="798">
                  <c:v>2.0010493744676778E-3</c:v>
                </c:pt>
                <c:pt idx="799">
                  <c:v>6.8178780189260841</c:v>
                </c:pt>
                <c:pt idx="800">
                  <c:v>1.3032694232496529</c:v>
                </c:pt>
                <c:pt idx="801">
                  <c:v>2.7354364389698533</c:v>
                </c:pt>
                <c:pt idx="802">
                  <c:v>2.1777213271436002</c:v>
                </c:pt>
                <c:pt idx="803">
                  <c:v>0.21263107160205014</c:v>
                </c:pt>
                <c:pt idx="804">
                  <c:v>10.590170286986773</c:v>
                </c:pt>
                <c:pt idx="805">
                  <c:v>7.0710810999230986</c:v>
                </c:pt>
                <c:pt idx="806">
                  <c:v>2.1269616954543302</c:v>
                </c:pt>
                <c:pt idx="807">
                  <c:v>0.62671566723853411</c:v>
                </c:pt>
                <c:pt idx="808">
                  <c:v>5.1153679818029124E-2</c:v>
                </c:pt>
                <c:pt idx="809">
                  <c:v>1.716276296133306</c:v>
                </c:pt>
                <c:pt idx="810">
                  <c:v>2.7852935662160136E-3</c:v>
                </c:pt>
                <c:pt idx="811">
                  <c:v>1.0392290275401788</c:v>
                </c:pt>
                <c:pt idx="812">
                  <c:v>1.5434367457685521</c:v>
                </c:pt>
                <c:pt idx="813">
                  <c:v>2.4966143668310004</c:v>
                </c:pt>
                <c:pt idx="814">
                  <c:v>11.273154782009929</c:v>
                </c:pt>
                <c:pt idx="815">
                  <c:v>2.899918492645618E-2</c:v>
                </c:pt>
                <c:pt idx="816">
                  <c:v>1.0841574214192544</c:v>
                </c:pt>
                <c:pt idx="817">
                  <c:v>2.9634554269297242</c:v>
                </c:pt>
                <c:pt idx="818">
                  <c:v>3.314805805998704</c:v>
                </c:pt>
                <c:pt idx="819">
                  <c:v>12.168310214620693</c:v>
                </c:pt>
                <c:pt idx="820">
                  <c:v>1.1670497348528293</c:v>
                </c:pt>
                <c:pt idx="821">
                  <c:v>4.0878725946452281</c:v>
                </c:pt>
                <c:pt idx="822">
                  <c:v>1.1069392713888493</c:v>
                </c:pt>
                <c:pt idx="823">
                  <c:v>5.4241424526916635</c:v>
                </c:pt>
                <c:pt idx="824">
                  <c:v>3.3286946728603857</c:v>
                </c:pt>
                <c:pt idx="825">
                  <c:v>5.0283616918939558</c:v>
                </c:pt>
                <c:pt idx="826">
                  <c:v>0.38211289521106517</c:v>
                </c:pt>
                <c:pt idx="827">
                  <c:v>4.66365232431877</c:v>
                </c:pt>
                <c:pt idx="828">
                  <c:v>1.5655962526255851</c:v>
                </c:pt>
                <c:pt idx="829">
                  <c:v>3.8118839159102063</c:v>
                </c:pt>
                <c:pt idx="830">
                  <c:v>0.164009770714722</c:v>
                </c:pt>
                <c:pt idx="831">
                  <c:v>1.4517551503567969E-2</c:v>
                </c:pt>
                <c:pt idx="832">
                  <c:v>4.8020500414702932E-2</c:v>
                </c:pt>
                <c:pt idx="833">
                  <c:v>6.7999938679138072</c:v>
                </c:pt>
                <c:pt idx="834">
                  <c:v>3.1045600857123601</c:v>
                </c:pt>
                <c:pt idx="835">
                  <c:v>2.9559869065026465</c:v>
                </c:pt>
                <c:pt idx="836">
                  <c:v>1.8092226636250817</c:v>
                </c:pt>
                <c:pt idx="837">
                  <c:v>2.4913244316050465E-3</c:v>
                </c:pt>
                <c:pt idx="838">
                  <c:v>3.2427511606525501</c:v>
                </c:pt>
                <c:pt idx="839">
                  <c:v>0.11494552708666103</c:v>
                </c:pt>
                <c:pt idx="840">
                  <c:v>9.1788660712377845E-2</c:v>
                </c:pt>
                <c:pt idx="841">
                  <c:v>0.68430971542715002</c:v>
                </c:pt>
                <c:pt idx="842">
                  <c:v>1.7264366299889731</c:v>
                </c:pt>
                <c:pt idx="843">
                  <c:v>4.8637313495728449</c:v>
                </c:pt>
                <c:pt idx="844">
                  <c:v>6.4731331119849108E-4</c:v>
                </c:pt>
                <c:pt idx="845">
                  <c:v>4.6067767149976753</c:v>
                </c:pt>
                <c:pt idx="846">
                  <c:v>0.82137837545893455</c:v>
                </c:pt>
                <c:pt idx="847">
                  <c:v>0.66170338627499325</c:v>
                </c:pt>
                <c:pt idx="848">
                  <c:v>2.6189882898418881</c:v>
                </c:pt>
                <c:pt idx="849">
                  <c:v>0.42634426276808435</c:v>
                </c:pt>
                <c:pt idx="850">
                  <c:v>0.8295960725157363</c:v>
                </c:pt>
                <c:pt idx="851">
                  <c:v>2.4871827373888671</c:v>
                </c:pt>
                <c:pt idx="852">
                  <c:v>2.0166652635672202</c:v>
                </c:pt>
                <c:pt idx="853">
                  <c:v>1.7691605014364598</c:v>
                </c:pt>
                <c:pt idx="854">
                  <c:v>0.16344194774311915</c:v>
                </c:pt>
                <c:pt idx="855">
                  <c:v>1.3118189843445269</c:v>
                </c:pt>
                <c:pt idx="856">
                  <c:v>9.7467591943891485E-2</c:v>
                </c:pt>
                <c:pt idx="857">
                  <c:v>0.84405605318097421</c:v>
                </c:pt>
                <c:pt idx="858">
                  <c:v>1.4194201333555521</c:v>
                </c:pt>
                <c:pt idx="859">
                  <c:v>0.83334662090933165</c:v>
                </c:pt>
                <c:pt idx="860">
                  <c:v>4.4641057172603791</c:v>
                </c:pt>
                <c:pt idx="861">
                  <c:v>2.6935985258737203</c:v>
                </c:pt>
                <c:pt idx="862">
                  <c:v>1.4514180036723872</c:v>
                </c:pt>
                <c:pt idx="863">
                  <c:v>4.8449208801622028</c:v>
                </c:pt>
                <c:pt idx="864">
                  <c:v>3.4739954812119267</c:v>
                </c:pt>
                <c:pt idx="865">
                  <c:v>0.15897238502372707</c:v>
                </c:pt>
                <c:pt idx="866">
                  <c:v>2.355636791472528</c:v>
                </c:pt>
                <c:pt idx="867">
                  <c:v>0.28380820494276315</c:v>
                </c:pt>
                <c:pt idx="868">
                  <c:v>3.8259027081436132</c:v>
                </c:pt>
                <c:pt idx="869">
                  <c:v>0.19717331350126865</c:v>
                </c:pt>
                <c:pt idx="870">
                  <c:v>3.634300271610134</c:v>
                </c:pt>
                <c:pt idx="871">
                  <c:v>0.62327445858010111</c:v>
                </c:pt>
                <c:pt idx="872">
                  <c:v>2.3568605064545078</c:v>
                </c:pt>
                <c:pt idx="873">
                  <c:v>1.263052318125272</c:v>
                </c:pt>
                <c:pt idx="874">
                  <c:v>1.5270447809445846</c:v>
                </c:pt>
                <c:pt idx="875">
                  <c:v>1.8660978995487494E-3</c:v>
                </c:pt>
                <c:pt idx="876">
                  <c:v>5.2458319918120306</c:v>
                </c:pt>
                <c:pt idx="877">
                  <c:v>2.83536970509995</c:v>
                </c:pt>
                <c:pt idx="878">
                  <c:v>6.9835554919955278</c:v>
                </c:pt>
                <c:pt idx="879">
                  <c:v>14.749757471680347</c:v>
                </c:pt>
                <c:pt idx="880">
                  <c:v>0.50433517667445815</c:v>
                </c:pt>
                <c:pt idx="881">
                  <c:v>12.315882857940014</c:v>
                </c:pt>
                <c:pt idx="882">
                  <c:v>3.8767286060801185</c:v>
                </c:pt>
                <c:pt idx="883">
                  <c:v>2.1724925597627918</c:v>
                </c:pt>
                <c:pt idx="884">
                  <c:v>0.75579357845197115</c:v>
                </c:pt>
                <c:pt idx="885">
                  <c:v>1.1526211660867678</c:v>
                </c:pt>
                <c:pt idx="886">
                  <c:v>2.2004692250548068</c:v>
                </c:pt>
                <c:pt idx="887">
                  <c:v>0.50680301383380666</c:v>
                </c:pt>
                <c:pt idx="888">
                  <c:v>0.54404034933718326</c:v>
                </c:pt>
                <c:pt idx="889">
                  <c:v>0.41128377057830134</c:v>
                </c:pt>
                <c:pt idx="890">
                  <c:v>2.7628099615537147</c:v>
                </c:pt>
                <c:pt idx="891">
                  <c:v>6.0369785589252842</c:v>
                </c:pt>
                <c:pt idx="892">
                  <c:v>0.16855517286631588</c:v>
                </c:pt>
                <c:pt idx="893">
                  <c:v>0.35555557691138406</c:v>
                </c:pt>
                <c:pt idx="894">
                  <c:v>2.3327395088871938</c:v>
                </c:pt>
                <c:pt idx="895">
                  <c:v>7.6672753646888161</c:v>
                </c:pt>
                <c:pt idx="896">
                  <c:v>0.53597559975621656</c:v>
                </c:pt>
                <c:pt idx="897">
                  <c:v>0.67362504609933271</c:v>
                </c:pt>
                <c:pt idx="898">
                  <c:v>5.7009649592429579</c:v>
                </c:pt>
                <c:pt idx="899">
                  <c:v>2.9537668117133862</c:v>
                </c:pt>
                <c:pt idx="900">
                  <c:v>0.1077451653445187</c:v>
                </c:pt>
                <c:pt idx="901">
                  <c:v>0.41682823342743291</c:v>
                </c:pt>
                <c:pt idx="902">
                  <c:v>8.0309736737961601E-2</c:v>
                </c:pt>
                <c:pt idx="903">
                  <c:v>4.9236099821681751</c:v>
                </c:pt>
                <c:pt idx="904">
                  <c:v>1.3087499211765081</c:v>
                </c:pt>
                <c:pt idx="905">
                  <c:v>0.47895793429314926</c:v>
                </c:pt>
                <c:pt idx="906">
                  <c:v>5.0183562190465807</c:v>
                </c:pt>
                <c:pt idx="907">
                  <c:v>2.6467885364433084</c:v>
                </c:pt>
                <c:pt idx="908">
                  <c:v>1.5422640583205633</c:v>
                </c:pt>
                <c:pt idx="909">
                  <c:v>0.6361923303248338</c:v>
                </c:pt>
                <c:pt idx="910">
                  <c:v>5.4346601541838435</c:v>
                </c:pt>
                <c:pt idx="911">
                  <c:v>0.91416420530331211</c:v>
                </c:pt>
                <c:pt idx="912">
                  <c:v>1.9506426864867641</c:v>
                </c:pt>
                <c:pt idx="913">
                  <c:v>0.56519568092680683</c:v>
                </c:pt>
                <c:pt idx="914">
                  <c:v>2.3265297180699474</c:v>
                </c:pt>
                <c:pt idx="915">
                  <c:v>5.3914366114500325</c:v>
                </c:pt>
                <c:pt idx="916">
                  <c:v>4.0952214129137605</c:v>
                </c:pt>
                <c:pt idx="917">
                  <c:v>12.879623252024874</c:v>
                </c:pt>
                <c:pt idx="918">
                  <c:v>0.40967055646003225</c:v>
                </c:pt>
                <c:pt idx="919">
                  <c:v>1.5788527067308338</c:v>
                </c:pt>
                <c:pt idx="920">
                  <c:v>0.35355356222988121</c:v>
                </c:pt>
                <c:pt idx="921">
                  <c:v>0.95178929698510406</c:v>
                </c:pt>
                <c:pt idx="922">
                  <c:v>1.4988982124854204</c:v>
                </c:pt>
                <c:pt idx="923">
                  <c:v>0.23406240484466101</c:v>
                </c:pt>
                <c:pt idx="924">
                  <c:v>6.3238428288233089E-2</c:v>
                </c:pt>
                <c:pt idx="925">
                  <c:v>0.44552988250684045</c:v>
                </c:pt>
                <c:pt idx="926">
                  <c:v>1.5200372047182227</c:v>
                </c:pt>
                <c:pt idx="927">
                  <c:v>0.50249707593304604</c:v>
                </c:pt>
                <c:pt idx="928">
                  <c:v>2.245082584372784</c:v>
                </c:pt>
                <c:pt idx="929">
                  <c:v>4.1938363845173878</c:v>
                </c:pt>
                <c:pt idx="930">
                  <c:v>2.0463975942414168</c:v>
                </c:pt>
                <c:pt idx="931">
                  <c:v>2.156821054359142</c:v>
                </c:pt>
                <c:pt idx="932">
                  <c:v>1.0934351516875567</c:v>
                </c:pt>
                <c:pt idx="933">
                  <c:v>1.5513745299418327</c:v>
                </c:pt>
                <c:pt idx="934">
                  <c:v>2.1369890261661677</c:v>
                </c:pt>
                <c:pt idx="935">
                  <c:v>7.4243410270034538</c:v>
                </c:pt>
                <c:pt idx="936">
                  <c:v>2.1741667946682428</c:v>
                </c:pt>
                <c:pt idx="937">
                  <c:v>1.1105223882871225</c:v>
                </c:pt>
                <c:pt idx="938">
                  <c:v>3.1631427144429791</c:v>
                </c:pt>
                <c:pt idx="939">
                  <c:v>0.33984251705467872</c:v>
                </c:pt>
                <c:pt idx="940">
                  <c:v>1.7606264595319949</c:v>
                </c:pt>
                <c:pt idx="941">
                  <c:v>1.2275981272694509</c:v>
                </c:pt>
                <c:pt idx="942">
                  <c:v>2.0840017913058695</c:v>
                </c:pt>
                <c:pt idx="943">
                  <c:v>6.0438208001628302E-3</c:v>
                </c:pt>
                <c:pt idx="944">
                  <c:v>0.15614319519594305</c:v>
                </c:pt>
                <c:pt idx="945">
                  <c:v>2.4581417131218899</c:v>
                </c:pt>
                <c:pt idx="946">
                  <c:v>0.10303706424685091</c:v>
                </c:pt>
                <c:pt idx="947">
                  <c:v>0.68272406771907135</c:v>
                </c:pt>
                <c:pt idx="948">
                  <c:v>0.11699820083291357</c:v>
                </c:pt>
                <c:pt idx="949">
                  <c:v>1.2155691747825048</c:v>
                </c:pt>
                <c:pt idx="950">
                  <c:v>0.9197808291626588</c:v>
                </c:pt>
                <c:pt idx="951">
                  <c:v>3.2515513600939085</c:v>
                </c:pt>
                <c:pt idx="952">
                  <c:v>2.9570730202562942E-3</c:v>
                </c:pt>
                <c:pt idx="953">
                  <c:v>9.250277861941349</c:v>
                </c:pt>
                <c:pt idx="954">
                  <c:v>3.1535114339634465</c:v>
                </c:pt>
                <c:pt idx="955">
                  <c:v>0.30511491003415303</c:v>
                </c:pt>
                <c:pt idx="956">
                  <c:v>0.4035499307892092</c:v>
                </c:pt>
                <c:pt idx="957">
                  <c:v>1.321644594778872</c:v>
                </c:pt>
                <c:pt idx="958">
                  <c:v>2.824999095073534</c:v>
                </c:pt>
                <c:pt idx="959">
                  <c:v>1.065114289369546</c:v>
                </c:pt>
                <c:pt idx="960">
                  <c:v>0.18430197783044339</c:v>
                </c:pt>
                <c:pt idx="961">
                  <c:v>0.36064156400043812</c:v>
                </c:pt>
                <c:pt idx="962">
                  <c:v>2.4661045772852237</c:v>
                </c:pt>
                <c:pt idx="963">
                  <c:v>0.41472145121558412</c:v>
                </c:pt>
                <c:pt idx="964">
                  <c:v>1.3396894362040377</c:v>
                </c:pt>
                <c:pt idx="965">
                  <c:v>10.940938053130036</c:v>
                </c:pt>
                <c:pt idx="966">
                  <c:v>1.0357040013190106</c:v>
                </c:pt>
                <c:pt idx="967">
                  <c:v>0.60265702628633178</c:v>
                </c:pt>
                <c:pt idx="968">
                  <c:v>3.8010900485817983E-2</c:v>
                </c:pt>
                <c:pt idx="969">
                  <c:v>0.10677857003457392</c:v>
                </c:pt>
                <c:pt idx="970">
                  <c:v>2.2253255517031274</c:v>
                </c:pt>
                <c:pt idx="971">
                  <c:v>0.84625700479881605</c:v>
                </c:pt>
                <c:pt idx="972">
                  <c:v>2.0485881243206299</c:v>
                </c:pt>
                <c:pt idx="973">
                  <c:v>4.0505063488900372</c:v>
                </c:pt>
                <c:pt idx="974">
                  <c:v>1.0160979827454963</c:v>
                </c:pt>
                <c:pt idx="975">
                  <c:v>2.6272276553873217</c:v>
                </c:pt>
                <c:pt idx="976">
                  <c:v>2.0110474330510941</c:v>
                </c:pt>
                <c:pt idx="977">
                  <c:v>2.4898111427530223</c:v>
                </c:pt>
                <c:pt idx="978">
                  <c:v>6.0654467110498356</c:v>
                </c:pt>
                <c:pt idx="979">
                  <c:v>1.8714081240710985</c:v>
                </c:pt>
                <c:pt idx="980">
                  <c:v>5.3542028901639949</c:v>
                </c:pt>
                <c:pt idx="981">
                  <c:v>1.3203841294308525</c:v>
                </c:pt>
                <c:pt idx="982">
                  <c:v>0.33874847185513357</c:v>
                </c:pt>
                <c:pt idx="983">
                  <c:v>8.5473747844723107</c:v>
                </c:pt>
                <c:pt idx="984">
                  <c:v>2.1558710510712924</c:v>
                </c:pt>
                <c:pt idx="985">
                  <c:v>3.7967576718920615</c:v>
                </c:pt>
                <c:pt idx="986">
                  <c:v>3.1047939651705594</c:v>
                </c:pt>
                <c:pt idx="987">
                  <c:v>1.6057454094819996</c:v>
                </c:pt>
                <c:pt idx="988">
                  <c:v>2.891372792577954</c:v>
                </c:pt>
                <c:pt idx="989">
                  <c:v>1.4115549224770816</c:v>
                </c:pt>
                <c:pt idx="990">
                  <c:v>3.9817872289620221E-2</c:v>
                </c:pt>
                <c:pt idx="991">
                  <c:v>6.9862558027453753E-2</c:v>
                </c:pt>
                <c:pt idx="992">
                  <c:v>2.2236991559050994</c:v>
                </c:pt>
                <c:pt idx="993">
                  <c:v>0.5818164887688515</c:v>
                </c:pt>
                <c:pt idx="994">
                  <c:v>2.3973682515736131E-2</c:v>
                </c:pt>
                <c:pt idx="995">
                  <c:v>0.28337587079007409</c:v>
                </c:pt>
                <c:pt idx="996">
                  <c:v>1.061328008582981</c:v>
                </c:pt>
                <c:pt idx="997">
                  <c:v>5.6152054287022448</c:v>
                </c:pt>
                <c:pt idx="998">
                  <c:v>5.9461346424123231</c:v>
                </c:pt>
                <c:pt idx="999">
                  <c:v>8.9248064057331593E-3</c:v>
                </c:pt>
              </c:numCache>
            </c:numRef>
          </c:xVal>
          <c:yVal>
            <c:numRef>
              <c:f>Sheet2!$D$1:$D$1000</c:f>
              <c:numCache>
                <c:formatCode>General</c:formatCode>
                <c:ptCount val="1000"/>
                <c:pt idx="0">
                  <c:v>0.73448825928743933</c:v>
                </c:pt>
                <c:pt idx="1">
                  <c:v>0.27460509831180779</c:v>
                </c:pt>
                <c:pt idx="2">
                  <c:v>7.1376502121203149</c:v>
                </c:pt>
                <c:pt idx="3">
                  <c:v>4.2550511852425572</c:v>
                </c:pt>
                <c:pt idx="4">
                  <c:v>3.5146115717107627</c:v>
                </c:pt>
                <c:pt idx="5">
                  <c:v>10.971146251172293</c:v>
                </c:pt>
                <c:pt idx="6">
                  <c:v>10.584433041066646</c:v>
                </c:pt>
                <c:pt idx="7">
                  <c:v>1.8697438578618164</c:v>
                </c:pt>
                <c:pt idx="8">
                  <c:v>5.7131128887374665</c:v>
                </c:pt>
                <c:pt idx="9">
                  <c:v>4.394590702625301</c:v>
                </c:pt>
                <c:pt idx="10">
                  <c:v>1.7445323524258214</c:v>
                </c:pt>
                <c:pt idx="11">
                  <c:v>1.5575258857760197</c:v>
                </c:pt>
                <c:pt idx="12">
                  <c:v>18.03970269447661</c:v>
                </c:pt>
                <c:pt idx="13">
                  <c:v>2.0013044455478797</c:v>
                </c:pt>
                <c:pt idx="14">
                  <c:v>1.1454037026932138</c:v>
                </c:pt>
                <c:pt idx="15">
                  <c:v>3.1415407901217538</c:v>
                </c:pt>
                <c:pt idx="16">
                  <c:v>9.1245376901912145</c:v>
                </c:pt>
                <c:pt idx="17">
                  <c:v>2.3533471646395405</c:v>
                </c:pt>
                <c:pt idx="18">
                  <c:v>0.98392623795180834</c:v>
                </c:pt>
                <c:pt idx="19">
                  <c:v>2.7972928448291414</c:v>
                </c:pt>
                <c:pt idx="20">
                  <c:v>0.91193698529403089</c:v>
                </c:pt>
                <c:pt idx="21">
                  <c:v>9.1296309971004987</c:v>
                </c:pt>
                <c:pt idx="22">
                  <c:v>3.1308275801421093E-2</c:v>
                </c:pt>
                <c:pt idx="23">
                  <c:v>0.57338757449903421</c:v>
                </c:pt>
                <c:pt idx="24">
                  <c:v>1.27545270819809</c:v>
                </c:pt>
                <c:pt idx="25">
                  <c:v>1.6791702140588707</c:v>
                </c:pt>
                <c:pt idx="26">
                  <c:v>6.1711195234739975</c:v>
                </c:pt>
                <c:pt idx="27">
                  <c:v>1.7146641886616432</c:v>
                </c:pt>
                <c:pt idx="28">
                  <c:v>7.3896830860575715</c:v>
                </c:pt>
                <c:pt idx="29">
                  <c:v>18.896270317427309</c:v>
                </c:pt>
                <c:pt idx="30">
                  <c:v>0.79181948924013956</c:v>
                </c:pt>
                <c:pt idx="31">
                  <c:v>7.5046487823214587</c:v>
                </c:pt>
                <c:pt idx="32">
                  <c:v>1.3241201464398644</c:v>
                </c:pt>
                <c:pt idx="33">
                  <c:v>1.6414061237122541</c:v>
                </c:pt>
                <c:pt idx="34">
                  <c:v>0.83147540526859931</c:v>
                </c:pt>
                <c:pt idx="35">
                  <c:v>5.9514853219160386</c:v>
                </c:pt>
                <c:pt idx="36">
                  <c:v>0.22942136786947559</c:v>
                </c:pt>
                <c:pt idx="37">
                  <c:v>3.3569844796477328</c:v>
                </c:pt>
                <c:pt idx="38">
                  <c:v>1.4858302447278584</c:v>
                </c:pt>
                <c:pt idx="39">
                  <c:v>6.8441378027177198</c:v>
                </c:pt>
                <c:pt idx="40">
                  <c:v>4.0938834922080787</c:v>
                </c:pt>
                <c:pt idx="41">
                  <c:v>6.600924412832164</c:v>
                </c:pt>
                <c:pt idx="42">
                  <c:v>0.90675034995172998</c:v>
                </c:pt>
                <c:pt idx="43">
                  <c:v>1.9747843256223603</c:v>
                </c:pt>
                <c:pt idx="44">
                  <c:v>4.6453171719892552</c:v>
                </c:pt>
                <c:pt idx="45">
                  <c:v>7.505533617143298</c:v>
                </c:pt>
                <c:pt idx="46">
                  <c:v>1.2666640799656519</c:v>
                </c:pt>
                <c:pt idx="47">
                  <c:v>0.65286466356765849</c:v>
                </c:pt>
                <c:pt idx="48">
                  <c:v>0.28822250084607703</c:v>
                </c:pt>
                <c:pt idx="49">
                  <c:v>4.9571214563438293</c:v>
                </c:pt>
                <c:pt idx="50">
                  <c:v>0.56310048704925042</c:v>
                </c:pt>
                <c:pt idx="51">
                  <c:v>1.2010029920538834</c:v>
                </c:pt>
                <c:pt idx="52">
                  <c:v>8.2583683586889158</c:v>
                </c:pt>
                <c:pt idx="53">
                  <c:v>5.6992721163270446</c:v>
                </c:pt>
                <c:pt idx="54">
                  <c:v>0.64433985406098104</c:v>
                </c:pt>
                <c:pt idx="55">
                  <c:v>2.6879900997726365</c:v>
                </c:pt>
                <c:pt idx="56">
                  <c:v>7.1874819992786936</c:v>
                </c:pt>
                <c:pt idx="57">
                  <c:v>5.5637965961544058</c:v>
                </c:pt>
                <c:pt idx="58">
                  <c:v>3.3585390523075205</c:v>
                </c:pt>
                <c:pt idx="59">
                  <c:v>1.2122247586773054</c:v>
                </c:pt>
                <c:pt idx="60">
                  <c:v>1.0925923496648493</c:v>
                </c:pt>
                <c:pt idx="61">
                  <c:v>3.5806600136328592</c:v>
                </c:pt>
                <c:pt idx="62">
                  <c:v>4.3774175602142051</c:v>
                </c:pt>
                <c:pt idx="63">
                  <c:v>5.8312721725016203</c:v>
                </c:pt>
                <c:pt idx="64">
                  <c:v>1.9469672852686055</c:v>
                </c:pt>
                <c:pt idx="65">
                  <c:v>4.9558142751691729</c:v>
                </c:pt>
                <c:pt idx="66">
                  <c:v>2.5569107211242894</c:v>
                </c:pt>
                <c:pt idx="67">
                  <c:v>1.14772628388137</c:v>
                </c:pt>
                <c:pt idx="68">
                  <c:v>16.770787698091077</c:v>
                </c:pt>
                <c:pt idx="69">
                  <c:v>0.29196269091766858</c:v>
                </c:pt>
                <c:pt idx="70">
                  <c:v>4.41260133759023</c:v>
                </c:pt>
                <c:pt idx="71">
                  <c:v>5.267437637004015</c:v>
                </c:pt>
                <c:pt idx="72">
                  <c:v>3.0539535416739518</c:v>
                </c:pt>
                <c:pt idx="73">
                  <c:v>11.846813893598291</c:v>
                </c:pt>
                <c:pt idx="74">
                  <c:v>27.623250958693681</c:v>
                </c:pt>
                <c:pt idx="75">
                  <c:v>0.22615761773469467</c:v>
                </c:pt>
                <c:pt idx="76">
                  <c:v>3.4273441710227504E-2</c:v>
                </c:pt>
                <c:pt idx="77">
                  <c:v>22.69038508017622</c:v>
                </c:pt>
                <c:pt idx="78">
                  <c:v>16.137456331655144</c:v>
                </c:pt>
                <c:pt idx="79">
                  <c:v>2.0805635076855156</c:v>
                </c:pt>
                <c:pt idx="80">
                  <c:v>15.930674462534032</c:v>
                </c:pt>
                <c:pt idx="81">
                  <c:v>8.5909640241849523</c:v>
                </c:pt>
                <c:pt idx="82">
                  <c:v>1.9717976329223017</c:v>
                </c:pt>
                <c:pt idx="83">
                  <c:v>11.707071931446322</c:v>
                </c:pt>
                <c:pt idx="84">
                  <c:v>8.2268590189033759</c:v>
                </c:pt>
                <c:pt idx="85">
                  <c:v>7.5622469649755288</c:v>
                </c:pt>
                <c:pt idx="86">
                  <c:v>0.19519736049504566</c:v>
                </c:pt>
                <c:pt idx="87">
                  <c:v>3.7704756440086449</c:v>
                </c:pt>
                <c:pt idx="88">
                  <c:v>8.8967395298328485E-3</c:v>
                </c:pt>
                <c:pt idx="89">
                  <c:v>2.9965259214717195</c:v>
                </c:pt>
                <c:pt idx="90">
                  <c:v>4.4920196657446656</c:v>
                </c:pt>
                <c:pt idx="91">
                  <c:v>9.9824928520644534</c:v>
                </c:pt>
                <c:pt idx="92">
                  <c:v>4.615259567741802</c:v>
                </c:pt>
                <c:pt idx="93">
                  <c:v>12.72376489474286</c:v>
                </c:pt>
                <c:pt idx="94">
                  <c:v>3.3028555450540447</c:v>
                </c:pt>
                <c:pt idx="95">
                  <c:v>0.1245427658409668</c:v>
                </c:pt>
                <c:pt idx="96">
                  <c:v>2.1190796566968695</c:v>
                </c:pt>
                <c:pt idx="97">
                  <c:v>2.4319639956153241</c:v>
                </c:pt>
                <c:pt idx="98">
                  <c:v>1.9697672075722514</c:v>
                </c:pt>
                <c:pt idx="99">
                  <c:v>2.477371499306277</c:v>
                </c:pt>
                <c:pt idx="100">
                  <c:v>6.3471881252204199</c:v>
                </c:pt>
                <c:pt idx="101">
                  <c:v>5.7169694384726437</c:v>
                </c:pt>
                <c:pt idx="102">
                  <c:v>6.2460505953555518</c:v>
                </c:pt>
                <c:pt idx="103">
                  <c:v>5.5426911972458106E-3</c:v>
                </c:pt>
                <c:pt idx="104">
                  <c:v>1.179720368474424</c:v>
                </c:pt>
                <c:pt idx="105">
                  <c:v>10.879393777267563</c:v>
                </c:pt>
                <c:pt idx="106">
                  <c:v>6.793614408061952</c:v>
                </c:pt>
                <c:pt idx="107">
                  <c:v>5.119775609494237</c:v>
                </c:pt>
                <c:pt idx="108">
                  <c:v>10.249891588692464</c:v>
                </c:pt>
                <c:pt idx="109">
                  <c:v>8.017302219058358</c:v>
                </c:pt>
                <c:pt idx="110">
                  <c:v>3.764650684439161</c:v>
                </c:pt>
                <c:pt idx="111">
                  <c:v>2.5596183432051225</c:v>
                </c:pt>
                <c:pt idx="112">
                  <c:v>1.9849335993307031</c:v>
                </c:pt>
                <c:pt idx="113">
                  <c:v>0.60326439557905065</c:v>
                </c:pt>
                <c:pt idx="114">
                  <c:v>3.3638200798628564</c:v>
                </c:pt>
                <c:pt idx="115">
                  <c:v>5.9986597242205075</c:v>
                </c:pt>
                <c:pt idx="116">
                  <c:v>6.2796330004685394</c:v>
                </c:pt>
                <c:pt idx="117">
                  <c:v>3.806341114187739</c:v>
                </c:pt>
                <c:pt idx="118">
                  <c:v>0.1829692761929268</c:v>
                </c:pt>
                <c:pt idx="119">
                  <c:v>10.618410873879967</c:v>
                </c:pt>
                <c:pt idx="120">
                  <c:v>16.605819435355336</c:v>
                </c:pt>
                <c:pt idx="121">
                  <c:v>44.362902960684906</c:v>
                </c:pt>
                <c:pt idx="122">
                  <c:v>3.0449305452781026</c:v>
                </c:pt>
                <c:pt idx="123">
                  <c:v>0.51220424783689156</c:v>
                </c:pt>
                <c:pt idx="124">
                  <c:v>3.1612509637782118</c:v>
                </c:pt>
                <c:pt idx="125">
                  <c:v>7.9353696302305412</c:v>
                </c:pt>
                <c:pt idx="126">
                  <c:v>8.1361584620506161E-2</c:v>
                </c:pt>
                <c:pt idx="127">
                  <c:v>1.6491979324271742</c:v>
                </c:pt>
                <c:pt idx="128">
                  <c:v>6.9666799455831896</c:v>
                </c:pt>
                <c:pt idx="129">
                  <c:v>13.680443702735086</c:v>
                </c:pt>
                <c:pt idx="130">
                  <c:v>8.8773587566391005E-2</c:v>
                </c:pt>
                <c:pt idx="131">
                  <c:v>4.8427071207842651</c:v>
                </c:pt>
                <c:pt idx="132">
                  <c:v>3.4565757202131842</c:v>
                </c:pt>
                <c:pt idx="133">
                  <c:v>0.35703276480915458</c:v>
                </c:pt>
                <c:pt idx="134">
                  <c:v>6.3165758622865553</c:v>
                </c:pt>
                <c:pt idx="135">
                  <c:v>5.821070749278516E-2</c:v>
                </c:pt>
                <c:pt idx="136">
                  <c:v>1.890195388296839</c:v>
                </c:pt>
                <c:pt idx="137">
                  <c:v>6.8834255073851995</c:v>
                </c:pt>
                <c:pt idx="138">
                  <c:v>6.9738764683841131E-2</c:v>
                </c:pt>
                <c:pt idx="139">
                  <c:v>0.27471992636195464</c:v>
                </c:pt>
                <c:pt idx="140">
                  <c:v>12.353135151670532</c:v>
                </c:pt>
                <c:pt idx="141">
                  <c:v>34.997745194749655</c:v>
                </c:pt>
                <c:pt idx="142">
                  <c:v>2.0866817847264176</c:v>
                </c:pt>
                <c:pt idx="143">
                  <c:v>30.063852710924699</c:v>
                </c:pt>
                <c:pt idx="144">
                  <c:v>10.84675521777346</c:v>
                </c:pt>
                <c:pt idx="145">
                  <c:v>2.8564867557123286</c:v>
                </c:pt>
                <c:pt idx="146">
                  <c:v>2.4598959255563688</c:v>
                </c:pt>
                <c:pt idx="147">
                  <c:v>1.0214488189668938</c:v>
                </c:pt>
                <c:pt idx="148">
                  <c:v>0.35704082066705023</c:v>
                </c:pt>
                <c:pt idx="149">
                  <c:v>5.6847906532387853</c:v>
                </c:pt>
                <c:pt idx="150">
                  <c:v>1.6753384667720894</c:v>
                </c:pt>
                <c:pt idx="151">
                  <c:v>1.113822420100115</c:v>
                </c:pt>
                <c:pt idx="152">
                  <c:v>2.7461278387517316</c:v>
                </c:pt>
                <c:pt idx="153">
                  <c:v>0.70697860579741389</c:v>
                </c:pt>
                <c:pt idx="154">
                  <c:v>1.9182121539318491</c:v>
                </c:pt>
                <c:pt idx="155">
                  <c:v>2.0481684120472519</c:v>
                </c:pt>
                <c:pt idx="156">
                  <c:v>6.2112373773302583</c:v>
                </c:pt>
                <c:pt idx="157">
                  <c:v>5.6350909307652302</c:v>
                </c:pt>
                <c:pt idx="158">
                  <c:v>4.7940465700799049</c:v>
                </c:pt>
                <c:pt idx="159">
                  <c:v>1.1156139858400085</c:v>
                </c:pt>
                <c:pt idx="160">
                  <c:v>1.596703512380635</c:v>
                </c:pt>
                <c:pt idx="161">
                  <c:v>12.209198333368352</c:v>
                </c:pt>
                <c:pt idx="162">
                  <c:v>4.2695694525807451</c:v>
                </c:pt>
                <c:pt idx="163">
                  <c:v>6.9457274024070514</c:v>
                </c:pt>
                <c:pt idx="164">
                  <c:v>12.339118947083296</c:v>
                </c:pt>
                <c:pt idx="165">
                  <c:v>5.2894240209182417</c:v>
                </c:pt>
                <c:pt idx="166">
                  <c:v>0.12816360158466489</c:v>
                </c:pt>
                <c:pt idx="167">
                  <c:v>5.0604203254576348</c:v>
                </c:pt>
                <c:pt idx="168">
                  <c:v>0.13076821721326332</c:v>
                </c:pt>
                <c:pt idx="169">
                  <c:v>3.6107293520838821</c:v>
                </c:pt>
                <c:pt idx="170">
                  <c:v>2.2113935920317243</c:v>
                </c:pt>
                <c:pt idx="171">
                  <c:v>8.2782539532460753</c:v>
                </c:pt>
                <c:pt idx="172">
                  <c:v>6.1638592330286471E-2</c:v>
                </c:pt>
                <c:pt idx="173">
                  <c:v>1.1549297525790823</c:v>
                </c:pt>
                <c:pt idx="174">
                  <c:v>7.521099684416539</c:v>
                </c:pt>
                <c:pt idx="175">
                  <c:v>6.7294873283227545</c:v>
                </c:pt>
                <c:pt idx="176">
                  <c:v>6.5249731040432852</c:v>
                </c:pt>
                <c:pt idx="177">
                  <c:v>5.0918000508043626</c:v>
                </c:pt>
                <c:pt idx="178">
                  <c:v>3.5933042733025999</c:v>
                </c:pt>
                <c:pt idx="179">
                  <c:v>2.7275097018072074</c:v>
                </c:pt>
                <c:pt idx="180">
                  <c:v>1.54177207252931</c:v>
                </c:pt>
                <c:pt idx="181">
                  <c:v>6.2660742108113876</c:v>
                </c:pt>
                <c:pt idx="182">
                  <c:v>3.1129560755173165</c:v>
                </c:pt>
                <c:pt idx="183">
                  <c:v>1.7560655515112065</c:v>
                </c:pt>
                <c:pt idx="184">
                  <c:v>3.2021808497795563</c:v>
                </c:pt>
                <c:pt idx="185">
                  <c:v>1.3018041623773531</c:v>
                </c:pt>
                <c:pt idx="186">
                  <c:v>6.6969857312922318</c:v>
                </c:pt>
                <c:pt idx="187">
                  <c:v>1.8662958696122907</c:v>
                </c:pt>
                <c:pt idx="188">
                  <c:v>2.1538561966023595</c:v>
                </c:pt>
                <c:pt idx="189">
                  <c:v>7.2212223881770315E-2</c:v>
                </c:pt>
                <c:pt idx="190">
                  <c:v>4.5266129277723604</c:v>
                </c:pt>
                <c:pt idx="191">
                  <c:v>4.2026892475724384</c:v>
                </c:pt>
                <c:pt idx="192">
                  <c:v>3.1089492615814018</c:v>
                </c:pt>
                <c:pt idx="193">
                  <c:v>3.4064979504656305</c:v>
                </c:pt>
                <c:pt idx="194">
                  <c:v>1.7664870706971803</c:v>
                </c:pt>
                <c:pt idx="195">
                  <c:v>6.0641033526834835</c:v>
                </c:pt>
                <c:pt idx="196">
                  <c:v>20.5148050799137</c:v>
                </c:pt>
                <c:pt idx="197">
                  <c:v>1.9970148206586744</c:v>
                </c:pt>
                <c:pt idx="198">
                  <c:v>0.38932751502155416</c:v>
                </c:pt>
                <c:pt idx="199">
                  <c:v>0.68586405187313071</c:v>
                </c:pt>
                <c:pt idx="200">
                  <c:v>1.4210405401547526</c:v>
                </c:pt>
                <c:pt idx="201">
                  <c:v>0.24032462705289259</c:v>
                </c:pt>
                <c:pt idx="202">
                  <c:v>11.542956284407502</c:v>
                </c:pt>
                <c:pt idx="203">
                  <c:v>4.1295181951118476</c:v>
                </c:pt>
                <c:pt idx="204">
                  <c:v>14.367627206324034</c:v>
                </c:pt>
                <c:pt idx="205">
                  <c:v>1.3208552384873209</c:v>
                </c:pt>
                <c:pt idx="206">
                  <c:v>1.7881468586338123</c:v>
                </c:pt>
                <c:pt idx="207">
                  <c:v>11.90064633780522</c:v>
                </c:pt>
                <c:pt idx="208">
                  <c:v>2.5632545690792172</c:v>
                </c:pt>
                <c:pt idx="209">
                  <c:v>2.0367120535626535</c:v>
                </c:pt>
                <c:pt idx="210">
                  <c:v>4.2593365125096927</c:v>
                </c:pt>
                <c:pt idx="211">
                  <c:v>1.1882898447237467</c:v>
                </c:pt>
                <c:pt idx="212">
                  <c:v>1.0875390440701396</c:v>
                </c:pt>
                <c:pt idx="213">
                  <c:v>1.6619950492399389</c:v>
                </c:pt>
                <c:pt idx="214">
                  <c:v>0.34481870185168595</c:v>
                </c:pt>
                <c:pt idx="215">
                  <c:v>0.82096013402323265</c:v>
                </c:pt>
                <c:pt idx="216">
                  <c:v>0.87687450733891015</c:v>
                </c:pt>
                <c:pt idx="217">
                  <c:v>13.743679280466544</c:v>
                </c:pt>
                <c:pt idx="218">
                  <c:v>0.10725053122492881</c:v>
                </c:pt>
                <c:pt idx="219">
                  <c:v>0.15030550507467172</c:v>
                </c:pt>
                <c:pt idx="220">
                  <c:v>10.031461503885684</c:v>
                </c:pt>
                <c:pt idx="221">
                  <c:v>12.44309240523468</c:v>
                </c:pt>
                <c:pt idx="222">
                  <c:v>1.6357213661579597</c:v>
                </c:pt>
                <c:pt idx="223">
                  <c:v>1.9011534487310948</c:v>
                </c:pt>
                <c:pt idx="224">
                  <c:v>0.87699503393958955</c:v>
                </c:pt>
                <c:pt idx="225">
                  <c:v>4.2490886372499546</c:v>
                </c:pt>
                <c:pt idx="226">
                  <c:v>5.2533123936021688</c:v>
                </c:pt>
                <c:pt idx="227">
                  <c:v>1.010083991629696</c:v>
                </c:pt>
                <c:pt idx="228">
                  <c:v>0.89620172059237002</c:v>
                </c:pt>
                <c:pt idx="229">
                  <c:v>3.2023335094058263</c:v>
                </c:pt>
                <c:pt idx="230">
                  <c:v>23.609243780008704</c:v>
                </c:pt>
                <c:pt idx="231">
                  <c:v>5.0763139540982252</c:v>
                </c:pt>
                <c:pt idx="232">
                  <c:v>8.7372746923937044</c:v>
                </c:pt>
                <c:pt idx="233">
                  <c:v>0.15493472396445573</c:v>
                </c:pt>
                <c:pt idx="234">
                  <c:v>0.21559453003919904</c:v>
                </c:pt>
                <c:pt idx="235">
                  <c:v>51.622754098825141</c:v>
                </c:pt>
                <c:pt idx="236">
                  <c:v>8.481106745659563</c:v>
                </c:pt>
                <c:pt idx="237">
                  <c:v>1.4526376530988911</c:v>
                </c:pt>
                <c:pt idx="238">
                  <c:v>1.7156295703863838</c:v>
                </c:pt>
                <c:pt idx="239">
                  <c:v>12.133943541497104</c:v>
                </c:pt>
                <c:pt idx="240">
                  <c:v>2.2474389854593007</c:v>
                </c:pt>
                <c:pt idx="241">
                  <c:v>5.3166944870601274</c:v>
                </c:pt>
                <c:pt idx="242">
                  <c:v>2.5865493043000285</c:v>
                </c:pt>
                <c:pt idx="243">
                  <c:v>2.7224579448893094</c:v>
                </c:pt>
                <c:pt idx="244">
                  <c:v>3.8442369990931811</c:v>
                </c:pt>
                <c:pt idx="245">
                  <c:v>13.466307061623024</c:v>
                </c:pt>
                <c:pt idx="246">
                  <c:v>2.6601067827888727</c:v>
                </c:pt>
                <c:pt idx="247">
                  <c:v>8.0136984049677942</c:v>
                </c:pt>
                <c:pt idx="248">
                  <c:v>1.6208802497560137</c:v>
                </c:pt>
                <c:pt idx="249">
                  <c:v>1.3659951642731181</c:v>
                </c:pt>
                <c:pt idx="250">
                  <c:v>1.4337178935843422</c:v>
                </c:pt>
                <c:pt idx="251">
                  <c:v>0.52759258071830795</c:v>
                </c:pt>
                <c:pt idx="252">
                  <c:v>1.5028492937316122</c:v>
                </c:pt>
                <c:pt idx="253">
                  <c:v>0.31294043283594697</c:v>
                </c:pt>
                <c:pt idx="254">
                  <c:v>4.6996338531109547</c:v>
                </c:pt>
                <c:pt idx="255">
                  <c:v>6.4495278734345245</c:v>
                </c:pt>
                <c:pt idx="256">
                  <c:v>4.4092096027983416</c:v>
                </c:pt>
                <c:pt idx="257">
                  <c:v>30.122586969166917</c:v>
                </c:pt>
                <c:pt idx="258">
                  <c:v>4.6893685184528486</c:v>
                </c:pt>
                <c:pt idx="259">
                  <c:v>0.93705037071843655</c:v>
                </c:pt>
                <c:pt idx="260">
                  <c:v>1.8862138449762149</c:v>
                </c:pt>
                <c:pt idx="261">
                  <c:v>0.49197175462838749</c:v>
                </c:pt>
                <c:pt idx="262">
                  <c:v>12.144376270307259</c:v>
                </c:pt>
                <c:pt idx="263">
                  <c:v>3.1576962426048549</c:v>
                </c:pt>
                <c:pt idx="264">
                  <c:v>4.6035265141418726</c:v>
                </c:pt>
                <c:pt idx="265">
                  <c:v>4.5259914631546678</c:v>
                </c:pt>
                <c:pt idx="266">
                  <c:v>11.292695239049973</c:v>
                </c:pt>
                <c:pt idx="267">
                  <c:v>4.5318714386947789</c:v>
                </c:pt>
                <c:pt idx="268">
                  <c:v>5.3135858326561412</c:v>
                </c:pt>
                <c:pt idx="269">
                  <c:v>1.5935970453816752</c:v>
                </c:pt>
                <c:pt idx="270">
                  <c:v>6.8896569691308294</c:v>
                </c:pt>
                <c:pt idx="271">
                  <c:v>5.5672842771708879</c:v>
                </c:pt>
                <c:pt idx="272">
                  <c:v>2.1657563395856503</c:v>
                </c:pt>
                <c:pt idx="273">
                  <c:v>22.276334008545028</c:v>
                </c:pt>
                <c:pt idx="274">
                  <c:v>1.3342294111794781</c:v>
                </c:pt>
                <c:pt idx="275">
                  <c:v>0.63274875145216702</c:v>
                </c:pt>
                <c:pt idx="276">
                  <c:v>7.4775083833271694</c:v>
                </c:pt>
                <c:pt idx="277">
                  <c:v>0.54225403201587152</c:v>
                </c:pt>
                <c:pt idx="278">
                  <c:v>0.44729895742077608</c:v>
                </c:pt>
                <c:pt idx="279">
                  <c:v>5.7068140190924392</c:v>
                </c:pt>
                <c:pt idx="280">
                  <c:v>1.1960029790689908</c:v>
                </c:pt>
                <c:pt idx="281">
                  <c:v>5.5300540523145436</c:v>
                </c:pt>
                <c:pt idx="282">
                  <c:v>0.78733254017767473</c:v>
                </c:pt>
                <c:pt idx="283">
                  <c:v>1.8046385228120205</c:v>
                </c:pt>
                <c:pt idx="284">
                  <c:v>0.10644308664983335</c:v>
                </c:pt>
                <c:pt idx="285">
                  <c:v>6.225220084212447</c:v>
                </c:pt>
                <c:pt idx="286">
                  <c:v>10.996597267976671</c:v>
                </c:pt>
                <c:pt idx="287">
                  <c:v>10.602376355021068</c:v>
                </c:pt>
                <c:pt idx="288">
                  <c:v>2.6098490730323922</c:v>
                </c:pt>
                <c:pt idx="289">
                  <c:v>5.7136428495803244</c:v>
                </c:pt>
                <c:pt idx="290">
                  <c:v>3.698563469626305</c:v>
                </c:pt>
                <c:pt idx="291">
                  <c:v>0.12716666165363694</c:v>
                </c:pt>
                <c:pt idx="292">
                  <c:v>1.96263065696288</c:v>
                </c:pt>
                <c:pt idx="293">
                  <c:v>15.647886078040788</c:v>
                </c:pt>
                <c:pt idx="294">
                  <c:v>19.945957558851561</c:v>
                </c:pt>
                <c:pt idx="295">
                  <c:v>1.012801458586813</c:v>
                </c:pt>
                <c:pt idx="296">
                  <c:v>0.29301721662614277</c:v>
                </c:pt>
                <c:pt idx="297">
                  <c:v>5.1021338640863121</c:v>
                </c:pt>
                <c:pt idx="298">
                  <c:v>4.6267550422566401</c:v>
                </c:pt>
                <c:pt idx="299">
                  <c:v>13.240840464905183</c:v>
                </c:pt>
                <c:pt idx="300">
                  <c:v>5.1083273112504273</c:v>
                </c:pt>
                <c:pt idx="301">
                  <c:v>3.6343116600960954</c:v>
                </c:pt>
                <c:pt idx="302">
                  <c:v>4.7800281871901795</c:v>
                </c:pt>
                <c:pt idx="303">
                  <c:v>1.7440352582681262</c:v>
                </c:pt>
                <c:pt idx="304">
                  <c:v>4.1513776521960022</c:v>
                </c:pt>
                <c:pt idx="305">
                  <c:v>1.2557111490668253</c:v>
                </c:pt>
                <c:pt idx="306">
                  <c:v>0.40486274217581963</c:v>
                </c:pt>
                <c:pt idx="307">
                  <c:v>4.5998610373122979</c:v>
                </c:pt>
                <c:pt idx="308">
                  <c:v>3.8953760887115632</c:v>
                </c:pt>
                <c:pt idx="309">
                  <c:v>7.4555417989018196</c:v>
                </c:pt>
                <c:pt idx="310">
                  <c:v>0.23133108279922432</c:v>
                </c:pt>
                <c:pt idx="311">
                  <c:v>10.634713111171564</c:v>
                </c:pt>
                <c:pt idx="312">
                  <c:v>6.6152777950492597E-2</c:v>
                </c:pt>
                <c:pt idx="313">
                  <c:v>2.7222795319132178</c:v>
                </c:pt>
                <c:pt idx="314">
                  <c:v>1.6061774282118004</c:v>
                </c:pt>
                <c:pt idx="315">
                  <c:v>34.187053773486028</c:v>
                </c:pt>
                <c:pt idx="316">
                  <c:v>2.8889127572585069</c:v>
                </c:pt>
                <c:pt idx="317">
                  <c:v>9.6605846288412458</c:v>
                </c:pt>
                <c:pt idx="318">
                  <c:v>3.1003478857201658</c:v>
                </c:pt>
                <c:pt idx="319">
                  <c:v>0.57824701137442491</c:v>
                </c:pt>
                <c:pt idx="320">
                  <c:v>2.4466629053397728</c:v>
                </c:pt>
                <c:pt idx="321">
                  <c:v>7.3346486140503284</c:v>
                </c:pt>
                <c:pt idx="322">
                  <c:v>1.7988080085111822</c:v>
                </c:pt>
                <c:pt idx="323">
                  <c:v>3.5323405672469423</c:v>
                </c:pt>
                <c:pt idx="324">
                  <c:v>1.7174625822466165</c:v>
                </c:pt>
                <c:pt idx="325">
                  <c:v>3.2857947564044201</c:v>
                </c:pt>
                <c:pt idx="326">
                  <c:v>11.039385252942292</c:v>
                </c:pt>
                <c:pt idx="327">
                  <c:v>17.483675298524751</c:v>
                </c:pt>
                <c:pt idx="328">
                  <c:v>1.3440057708262766E-2</c:v>
                </c:pt>
                <c:pt idx="329">
                  <c:v>0.61296756544387732</c:v>
                </c:pt>
                <c:pt idx="330">
                  <c:v>5.941241065565869</c:v>
                </c:pt>
                <c:pt idx="331">
                  <c:v>0.73912821219946134</c:v>
                </c:pt>
                <c:pt idx="332">
                  <c:v>15.14803747412034</c:v>
                </c:pt>
                <c:pt idx="333">
                  <c:v>3.2281870531969101</c:v>
                </c:pt>
                <c:pt idx="334">
                  <c:v>1.0853480802557964</c:v>
                </c:pt>
                <c:pt idx="335">
                  <c:v>0.17558006803999204</c:v>
                </c:pt>
                <c:pt idx="336">
                  <c:v>1.152433820812135</c:v>
                </c:pt>
                <c:pt idx="337">
                  <c:v>9.672489975412077</c:v>
                </c:pt>
                <c:pt idx="338">
                  <c:v>8.6104853601242333</c:v>
                </c:pt>
                <c:pt idx="339">
                  <c:v>1.0196345537200315</c:v>
                </c:pt>
                <c:pt idx="340">
                  <c:v>5.990314445970597</c:v>
                </c:pt>
                <c:pt idx="341">
                  <c:v>5.8758341348757472</c:v>
                </c:pt>
                <c:pt idx="342">
                  <c:v>7.2075626695537096</c:v>
                </c:pt>
                <c:pt idx="343">
                  <c:v>1.5418222462119959</c:v>
                </c:pt>
                <c:pt idx="344">
                  <c:v>15.966203698645479</c:v>
                </c:pt>
                <c:pt idx="345">
                  <c:v>12.712451198784823</c:v>
                </c:pt>
                <c:pt idx="346">
                  <c:v>0.34648156803123786</c:v>
                </c:pt>
                <c:pt idx="347">
                  <c:v>3.5004875002370728</c:v>
                </c:pt>
                <c:pt idx="348">
                  <c:v>1.0553579580225567</c:v>
                </c:pt>
                <c:pt idx="349">
                  <c:v>5.6712344218001967</c:v>
                </c:pt>
                <c:pt idx="350">
                  <c:v>7.5880582382379682</c:v>
                </c:pt>
                <c:pt idx="351">
                  <c:v>5.483206213640635</c:v>
                </c:pt>
                <c:pt idx="352">
                  <c:v>8.7339387237889881</c:v>
                </c:pt>
                <c:pt idx="353">
                  <c:v>5.2484853482407683</c:v>
                </c:pt>
                <c:pt idx="354">
                  <c:v>12.796139910563696</c:v>
                </c:pt>
                <c:pt idx="355">
                  <c:v>0.13625091553542601</c:v>
                </c:pt>
                <c:pt idx="356">
                  <c:v>2.0716710288301599</c:v>
                </c:pt>
                <c:pt idx="357">
                  <c:v>1.0280310608292056</c:v>
                </c:pt>
                <c:pt idx="358">
                  <c:v>3.1553219177629712</c:v>
                </c:pt>
                <c:pt idx="359">
                  <c:v>1.9686963245822815</c:v>
                </c:pt>
                <c:pt idx="360">
                  <c:v>4.85636862027539</c:v>
                </c:pt>
                <c:pt idx="361">
                  <c:v>3.1357639926978793</c:v>
                </c:pt>
                <c:pt idx="362">
                  <c:v>4.2278615905377208</c:v>
                </c:pt>
                <c:pt idx="363">
                  <c:v>1.7372113909275377</c:v>
                </c:pt>
                <c:pt idx="364">
                  <c:v>4.4853091348835843</c:v>
                </c:pt>
                <c:pt idx="365">
                  <c:v>0.47561558979939256</c:v>
                </c:pt>
                <c:pt idx="366">
                  <c:v>0.18661601696264785</c:v>
                </c:pt>
                <c:pt idx="367">
                  <c:v>9.6479314647513164</c:v>
                </c:pt>
                <c:pt idx="368">
                  <c:v>0.47573390543395278</c:v>
                </c:pt>
                <c:pt idx="369">
                  <c:v>2.353839215862406</c:v>
                </c:pt>
                <c:pt idx="370">
                  <c:v>3.189444323196402</c:v>
                </c:pt>
                <c:pt idx="371">
                  <c:v>7.2395106204896713</c:v>
                </c:pt>
                <c:pt idx="372">
                  <c:v>0.76279471905264318</c:v>
                </c:pt>
                <c:pt idx="373">
                  <c:v>3.6516387910310382</c:v>
                </c:pt>
                <c:pt idx="374">
                  <c:v>3.5712561636790134</c:v>
                </c:pt>
                <c:pt idx="375">
                  <c:v>2.1419662485654261</c:v>
                </c:pt>
                <c:pt idx="376">
                  <c:v>7.0522982146830415</c:v>
                </c:pt>
                <c:pt idx="377">
                  <c:v>2.0637351857523116</c:v>
                </c:pt>
                <c:pt idx="378">
                  <c:v>0.47902103739509827</c:v>
                </c:pt>
                <c:pt idx="379">
                  <c:v>0.35533186944704043</c:v>
                </c:pt>
                <c:pt idx="380">
                  <c:v>11.576068299889318</c:v>
                </c:pt>
                <c:pt idx="381">
                  <c:v>2.2623680297237643</c:v>
                </c:pt>
                <c:pt idx="382">
                  <c:v>7.8237770059430236</c:v>
                </c:pt>
                <c:pt idx="383">
                  <c:v>1.2923707349332409</c:v>
                </c:pt>
                <c:pt idx="384">
                  <c:v>8.1978771557423791</c:v>
                </c:pt>
                <c:pt idx="385">
                  <c:v>7.4643953475231903</c:v>
                </c:pt>
                <c:pt idx="386">
                  <c:v>3.931119779934793</c:v>
                </c:pt>
                <c:pt idx="387">
                  <c:v>2.1013627184712904</c:v>
                </c:pt>
                <c:pt idx="388">
                  <c:v>2.5302908887743065</c:v>
                </c:pt>
                <c:pt idx="389">
                  <c:v>8.9695327969525245</c:v>
                </c:pt>
                <c:pt idx="390">
                  <c:v>1.216019205644435</c:v>
                </c:pt>
                <c:pt idx="391">
                  <c:v>0.6189424239402328</c:v>
                </c:pt>
                <c:pt idx="392">
                  <c:v>13.866393247860564</c:v>
                </c:pt>
                <c:pt idx="393">
                  <c:v>0.1537603729414454</c:v>
                </c:pt>
                <c:pt idx="394">
                  <c:v>2.639122797081666</c:v>
                </c:pt>
                <c:pt idx="395">
                  <c:v>3.1241166206110469</c:v>
                </c:pt>
                <c:pt idx="396">
                  <c:v>1.1116293789249041</c:v>
                </c:pt>
                <c:pt idx="397">
                  <c:v>1.5117476419213096</c:v>
                </c:pt>
                <c:pt idx="398">
                  <c:v>0.99243865613089799</c:v>
                </c:pt>
                <c:pt idx="399">
                  <c:v>9.7146912838788531</c:v>
                </c:pt>
                <c:pt idx="400">
                  <c:v>1.0842420985063255</c:v>
                </c:pt>
                <c:pt idx="401">
                  <c:v>3.0583671184772019</c:v>
                </c:pt>
                <c:pt idx="402">
                  <c:v>2.4302130250568288</c:v>
                </c:pt>
                <c:pt idx="403">
                  <c:v>1.8112626887341285</c:v>
                </c:pt>
                <c:pt idx="404">
                  <c:v>0.22033406712311593</c:v>
                </c:pt>
                <c:pt idx="405">
                  <c:v>0.84992212282075807</c:v>
                </c:pt>
                <c:pt idx="406">
                  <c:v>4.4722452017653627</c:v>
                </c:pt>
                <c:pt idx="407">
                  <c:v>2.912319060881996E-2</c:v>
                </c:pt>
                <c:pt idx="408">
                  <c:v>13.995289482940123</c:v>
                </c:pt>
                <c:pt idx="409">
                  <c:v>4.3860771635558358</c:v>
                </c:pt>
                <c:pt idx="410">
                  <c:v>17.782897959162995</c:v>
                </c:pt>
                <c:pt idx="411">
                  <c:v>10.256754313524741</c:v>
                </c:pt>
                <c:pt idx="412">
                  <c:v>9.6672277159821896</c:v>
                </c:pt>
                <c:pt idx="413">
                  <c:v>8.2737509103410609</c:v>
                </c:pt>
                <c:pt idx="414">
                  <c:v>2.6944458711702861</c:v>
                </c:pt>
                <c:pt idx="415">
                  <c:v>7.8064355482645968</c:v>
                </c:pt>
                <c:pt idx="416">
                  <c:v>4.9346622395295849</c:v>
                </c:pt>
                <c:pt idx="417">
                  <c:v>4.4990775616580159</c:v>
                </c:pt>
                <c:pt idx="418">
                  <c:v>9.4223627434212425</c:v>
                </c:pt>
                <c:pt idx="419">
                  <c:v>2.0280004688847537</c:v>
                </c:pt>
                <c:pt idx="420">
                  <c:v>0.17107568570860676</c:v>
                </c:pt>
                <c:pt idx="421">
                  <c:v>2.8753733922597728</c:v>
                </c:pt>
                <c:pt idx="422">
                  <c:v>3.7447857374327338</c:v>
                </c:pt>
                <c:pt idx="423">
                  <c:v>2.0917706529289619</c:v>
                </c:pt>
                <c:pt idx="424">
                  <c:v>1.8575310757237262</c:v>
                </c:pt>
                <c:pt idx="425">
                  <c:v>2.361681780454572</c:v>
                </c:pt>
                <c:pt idx="426">
                  <c:v>4.5001911628534703</c:v>
                </c:pt>
                <c:pt idx="427">
                  <c:v>6.4184676445075137</c:v>
                </c:pt>
                <c:pt idx="428">
                  <c:v>6.9741996649593894</c:v>
                </c:pt>
                <c:pt idx="429">
                  <c:v>7.2230548528951655</c:v>
                </c:pt>
                <c:pt idx="430">
                  <c:v>12.729728694670431</c:v>
                </c:pt>
                <c:pt idx="431">
                  <c:v>1.0454284417595412</c:v>
                </c:pt>
                <c:pt idx="432">
                  <c:v>4.871959338353447</c:v>
                </c:pt>
                <c:pt idx="433">
                  <c:v>3.6543099051774881</c:v>
                </c:pt>
                <c:pt idx="434">
                  <c:v>6.442361437691531</c:v>
                </c:pt>
                <c:pt idx="435">
                  <c:v>2.8089907798574814</c:v>
                </c:pt>
                <c:pt idx="436">
                  <c:v>1.7544641835630261</c:v>
                </c:pt>
                <c:pt idx="437">
                  <c:v>20.556634041814547</c:v>
                </c:pt>
                <c:pt idx="438">
                  <c:v>5.5301487826281832</c:v>
                </c:pt>
                <c:pt idx="439">
                  <c:v>5.0104176045614075</c:v>
                </c:pt>
                <c:pt idx="440">
                  <c:v>0.58069672023636354</c:v>
                </c:pt>
                <c:pt idx="441">
                  <c:v>4.3586657655713825</c:v>
                </c:pt>
                <c:pt idx="442">
                  <c:v>1.7201499305266608</c:v>
                </c:pt>
                <c:pt idx="443">
                  <c:v>3.8871575696038736</c:v>
                </c:pt>
                <c:pt idx="444">
                  <c:v>14.390819810445855</c:v>
                </c:pt>
                <c:pt idx="445">
                  <c:v>1.01352647243663</c:v>
                </c:pt>
                <c:pt idx="446">
                  <c:v>1.2212308869777826</c:v>
                </c:pt>
                <c:pt idx="447">
                  <c:v>1.9149153642899264</c:v>
                </c:pt>
                <c:pt idx="448">
                  <c:v>0.40592850738616759</c:v>
                </c:pt>
                <c:pt idx="449">
                  <c:v>14.156270559962326</c:v>
                </c:pt>
                <c:pt idx="450">
                  <c:v>4.5952152163195894</c:v>
                </c:pt>
                <c:pt idx="451">
                  <c:v>5.0000253789371278</c:v>
                </c:pt>
                <c:pt idx="452">
                  <c:v>4.5626428924913931</c:v>
                </c:pt>
                <c:pt idx="453">
                  <c:v>3.04082163107583</c:v>
                </c:pt>
                <c:pt idx="454">
                  <c:v>1.2442560464022199</c:v>
                </c:pt>
                <c:pt idx="455">
                  <c:v>0.48092666817790908</c:v>
                </c:pt>
                <c:pt idx="456">
                  <c:v>2.1228873563174053</c:v>
                </c:pt>
                <c:pt idx="457">
                  <c:v>8.7304059496969231</c:v>
                </c:pt>
                <c:pt idx="458">
                  <c:v>16.13186104088259</c:v>
                </c:pt>
                <c:pt idx="459">
                  <c:v>3.8494502609249679</c:v>
                </c:pt>
                <c:pt idx="460">
                  <c:v>2.1510887818874043</c:v>
                </c:pt>
                <c:pt idx="461">
                  <c:v>3.3381226515387867</c:v>
                </c:pt>
                <c:pt idx="462">
                  <c:v>1.0844411545997676</c:v>
                </c:pt>
                <c:pt idx="463">
                  <c:v>22.552487366279678</c:v>
                </c:pt>
                <c:pt idx="464">
                  <c:v>0.50194291061751195</c:v>
                </c:pt>
                <c:pt idx="465">
                  <c:v>17.585958233641286</c:v>
                </c:pt>
                <c:pt idx="466">
                  <c:v>6.6618808823654057</c:v>
                </c:pt>
                <c:pt idx="467">
                  <c:v>3.6807195299776678</c:v>
                </c:pt>
                <c:pt idx="468">
                  <c:v>6.0477619674571361</c:v>
                </c:pt>
                <c:pt idx="469">
                  <c:v>7.0982939135243086</c:v>
                </c:pt>
                <c:pt idx="470">
                  <c:v>8.2225477105095663</c:v>
                </c:pt>
                <c:pt idx="471">
                  <c:v>2.4850252042515635</c:v>
                </c:pt>
                <c:pt idx="472">
                  <c:v>0.85380371462151228</c:v>
                </c:pt>
                <c:pt idx="473">
                  <c:v>0.39391251094696922</c:v>
                </c:pt>
                <c:pt idx="474">
                  <c:v>1.7536338570667303</c:v>
                </c:pt>
                <c:pt idx="475">
                  <c:v>5.5805907195734736</c:v>
                </c:pt>
                <c:pt idx="476">
                  <c:v>4.6256687110977772</c:v>
                </c:pt>
                <c:pt idx="477">
                  <c:v>6.4928141092661011</c:v>
                </c:pt>
                <c:pt idx="478">
                  <c:v>3.0492667660802697</c:v>
                </c:pt>
                <c:pt idx="479">
                  <c:v>0.36388985435742727</c:v>
                </c:pt>
                <c:pt idx="480">
                  <c:v>0.57440990555528648</c:v>
                </c:pt>
                <c:pt idx="481">
                  <c:v>5.1553009490553876</c:v>
                </c:pt>
                <c:pt idx="482">
                  <c:v>5.8143547233354571</c:v>
                </c:pt>
                <c:pt idx="483">
                  <c:v>2.7163617572923116</c:v>
                </c:pt>
                <c:pt idx="484">
                  <c:v>12.120486757364777</c:v>
                </c:pt>
                <c:pt idx="485">
                  <c:v>6.7618942591017461</c:v>
                </c:pt>
                <c:pt idx="486">
                  <c:v>5.0495946951359834</c:v>
                </c:pt>
                <c:pt idx="487">
                  <c:v>7.1400806538017836</c:v>
                </c:pt>
                <c:pt idx="488">
                  <c:v>1.8029155201328226</c:v>
                </c:pt>
                <c:pt idx="489">
                  <c:v>2.7753399018421131E-2</c:v>
                </c:pt>
                <c:pt idx="490">
                  <c:v>2.0291602852514457</c:v>
                </c:pt>
                <c:pt idx="491">
                  <c:v>1.3085266292450948</c:v>
                </c:pt>
                <c:pt idx="492">
                  <c:v>3.8148034870419751</c:v>
                </c:pt>
                <c:pt idx="493">
                  <c:v>17.956544678485933</c:v>
                </c:pt>
                <c:pt idx="494">
                  <c:v>13.584880211496873</c:v>
                </c:pt>
                <c:pt idx="495">
                  <c:v>1.5511366019285346</c:v>
                </c:pt>
                <c:pt idx="496">
                  <c:v>2.4444806312705678</c:v>
                </c:pt>
                <c:pt idx="497">
                  <c:v>8.155855725090305</c:v>
                </c:pt>
                <c:pt idx="498">
                  <c:v>2.4994625042210243</c:v>
                </c:pt>
                <c:pt idx="499">
                  <c:v>0.10870353093267884</c:v>
                </c:pt>
                <c:pt idx="500">
                  <c:v>5.4492376945203187</c:v>
                </c:pt>
                <c:pt idx="501">
                  <c:v>12.847137695638704</c:v>
                </c:pt>
                <c:pt idx="502">
                  <c:v>8.8783472074296093</c:v>
                </c:pt>
                <c:pt idx="503">
                  <c:v>6.1553737241992028</c:v>
                </c:pt>
                <c:pt idx="504">
                  <c:v>4.1237160327081348</c:v>
                </c:pt>
                <c:pt idx="505">
                  <c:v>0.25260642155256696</c:v>
                </c:pt>
                <c:pt idx="506">
                  <c:v>10.503368430621034</c:v>
                </c:pt>
                <c:pt idx="507">
                  <c:v>15.21140514595994</c:v>
                </c:pt>
                <c:pt idx="508">
                  <c:v>7.1501349598600772</c:v>
                </c:pt>
                <c:pt idx="509">
                  <c:v>18.86257801548669</c:v>
                </c:pt>
                <c:pt idx="510">
                  <c:v>4.4655985933804221</c:v>
                </c:pt>
                <c:pt idx="511">
                  <c:v>0.34061138984628503</c:v>
                </c:pt>
                <c:pt idx="512">
                  <c:v>11.020908011938477</c:v>
                </c:pt>
                <c:pt idx="513">
                  <c:v>1.7987594650622611</c:v>
                </c:pt>
                <c:pt idx="514">
                  <c:v>0.34603561369910651</c:v>
                </c:pt>
                <c:pt idx="515">
                  <c:v>1.2931468829846509</c:v>
                </c:pt>
                <c:pt idx="516">
                  <c:v>5.4450935246755936</c:v>
                </c:pt>
                <c:pt idx="517">
                  <c:v>5.3842136886919452</c:v>
                </c:pt>
                <c:pt idx="518">
                  <c:v>0.56556529034677161</c:v>
                </c:pt>
                <c:pt idx="519">
                  <c:v>6.1719875091822622</c:v>
                </c:pt>
                <c:pt idx="520">
                  <c:v>3.1688664462151328</c:v>
                </c:pt>
                <c:pt idx="521">
                  <c:v>2.3480885711116031</c:v>
                </c:pt>
                <c:pt idx="522">
                  <c:v>5.8632483868839227</c:v>
                </c:pt>
                <c:pt idx="523">
                  <c:v>2.9567467972451169</c:v>
                </c:pt>
                <c:pt idx="524">
                  <c:v>13.622247488230613</c:v>
                </c:pt>
                <c:pt idx="525">
                  <c:v>1.8976331787969229</c:v>
                </c:pt>
                <c:pt idx="526">
                  <c:v>2.2071561077803326</c:v>
                </c:pt>
                <c:pt idx="527">
                  <c:v>9.6270779962441857</c:v>
                </c:pt>
                <c:pt idx="528">
                  <c:v>1.7793693395507497</c:v>
                </c:pt>
                <c:pt idx="529">
                  <c:v>3.4278676379463029</c:v>
                </c:pt>
                <c:pt idx="530">
                  <c:v>2.9362475233420406</c:v>
                </c:pt>
                <c:pt idx="531">
                  <c:v>7.7680261531579511</c:v>
                </c:pt>
                <c:pt idx="532">
                  <c:v>6.1605745208240883</c:v>
                </c:pt>
                <c:pt idx="533">
                  <c:v>1.5634203690110429</c:v>
                </c:pt>
                <c:pt idx="534">
                  <c:v>0.90110539970943693</c:v>
                </c:pt>
                <c:pt idx="535">
                  <c:v>4.1038120446009554</c:v>
                </c:pt>
                <c:pt idx="536">
                  <c:v>13.537603322032037</c:v>
                </c:pt>
                <c:pt idx="537">
                  <c:v>8.6588194638587872</c:v>
                </c:pt>
                <c:pt idx="538">
                  <c:v>11.901067088880787</c:v>
                </c:pt>
                <c:pt idx="539">
                  <c:v>2.8979887224945227</c:v>
                </c:pt>
                <c:pt idx="540">
                  <c:v>11.208229319101594</c:v>
                </c:pt>
                <c:pt idx="541">
                  <c:v>3.5545877132904442</c:v>
                </c:pt>
                <c:pt idx="542">
                  <c:v>1.0956661281217372</c:v>
                </c:pt>
                <c:pt idx="543">
                  <c:v>8.091665027700305</c:v>
                </c:pt>
                <c:pt idx="544">
                  <c:v>3.1784365485257897</c:v>
                </c:pt>
                <c:pt idx="545">
                  <c:v>15.350612490219593</c:v>
                </c:pt>
                <c:pt idx="546">
                  <c:v>0.11765984768397211</c:v>
                </c:pt>
                <c:pt idx="547">
                  <c:v>2.1909109848513069</c:v>
                </c:pt>
                <c:pt idx="548">
                  <c:v>12.499945058599469</c:v>
                </c:pt>
                <c:pt idx="549">
                  <c:v>4.7670477056150046E-2</c:v>
                </c:pt>
                <c:pt idx="550">
                  <c:v>0.39743994249685599</c:v>
                </c:pt>
                <c:pt idx="551">
                  <c:v>1.4341287808266481</c:v>
                </c:pt>
                <c:pt idx="552">
                  <c:v>6.663304980505135</c:v>
                </c:pt>
                <c:pt idx="553">
                  <c:v>0.11269169876342577</c:v>
                </c:pt>
                <c:pt idx="554">
                  <c:v>2.7090394490655783</c:v>
                </c:pt>
                <c:pt idx="555">
                  <c:v>6.7839339656548105</c:v>
                </c:pt>
                <c:pt idx="556">
                  <c:v>17.067040011899543</c:v>
                </c:pt>
                <c:pt idx="557">
                  <c:v>7.612859448345386</c:v>
                </c:pt>
                <c:pt idx="558">
                  <c:v>3.0611820170385409</c:v>
                </c:pt>
                <c:pt idx="559">
                  <c:v>8.3931433575124395</c:v>
                </c:pt>
                <c:pt idx="560">
                  <c:v>0.90709709817397299</c:v>
                </c:pt>
                <c:pt idx="561">
                  <c:v>12.33804307648187</c:v>
                </c:pt>
                <c:pt idx="562">
                  <c:v>10.018008539906564</c:v>
                </c:pt>
                <c:pt idx="563">
                  <c:v>3.6529790365738259</c:v>
                </c:pt>
                <c:pt idx="564">
                  <c:v>5.0176766641060144</c:v>
                </c:pt>
                <c:pt idx="565">
                  <c:v>2.7748128118468953</c:v>
                </c:pt>
                <c:pt idx="566">
                  <c:v>2.6818474394300553</c:v>
                </c:pt>
                <c:pt idx="567">
                  <c:v>4.0109549243298428</c:v>
                </c:pt>
                <c:pt idx="568">
                  <c:v>2.9086139766628181</c:v>
                </c:pt>
                <c:pt idx="569">
                  <c:v>3.3665356646342923</c:v>
                </c:pt>
                <c:pt idx="570">
                  <c:v>0.51160154676392833</c:v>
                </c:pt>
                <c:pt idx="571">
                  <c:v>10.589380851005217</c:v>
                </c:pt>
                <c:pt idx="572">
                  <c:v>5.6855767830861375</c:v>
                </c:pt>
                <c:pt idx="573">
                  <c:v>0.23245257622470633</c:v>
                </c:pt>
                <c:pt idx="574">
                  <c:v>5.101591340316352</c:v>
                </c:pt>
                <c:pt idx="575">
                  <c:v>2.0173246436353143</c:v>
                </c:pt>
                <c:pt idx="576">
                  <c:v>3.0808571142287775</c:v>
                </c:pt>
                <c:pt idx="577">
                  <c:v>1.1050470399035115</c:v>
                </c:pt>
                <c:pt idx="578">
                  <c:v>7.0587089872879805</c:v>
                </c:pt>
                <c:pt idx="579">
                  <c:v>2.4129917124053089</c:v>
                </c:pt>
                <c:pt idx="580">
                  <c:v>5.8492175376661333</c:v>
                </c:pt>
                <c:pt idx="581">
                  <c:v>9.2434465739463789</c:v>
                </c:pt>
                <c:pt idx="582">
                  <c:v>0.62354024703641864</c:v>
                </c:pt>
                <c:pt idx="583">
                  <c:v>2.865569853386801</c:v>
                </c:pt>
                <c:pt idx="584">
                  <c:v>22.458329600474585</c:v>
                </c:pt>
                <c:pt idx="585">
                  <c:v>0.21024709627301807</c:v>
                </c:pt>
                <c:pt idx="586">
                  <c:v>11.256404601237254</c:v>
                </c:pt>
                <c:pt idx="587">
                  <c:v>1.524969733114137</c:v>
                </c:pt>
                <c:pt idx="588">
                  <c:v>0.16889795285975218</c:v>
                </c:pt>
                <c:pt idx="589">
                  <c:v>2.6914640728660357</c:v>
                </c:pt>
                <c:pt idx="590">
                  <c:v>0.88420480493793785</c:v>
                </c:pt>
                <c:pt idx="591">
                  <c:v>3.7846936202046395</c:v>
                </c:pt>
                <c:pt idx="592">
                  <c:v>14.802984164006084</c:v>
                </c:pt>
                <c:pt idx="593">
                  <c:v>32.966893971155102</c:v>
                </c:pt>
                <c:pt idx="594">
                  <c:v>10.654858492089847</c:v>
                </c:pt>
                <c:pt idx="595">
                  <c:v>15.195614363199411</c:v>
                </c:pt>
                <c:pt idx="596">
                  <c:v>5.7564630343393901</c:v>
                </c:pt>
                <c:pt idx="597">
                  <c:v>4.4590108368802657</c:v>
                </c:pt>
                <c:pt idx="598">
                  <c:v>11.863560240331442</c:v>
                </c:pt>
                <c:pt idx="599">
                  <c:v>3.5005820408888291E-2</c:v>
                </c:pt>
                <c:pt idx="600">
                  <c:v>0.77801213147562009</c:v>
                </c:pt>
                <c:pt idx="601">
                  <c:v>3.3638046565152013</c:v>
                </c:pt>
                <c:pt idx="602">
                  <c:v>7.6196590451208266</c:v>
                </c:pt>
                <c:pt idx="603">
                  <c:v>3.0296588978293126</c:v>
                </c:pt>
                <c:pt idx="604">
                  <c:v>0.78523824808138931</c:v>
                </c:pt>
                <c:pt idx="605">
                  <c:v>0.26475228055402689</c:v>
                </c:pt>
                <c:pt idx="606">
                  <c:v>5.6676515225966213</c:v>
                </c:pt>
                <c:pt idx="607">
                  <c:v>3.8867014052297915</c:v>
                </c:pt>
                <c:pt idx="608">
                  <c:v>8.219307863180042E-2</c:v>
                </c:pt>
                <c:pt idx="609">
                  <c:v>0.22900202782695733</c:v>
                </c:pt>
                <c:pt idx="610">
                  <c:v>1.5211095511654813</c:v>
                </c:pt>
                <c:pt idx="611">
                  <c:v>0.79235727930500777</c:v>
                </c:pt>
                <c:pt idx="612">
                  <c:v>0.40965907060977735</c:v>
                </c:pt>
                <c:pt idx="613">
                  <c:v>3.7532098165268195</c:v>
                </c:pt>
                <c:pt idx="614">
                  <c:v>0.94536266550742964</c:v>
                </c:pt>
                <c:pt idx="615">
                  <c:v>1.7864025499389458</c:v>
                </c:pt>
                <c:pt idx="616">
                  <c:v>1.9538606266494423</c:v>
                </c:pt>
                <c:pt idx="617">
                  <c:v>6.116466404873492</c:v>
                </c:pt>
                <c:pt idx="618">
                  <c:v>0.2660906470077895</c:v>
                </c:pt>
                <c:pt idx="619">
                  <c:v>0.6135087979128373</c:v>
                </c:pt>
                <c:pt idx="620">
                  <c:v>5.2877162578542443</c:v>
                </c:pt>
                <c:pt idx="621">
                  <c:v>2.0683531126922956</c:v>
                </c:pt>
                <c:pt idx="622">
                  <c:v>1.2902659002183769</c:v>
                </c:pt>
                <c:pt idx="623">
                  <c:v>8.1864683092208921</c:v>
                </c:pt>
                <c:pt idx="624">
                  <c:v>0.2877737422566875</c:v>
                </c:pt>
                <c:pt idx="625">
                  <c:v>1.6629120062039049</c:v>
                </c:pt>
                <c:pt idx="626">
                  <c:v>2.7262576388181037</c:v>
                </c:pt>
                <c:pt idx="627">
                  <c:v>2.0965021405373614</c:v>
                </c:pt>
                <c:pt idx="628">
                  <c:v>9.4590950162615761E-2</c:v>
                </c:pt>
                <c:pt idx="629">
                  <c:v>1.5261928955929216</c:v>
                </c:pt>
                <c:pt idx="630">
                  <c:v>0.62137049624581908</c:v>
                </c:pt>
                <c:pt idx="631">
                  <c:v>16.693946276039682</c:v>
                </c:pt>
                <c:pt idx="632">
                  <c:v>0.47937847655545718</c:v>
                </c:pt>
                <c:pt idx="633">
                  <c:v>1.7244765716113171</c:v>
                </c:pt>
                <c:pt idx="634">
                  <c:v>0.53811894052802933</c:v>
                </c:pt>
                <c:pt idx="635">
                  <c:v>4.7176470241302226</c:v>
                </c:pt>
                <c:pt idx="636">
                  <c:v>7.3034728942590519</c:v>
                </c:pt>
                <c:pt idx="637">
                  <c:v>2.5767585472557712</c:v>
                </c:pt>
                <c:pt idx="638">
                  <c:v>0.64270907891053963</c:v>
                </c:pt>
                <c:pt idx="639">
                  <c:v>0.12115189386529662</c:v>
                </c:pt>
                <c:pt idx="640">
                  <c:v>14.887972635350245</c:v>
                </c:pt>
                <c:pt idx="641">
                  <c:v>3.8228215435783752E-2</c:v>
                </c:pt>
                <c:pt idx="642">
                  <c:v>1.1966427923230243</c:v>
                </c:pt>
                <c:pt idx="643">
                  <c:v>2.9873637192468054</c:v>
                </c:pt>
                <c:pt idx="644">
                  <c:v>2.0473574939178167</c:v>
                </c:pt>
                <c:pt idx="645">
                  <c:v>3.9328139281874712</c:v>
                </c:pt>
                <c:pt idx="646">
                  <c:v>1.7732652011798473</c:v>
                </c:pt>
                <c:pt idx="647">
                  <c:v>5.6873874644692552</c:v>
                </c:pt>
                <c:pt idx="648">
                  <c:v>10.363111318674807</c:v>
                </c:pt>
                <c:pt idx="649">
                  <c:v>0.82593425105655682</c:v>
                </c:pt>
                <c:pt idx="650">
                  <c:v>3.6326145440826743</c:v>
                </c:pt>
                <c:pt idx="651">
                  <c:v>2.4987864072407104</c:v>
                </c:pt>
                <c:pt idx="652">
                  <c:v>3.6886564739803394</c:v>
                </c:pt>
                <c:pt idx="653">
                  <c:v>0.30950436426881212</c:v>
                </c:pt>
                <c:pt idx="654">
                  <c:v>2.4943995706217299</c:v>
                </c:pt>
                <c:pt idx="655">
                  <c:v>0.60807017731012469</c:v>
                </c:pt>
                <c:pt idx="656">
                  <c:v>14.043178334779729</c:v>
                </c:pt>
                <c:pt idx="657">
                  <c:v>3.9879152052745921</c:v>
                </c:pt>
                <c:pt idx="658">
                  <c:v>7.994058010727878</c:v>
                </c:pt>
                <c:pt idx="659">
                  <c:v>1.6294134013017225</c:v>
                </c:pt>
                <c:pt idx="660">
                  <c:v>4.5849169371679164</c:v>
                </c:pt>
                <c:pt idx="661">
                  <c:v>0.15759888577811737</c:v>
                </c:pt>
                <c:pt idx="662">
                  <c:v>2.5738059477869353</c:v>
                </c:pt>
                <c:pt idx="663">
                  <c:v>9.2790595499174415</c:v>
                </c:pt>
                <c:pt idx="664">
                  <c:v>4.0912731513568623</c:v>
                </c:pt>
                <c:pt idx="665">
                  <c:v>3.2891176185947222</c:v>
                </c:pt>
                <c:pt idx="666">
                  <c:v>9.7539189089457459</c:v>
                </c:pt>
                <c:pt idx="667">
                  <c:v>1.6471147574877434</c:v>
                </c:pt>
                <c:pt idx="668">
                  <c:v>6.0716761180037189</c:v>
                </c:pt>
                <c:pt idx="669">
                  <c:v>1.5033011466629866</c:v>
                </c:pt>
                <c:pt idx="670">
                  <c:v>5.1265812197400731</c:v>
                </c:pt>
                <c:pt idx="671">
                  <c:v>3.251243488319818</c:v>
                </c:pt>
                <c:pt idx="672">
                  <c:v>8.9357587153175011</c:v>
                </c:pt>
                <c:pt idx="673">
                  <c:v>2.0425114973305512</c:v>
                </c:pt>
                <c:pt idx="674">
                  <c:v>0.27261691011130351</c:v>
                </c:pt>
                <c:pt idx="675">
                  <c:v>1.1462320284183249</c:v>
                </c:pt>
                <c:pt idx="676">
                  <c:v>9.0465630611193859</c:v>
                </c:pt>
                <c:pt idx="677">
                  <c:v>2.2837700036003055</c:v>
                </c:pt>
                <c:pt idx="678">
                  <c:v>1.0063613604401986</c:v>
                </c:pt>
                <c:pt idx="679">
                  <c:v>6.7457334010813302E-2</c:v>
                </c:pt>
                <c:pt idx="680">
                  <c:v>0.13177238261064028</c:v>
                </c:pt>
                <c:pt idx="681">
                  <c:v>7.0705060619841777</c:v>
                </c:pt>
                <c:pt idx="682">
                  <c:v>1.2294747187270501</c:v>
                </c:pt>
                <c:pt idx="683">
                  <c:v>2.2965146868601138</c:v>
                </c:pt>
                <c:pt idx="684">
                  <c:v>0.42642966067384092</c:v>
                </c:pt>
                <c:pt idx="685">
                  <c:v>1.8044644845859819</c:v>
                </c:pt>
                <c:pt idx="686">
                  <c:v>4.1893302410734954</c:v>
                </c:pt>
                <c:pt idx="687">
                  <c:v>1.2563319330310159</c:v>
                </c:pt>
                <c:pt idx="688">
                  <c:v>0.1656849711191592</c:v>
                </c:pt>
                <c:pt idx="689">
                  <c:v>13.576944908437884</c:v>
                </c:pt>
                <c:pt idx="690">
                  <c:v>2.4760170418847096</c:v>
                </c:pt>
                <c:pt idx="691">
                  <c:v>5.013074615117608</c:v>
                </c:pt>
                <c:pt idx="692">
                  <c:v>4.6861955408651852</c:v>
                </c:pt>
                <c:pt idx="693">
                  <c:v>2.7214097328261655</c:v>
                </c:pt>
                <c:pt idx="694">
                  <c:v>1.2885334065520988</c:v>
                </c:pt>
                <c:pt idx="695">
                  <c:v>3.9177519031933166</c:v>
                </c:pt>
                <c:pt idx="696">
                  <c:v>6.6854664579725629</c:v>
                </c:pt>
                <c:pt idx="697">
                  <c:v>3.3994919529789209</c:v>
                </c:pt>
                <c:pt idx="698">
                  <c:v>6.0720349208956588</c:v>
                </c:pt>
                <c:pt idx="699">
                  <c:v>2.1279234973908983</c:v>
                </c:pt>
                <c:pt idx="700">
                  <c:v>1.6234679908833938</c:v>
                </c:pt>
                <c:pt idx="701">
                  <c:v>0.86144217222997499</c:v>
                </c:pt>
                <c:pt idx="702">
                  <c:v>6.5443347350618541</c:v>
                </c:pt>
                <c:pt idx="703">
                  <c:v>0.93046991389448563</c:v>
                </c:pt>
                <c:pt idx="704">
                  <c:v>6.0014450800868975</c:v>
                </c:pt>
                <c:pt idx="705">
                  <c:v>12.324535595085354</c:v>
                </c:pt>
                <c:pt idx="706">
                  <c:v>0.90576465425149522</c:v>
                </c:pt>
                <c:pt idx="707">
                  <c:v>0.51923431527843511</c:v>
                </c:pt>
                <c:pt idx="708">
                  <c:v>6.8937344083097116</c:v>
                </c:pt>
                <c:pt idx="709">
                  <c:v>1.3974186675179423</c:v>
                </c:pt>
                <c:pt idx="710">
                  <c:v>3.9846318427987697</c:v>
                </c:pt>
                <c:pt idx="711">
                  <c:v>1.1330987895921099</c:v>
                </c:pt>
                <c:pt idx="712">
                  <c:v>12.382693467169219</c:v>
                </c:pt>
                <c:pt idx="713">
                  <c:v>2.0139539333200238</c:v>
                </c:pt>
                <c:pt idx="714">
                  <c:v>0.4611339562715987</c:v>
                </c:pt>
                <c:pt idx="715">
                  <c:v>0.80890989045678019</c:v>
                </c:pt>
                <c:pt idx="716">
                  <c:v>1.6806732939280211</c:v>
                </c:pt>
                <c:pt idx="717">
                  <c:v>17.140726218603191</c:v>
                </c:pt>
                <c:pt idx="718">
                  <c:v>4.1564453468437873E-2</c:v>
                </c:pt>
                <c:pt idx="719">
                  <c:v>15.230262981693652</c:v>
                </c:pt>
                <c:pt idx="720">
                  <c:v>3.5699674121278679</c:v>
                </c:pt>
                <c:pt idx="721">
                  <c:v>2.8324489854674564</c:v>
                </c:pt>
                <c:pt idx="722">
                  <c:v>1.6373386628717532</c:v>
                </c:pt>
                <c:pt idx="723">
                  <c:v>0.85450209866332738</c:v>
                </c:pt>
                <c:pt idx="724">
                  <c:v>2.4595467749011393</c:v>
                </c:pt>
                <c:pt idx="725">
                  <c:v>7.9804152653857692</c:v>
                </c:pt>
                <c:pt idx="726">
                  <c:v>5.7216123964602819</c:v>
                </c:pt>
                <c:pt idx="727">
                  <c:v>9.4659613141085153</c:v>
                </c:pt>
                <c:pt idx="728">
                  <c:v>0.45023320243625231</c:v>
                </c:pt>
                <c:pt idx="729">
                  <c:v>2.2208944372026904</c:v>
                </c:pt>
                <c:pt idx="730">
                  <c:v>0.11308974083838802</c:v>
                </c:pt>
                <c:pt idx="731">
                  <c:v>4.1258527090998331</c:v>
                </c:pt>
                <c:pt idx="732">
                  <c:v>3.3925692295361367</c:v>
                </c:pt>
                <c:pt idx="733">
                  <c:v>1.6478110033446085</c:v>
                </c:pt>
                <c:pt idx="734">
                  <c:v>16.696106317715433</c:v>
                </c:pt>
                <c:pt idx="735">
                  <c:v>0.41461972399482983</c:v>
                </c:pt>
                <c:pt idx="736">
                  <c:v>2.8949621844160189</c:v>
                </c:pt>
                <c:pt idx="737">
                  <c:v>6.3985553212459934</c:v>
                </c:pt>
                <c:pt idx="738">
                  <c:v>0.6825449653429172</c:v>
                </c:pt>
                <c:pt idx="739">
                  <c:v>6.5260008548992445</c:v>
                </c:pt>
                <c:pt idx="740">
                  <c:v>3.2379530100037055</c:v>
                </c:pt>
                <c:pt idx="741">
                  <c:v>1.0283051661229412</c:v>
                </c:pt>
                <c:pt idx="742">
                  <c:v>22.417109730740123</c:v>
                </c:pt>
                <c:pt idx="743">
                  <c:v>1.4468457969934105</c:v>
                </c:pt>
                <c:pt idx="744">
                  <c:v>9.6043894035611785</c:v>
                </c:pt>
                <c:pt idx="745">
                  <c:v>4.9126304560279195</c:v>
                </c:pt>
                <c:pt idx="746">
                  <c:v>4.691754576869279</c:v>
                </c:pt>
                <c:pt idx="747">
                  <c:v>1.7278361635806472</c:v>
                </c:pt>
                <c:pt idx="748">
                  <c:v>7.1570061008340815</c:v>
                </c:pt>
                <c:pt idx="749">
                  <c:v>3.3267661665165686</c:v>
                </c:pt>
                <c:pt idx="750">
                  <c:v>2.2217612281735342</c:v>
                </c:pt>
                <c:pt idx="751">
                  <c:v>3.1482051796473094</c:v>
                </c:pt>
                <c:pt idx="752">
                  <c:v>13.945765764707151</c:v>
                </c:pt>
                <c:pt idx="753">
                  <c:v>8.5255404088636837</c:v>
                </c:pt>
                <c:pt idx="754">
                  <c:v>9.0552387424899443</c:v>
                </c:pt>
                <c:pt idx="755">
                  <c:v>22.239948375016382</c:v>
                </c:pt>
                <c:pt idx="756">
                  <c:v>0.73633654357693401</c:v>
                </c:pt>
                <c:pt idx="757">
                  <c:v>7.0060522292958538</c:v>
                </c:pt>
                <c:pt idx="758">
                  <c:v>12.971884106354324</c:v>
                </c:pt>
                <c:pt idx="759">
                  <c:v>1.8073935295204628</c:v>
                </c:pt>
                <c:pt idx="760">
                  <c:v>0.77544433145682001</c:v>
                </c:pt>
                <c:pt idx="761">
                  <c:v>6.2308955820675402E-2</c:v>
                </c:pt>
                <c:pt idx="762">
                  <c:v>8.3440817453409579</c:v>
                </c:pt>
                <c:pt idx="763">
                  <c:v>1.198798131522556</c:v>
                </c:pt>
                <c:pt idx="764">
                  <c:v>0.99216208489023439</c:v>
                </c:pt>
                <c:pt idx="765">
                  <c:v>4.392584585491349</c:v>
                </c:pt>
                <c:pt idx="766">
                  <c:v>4.02567479851146</c:v>
                </c:pt>
                <c:pt idx="767">
                  <c:v>19.068169371250079</c:v>
                </c:pt>
                <c:pt idx="768">
                  <c:v>9.0778686550412466</c:v>
                </c:pt>
                <c:pt idx="769">
                  <c:v>36.788305051090987</c:v>
                </c:pt>
                <c:pt idx="770">
                  <c:v>25.812221858369796</c:v>
                </c:pt>
                <c:pt idx="771">
                  <c:v>5.5397247485660479</c:v>
                </c:pt>
                <c:pt idx="772">
                  <c:v>2.1908171830770371</c:v>
                </c:pt>
                <c:pt idx="773">
                  <c:v>15.814423616691236</c:v>
                </c:pt>
                <c:pt idx="774">
                  <c:v>4.5441656225487286</c:v>
                </c:pt>
                <c:pt idx="775">
                  <c:v>0.91147986640875556</c:v>
                </c:pt>
                <c:pt idx="776">
                  <c:v>13.37325051170545</c:v>
                </c:pt>
                <c:pt idx="777">
                  <c:v>2.4126765080328232</c:v>
                </c:pt>
                <c:pt idx="778">
                  <c:v>10.327693576695076</c:v>
                </c:pt>
                <c:pt idx="779">
                  <c:v>3.428271583069721</c:v>
                </c:pt>
                <c:pt idx="780">
                  <c:v>4.3202564255445228</c:v>
                </c:pt>
                <c:pt idx="781">
                  <c:v>2.9132868167881814</c:v>
                </c:pt>
                <c:pt idx="782">
                  <c:v>4.3878227905746101</c:v>
                </c:pt>
                <c:pt idx="783">
                  <c:v>0.60765767567957019</c:v>
                </c:pt>
                <c:pt idx="784">
                  <c:v>2.7416520567816915</c:v>
                </c:pt>
                <c:pt idx="785">
                  <c:v>0.74955813122236914</c:v>
                </c:pt>
                <c:pt idx="786">
                  <c:v>13.903376933571053</c:v>
                </c:pt>
                <c:pt idx="787">
                  <c:v>7.7062914080324934</c:v>
                </c:pt>
                <c:pt idx="788">
                  <c:v>0.22281835079227857</c:v>
                </c:pt>
                <c:pt idx="789">
                  <c:v>0.39374585893096847</c:v>
                </c:pt>
                <c:pt idx="790">
                  <c:v>5.7848314052100627E-2</c:v>
                </c:pt>
                <c:pt idx="791">
                  <c:v>1.0774917766306729</c:v>
                </c:pt>
                <c:pt idx="792">
                  <c:v>9.7977069631164291</c:v>
                </c:pt>
                <c:pt idx="793">
                  <c:v>6.9431313901489683E-2</c:v>
                </c:pt>
                <c:pt idx="794">
                  <c:v>14.30690963746898</c:v>
                </c:pt>
                <c:pt idx="795">
                  <c:v>2.7084762460838343</c:v>
                </c:pt>
                <c:pt idx="796">
                  <c:v>11.189683789032877</c:v>
                </c:pt>
                <c:pt idx="797">
                  <c:v>1.3376606051571582</c:v>
                </c:pt>
                <c:pt idx="798">
                  <c:v>3.2943449155345617</c:v>
                </c:pt>
                <c:pt idx="799">
                  <c:v>15.386953657314915</c:v>
                </c:pt>
                <c:pt idx="800">
                  <c:v>3.1178978327468998E-3</c:v>
                </c:pt>
                <c:pt idx="801">
                  <c:v>2.2189930939334026</c:v>
                </c:pt>
                <c:pt idx="802">
                  <c:v>12.632028061029626</c:v>
                </c:pt>
                <c:pt idx="803">
                  <c:v>2.5897155478825171</c:v>
                </c:pt>
                <c:pt idx="804">
                  <c:v>4.4466465534909378</c:v>
                </c:pt>
                <c:pt idx="805">
                  <c:v>7.6118548426470021</c:v>
                </c:pt>
                <c:pt idx="806">
                  <c:v>11.335215134185123</c:v>
                </c:pt>
                <c:pt idx="807">
                  <c:v>4.4781952527583897</c:v>
                </c:pt>
                <c:pt idx="808">
                  <c:v>8.0366121569171547</c:v>
                </c:pt>
                <c:pt idx="809">
                  <c:v>13.389126383876395</c:v>
                </c:pt>
                <c:pt idx="810">
                  <c:v>0.89475192835591022</c:v>
                </c:pt>
                <c:pt idx="811">
                  <c:v>0.78534872440982917</c:v>
                </c:pt>
                <c:pt idx="812">
                  <c:v>8.7438394767891694</c:v>
                </c:pt>
                <c:pt idx="813">
                  <c:v>5.5667445472255128</c:v>
                </c:pt>
                <c:pt idx="814">
                  <c:v>0.27672291913726321</c:v>
                </c:pt>
                <c:pt idx="815">
                  <c:v>3.6613268915814805</c:v>
                </c:pt>
                <c:pt idx="816">
                  <c:v>6.5347907734776616</c:v>
                </c:pt>
                <c:pt idx="817">
                  <c:v>8.4889691108126328</c:v>
                </c:pt>
                <c:pt idx="818">
                  <c:v>2.2385832199006188</c:v>
                </c:pt>
                <c:pt idx="819">
                  <c:v>0.62198649143990159</c:v>
                </c:pt>
                <c:pt idx="820">
                  <c:v>1.3355408816750542</c:v>
                </c:pt>
                <c:pt idx="821">
                  <c:v>2.9681848019346146</c:v>
                </c:pt>
                <c:pt idx="822">
                  <c:v>6.5647261903646541</c:v>
                </c:pt>
                <c:pt idx="823">
                  <c:v>11.615958449656503</c:v>
                </c:pt>
                <c:pt idx="824">
                  <c:v>12.492395933565803</c:v>
                </c:pt>
                <c:pt idx="825">
                  <c:v>17.388025260532423</c:v>
                </c:pt>
                <c:pt idx="826">
                  <c:v>3.8887001058111673E-2</c:v>
                </c:pt>
                <c:pt idx="827">
                  <c:v>2.4166155654810479</c:v>
                </c:pt>
                <c:pt idx="828">
                  <c:v>7.395999469384968</c:v>
                </c:pt>
                <c:pt idx="829">
                  <c:v>0.53492528593831024</c:v>
                </c:pt>
                <c:pt idx="830">
                  <c:v>7.4438737192348309E-2</c:v>
                </c:pt>
                <c:pt idx="831">
                  <c:v>0.38759096853326125</c:v>
                </c:pt>
                <c:pt idx="832">
                  <c:v>12.646793905154674</c:v>
                </c:pt>
                <c:pt idx="833">
                  <c:v>1.0096437290430966</c:v>
                </c:pt>
                <c:pt idx="834">
                  <c:v>3.3175420008648251</c:v>
                </c:pt>
                <c:pt idx="835">
                  <c:v>1.2044923417060907</c:v>
                </c:pt>
                <c:pt idx="836">
                  <c:v>16.617488379452347</c:v>
                </c:pt>
                <c:pt idx="837">
                  <c:v>0.21817008944681854</c:v>
                </c:pt>
                <c:pt idx="838">
                  <c:v>9.0621791233429366E-2</c:v>
                </c:pt>
                <c:pt idx="839">
                  <c:v>4.8506139664677939</c:v>
                </c:pt>
                <c:pt idx="840">
                  <c:v>31.211496650971704</c:v>
                </c:pt>
                <c:pt idx="841">
                  <c:v>6.2191729478000948</c:v>
                </c:pt>
                <c:pt idx="842">
                  <c:v>1.0370570527279037</c:v>
                </c:pt>
                <c:pt idx="843">
                  <c:v>9.9798593026137681</c:v>
                </c:pt>
                <c:pt idx="844">
                  <c:v>6.319985694401776</c:v>
                </c:pt>
                <c:pt idx="845">
                  <c:v>6.5989572575606594</c:v>
                </c:pt>
                <c:pt idx="846">
                  <c:v>3.4278365636384667</c:v>
                </c:pt>
                <c:pt idx="847">
                  <c:v>6.3823459908959368</c:v>
                </c:pt>
                <c:pt idx="848">
                  <c:v>0.5098448287994175</c:v>
                </c:pt>
                <c:pt idx="849">
                  <c:v>2.7601404741066817</c:v>
                </c:pt>
                <c:pt idx="850">
                  <c:v>2.1780106598810356</c:v>
                </c:pt>
                <c:pt idx="851">
                  <c:v>1.0459645766213095</c:v>
                </c:pt>
                <c:pt idx="852">
                  <c:v>7.0116743974811886</c:v>
                </c:pt>
                <c:pt idx="853">
                  <c:v>17.115444521385733</c:v>
                </c:pt>
                <c:pt idx="854">
                  <c:v>2.3035184416884968</c:v>
                </c:pt>
                <c:pt idx="855">
                  <c:v>2.6186549315090568</c:v>
                </c:pt>
                <c:pt idx="856">
                  <c:v>0.49413003804514077</c:v>
                </c:pt>
                <c:pt idx="857">
                  <c:v>8.3710199762964486</c:v>
                </c:pt>
                <c:pt idx="858">
                  <c:v>5.8595515151109936</c:v>
                </c:pt>
                <c:pt idx="859">
                  <c:v>0.61954567209582123</c:v>
                </c:pt>
                <c:pt idx="860">
                  <c:v>6.2737756260654312</c:v>
                </c:pt>
                <c:pt idx="861">
                  <c:v>0.82928654693684178</c:v>
                </c:pt>
                <c:pt idx="862">
                  <c:v>0.73612324015883801</c:v>
                </c:pt>
                <c:pt idx="863">
                  <c:v>4.772626265614436</c:v>
                </c:pt>
                <c:pt idx="864">
                  <c:v>7.4585526996328894E-2</c:v>
                </c:pt>
                <c:pt idx="865">
                  <c:v>0.40145191411373737</c:v>
                </c:pt>
                <c:pt idx="866">
                  <c:v>15.174792679790347</c:v>
                </c:pt>
                <c:pt idx="867">
                  <c:v>2.196448809988377</c:v>
                </c:pt>
                <c:pt idx="868">
                  <c:v>25.116026710687031</c:v>
                </c:pt>
                <c:pt idx="869">
                  <c:v>12.933014334912748</c:v>
                </c:pt>
                <c:pt idx="870">
                  <c:v>3.3374428232441771</c:v>
                </c:pt>
                <c:pt idx="871">
                  <c:v>7.2350176875045911</c:v>
                </c:pt>
                <c:pt idx="872">
                  <c:v>1.9773510595370785</c:v>
                </c:pt>
                <c:pt idx="873">
                  <c:v>3.1739691811390403</c:v>
                </c:pt>
                <c:pt idx="874">
                  <c:v>1.2502711503633424</c:v>
                </c:pt>
                <c:pt idx="875">
                  <c:v>0.37099920102195771</c:v>
                </c:pt>
                <c:pt idx="876">
                  <c:v>21.675072974787938</c:v>
                </c:pt>
                <c:pt idx="877">
                  <c:v>5.4096706584438525</c:v>
                </c:pt>
                <c:pt idx="878">
                  <c:v>3.096400792952239</c:v>
                </c:pt>
                <c:pt idx="879">
                  <c:v>5.4951900415113109</c:v>
                </c:pt>
                <c:pt idx="880">
                  <c:v>1.1809880918127056</c:v>
                </c:pt>
                <c:pt idx="881">
                  <c:v>3.9209573866843943</c:v>
                </c:pt>
                <c:pt idx="882">
                  <c:v>0.82673962426978354</c:v>
                </c:pt>
                <c:pt idx="883">
                  <c:v>3.3638175254684342</c:v>
                </c:pt>
                <c:pt idx="884">
                  <c:v>12.183000598589633</c:v>
                </c:pt>
                <c:pt idx="885">
                  <c:v>2.2120439568481576</c:v>
                </c:pt>
                <c:pt idx="886">
                  <c:v>0.44085939535023022</c:v>
                </c:pt>
                <c:pt idx="887">
                  <c:v>2.2263667943371752</c:v>
                </c:pt>
                <c:pt idx="888">
                  <c:v>5.6531000854184619</c:v>
                </c:pt>
                <c:pt idx="889">
                  <c:v>5.9403267757582032</c:v>
                </c:pt>
                <c:pt idx="890">
                  <c:v>1.3349644181494216</c:v>
                </c:pt>
                <c:pt idx="891">
                  <c:v>7.9838716852289782</c:v>
                </c:pt>
                <c:pt idx="892">
                  <c:v>0.35792927793168638</c:v>
                </c:pt>
                <c:pt idx="893">
                  <c:v>8.4070208672871196</c:v>
                </c:pt>
                <c:pt idx="894">
                  <c:v>18.086290766720857</c:v>
                </c:pt>
                <c:pt idx="895">
                  <c:v>15.151531943196559</c:v>
                </c:pt>
                <c:pt idx="896">
                  <c:v>4.4625848049474062</c:v>
                </c:pt>
                <c:pt idx="897">
                  <c:v>0.90412227380009069</c:v>
                </c:pt>
                <c:pt idx="898">
                  <c:v>2.5138637752089021</c:v>
                </c:pt>
                <c:pt idx="899">
                  <c:v>22.551402763779812</c:v>
                </c:pt>
                <c:pt idx="900">
                  <c:v>2.565550447548036</c:v>
                </c:pt>
                <c:pt idx="901">
                  <c:v>12.795141682175686</c:v>
                </c:pt>
                <c:pt idx="902">
                  <c:v>7.9353640162906647</c:v>
                </c:pt>
                <c:pt idx="903">
                  <c:v>1.71641475147098</c:v>
                </c:pt>
                <c:pt idx="904">
                  <c:v>6.2375029513296596</c:v>
                </c:pt>
                <c:pt idx="905">
                  <c:v>1.4981319575766037</c:v>
                </c:pt>
                <c:pt idx="906">
                  <c:v>4.3225636724380916</c:v>
                </c:pt>
                <c:pt idx="907">
                  <c:v>0.58545867802751772</c:v>
                </c:pt>
                <c:pt idx="908">
                  <c:v>1.8537968330511094</c:v>
                </c:pt>
                <c:pt idx="909">
                  <c:v>16.462685180948469</c:v>
                </c:pt>
                <c:pt idx="910">
                  <c:v>3.4329228045573741</c:v>
                </c:pt>
                <c:pt idx="911">
                  <c:v>2.9527547293038774</c:v>
                </c:pt>
                <c:pt idx="912">
                  <c:v>5.8953158276881314</c:v>
                </c:pt>
                <c:pt idx="913">
                  <c:v>0.81156969186156247</c:v>
                </c:pt>
                <c:pt idx="914">
                  <c:v>0.53712114697875224</c:v>
                </c:pt>
                <c:pt idx="915">
                  <c:v>2.7929250491942978</c:v>
                </c:pt>
                <c:pt idx="916">
                  <c:v>2.1847501369291962</c:v>
                </c:pt>
                <c:pt idx="917">
                  <c:v>7.2115528595237333</c:v>
                </c:pt>
                <c:pt idx="918">
                  <c:v>16.198870389083233</c:v>
                </c:pt>
                <c:pt idx="919">
                  <c:v>9.7716828092506312</c:v>
                </c:pt>
                <c:pt idx="920">
                  <c:v>0.55213744465568904</c:v>
                </c:pt>
                <c:pt idx="921">
                  <c:v>0.87495005883634236</c:v>
                </c:pt>
                <c:pt idx="922">
                  <c:v>1.3008534366733162</c:v>
                </c:pt>
                <c:pt idx="923">
                  <c:v>0.5178381774368277</c:v>
                </c:pt>
                <c:pt idx="924">
                  <c:v>4.466988520455816</c:v>
                </c:pt>
                <c:pt idx="925">
                  <c:v>8.4152760146482528</c:v>
                </c:pt>
                <c:pt idx="926">
                  <c:v>0.82296566957243455</c:v>
                </c:pt>
                <c:pt idx="927">
                  <c:v>3.8560444578781237</c:v>
                </c:pt>
                <c:pt idx="928">
                  <c:v>9.6783041680489816</c:v>
                </c:pt>
                <c:pt idx="929">
                  <c:v>14.325718659465561</c:v>
                </c:pt>
                <c:pt idx="930">
                  <c:v>20.608410945645019</c:v>
                </c:pt>
                <c:pt idx="931">
                  <c:v>8.3248106198598428</c:v>
                </c:pt>
                <c:pt idx="932">
                  <c:v>10.120202623424348</c:v>
                </c:pt>
                <c:pt idx="933">
                  <c:v>0.36949470286795782</c:v>
                </c:pt>
                <c:pt idx="934">
                  <c:v>0.58632124877813907</c:v>
                </c:pt>
                <c:pt idx="935">
                  <c:v>2.6675554303624054</c:v>
                </c:pt>
                <c:pt idx="936">
                  <c:v>7.7837990989127714</c:v>
                </c:pt>
                <c:pt idx="937">
                  <c:v>2.6497979345121845</c:v>
                </c:pt>
                <c:pt idx="938">
                  <c:v>0.49330266261747791</c:v>
                </c:pt>
                <c:pt idx="939">
                  <c:v>14.917860975812484</c:v>
                </c:pt>
                <c:pt idx="940">
                  <c:v>1.8212206243101114</c:v>
                </c:pt>
                <c:pt idx="941">
                  <c:v>6.0598180078955881</c:v>
                </c:pt>
                <c:pt idx="942">
                  <c:v>0.43597179925841767</c:v>
                </c:pt>
                <c:pt idx="943">
                  <c:v>0.2309701501779699</c:v>
                </c:pt>
                <c:pt idx="944">
                  <c:v>6.0227861042225737</c:v>
                </c:pt>
                <c:pt idx="945">
                  <c:v>5.4205596063809125</c:v>
                </c:pt>
                <c:pt idx="946">
                  <c:v>1.1322821275056505</c:v>
                </c:pt>
                <c:pt idx="947">
                  <c:v>1.0465885023539143</c:v>
                </c:pt>
                <c:pt idx="948">
                  <c:v>0.72437321625889606</c:v>
                </c:pt>
                <c:pt idx="949">
                  <c:v>16.195456407709983</c:v>
                </c:pt>
                <c:pt idx="950">
                  <c:v>0.72664294593521062</c:v>
                </c:pt>
                <c:pt idx="951">
                  <c:v>1.8489882062781171</c:v>
                </c:pt>
                <c:pt idx="952">
                  <c:v>0.21449349030913023</c:v>
                </c:pt>
                <c:pt idx="953">
                  <c:v>3.3127648742698899</c:v>
                </c:pt>
                <c:pt idx="954">
                  <c:v>4.3026857759412795</c:v>
                </c:pt>
                <c:pt idx="955">
                  <c:v>7.2245051737335135</c:v>
                </c:pt>
                <c:pt idx="956">
                  <c:v>8.2582946537541027</c:v>
                </c:pt>
                <c:pt idx="957">
                  <c:v>2.7202645356633424</c:v>
                </c:pt>
                <c:pt idx="958">
                  <c:v>25.300830831635977</c:v>
                </c:pt>
                <c:pt idx="959">
                  <c:v>13.319692458239036</c:v>
                </c:pt>
                <c:pt idx="960">
                  <c:v>9.0813028860871654</c:v>
                </c:pt>
                <c:pt idx="961">
                  <c:v>4.2633567497157987</c:v>
                </c:pt>
                <c:pt idx="962">
                  <c:v>1.7897837019968219</c:v>
                </c:pt>
                <c:pt idx="963">
                  <c:v>5.6542942592440966</c:v>
                </c:pt>
                <c:pt idx="964">
                  <c:v>8.5175343352414723E-2</c:v>
                </c:pt>
                <c:pt idx="965">
                  <c:v>1.7237853667127578</c:v>
                </c:pt>
                <c:pt idx="966">
                  <c:v>3.4811866131410882</c:v>
                </c:pt>
                <c:pt idx="967">
                  <c:v>15.785197059165785</c:v>
                </c:pt>
                <c:pt idx="968">
                  <c:v>12.543972591547636</c:v>
                </c:pt>
                <c:pt idx="969">
                  <c:v>6.536006941583782</c:v>
                </c:pt>
                <c:pt idx="970">
                  <c:v>0.76992396622805148</c:v>
                </c:pt>
                <c:pt idx="971">
                  <c:v>0.80655690295652183</c:v>
                </c:pt>
                <c:pt idx="972">
                  <c:v>5.2372597754641976</c:v>
                </c:pt>
                <c:pt idx="973">
                  <c:v>2.1209851062978302</c:v>
                </c:pt>
                <c:pt idx="974">
                  <c:v>8.758130337625456</c:v>
                </c:pt>
                <c:pt idx="975">
                  <c:v>3.5117482369931183</c:v>
                </c:pt>
                <c:pt idx="976">
                  <c:v>0.57022935461459601</c:v>
                </c:pt>
                <c:pt idx="977">
                  <c:v>9.5652348912177345</c:v>
                </c:pt>
                <c:pt idx="978">
                  <c:v>3.2412332557642163</c:v>
                </c:pt>
                <c:pt idx="979">
                  <c:v>2.1180141593294195</c:v>
                </c:pt>
                <c:pt idx="980">
                  <c:v>14.86757693988476</c:v>
                </c:pt>
                <c:pt idx="981">
                  <c:v>3.8908250286084398E-2</c:v>
                </c:pt>
                <c:pt idx="982">
                  <c:v>0.73324713916798268</c:v>
                </c:pt>
                <c:pt idx="983">
                  <c:v>1.7916025693682429</c:v>
                </c:pt>
                <c:pt idx="984">
                  <c:v>1.0905727981336852</c:v>
                </c:pt>
                <c:pt idx="985">
                  <c:v>7.5651389282122246</c:v>
                </c:pt>
                <c:pt idx="986">
                  <c:v>13.413064872039254</c:v>
                </c:pt>
                <c:pt idx="987">
                  <c:v>2.8514609928966328</c:v>
                </c:pt>
                <c:pt idx="988">
                  <c:v>12.537255028250236</c:v>
                </c:pt>
                <c:pt idx="989">
                  <c:v>2.7123681992449633</c:v>
                </c:pt>
                <c:pt idx="990">
                  <c:v>2.1738963004239755</c:v>
                </c:pt>
                <c:pt idx="991">
                  <c:v>3.6009563954522097</c:v>
                </c:pt>
                <c:pt idx="992">
                  <c:v>8.1608226181854704</c:v>
                </c:pt>
                <c:pt idx="993">
                  <c:v>1.4563293515156595</c:v>
                </c:pt>
                <c:pt idx="994">
                  <c:v>6.3442307313031083</c:v>
                </c:pt>
                <c:pt idx="995">
                  <c:v>0.93720110635764864</c:v>
                </c:pt>
                <c:pt idx="996">
                  <c:v>2.5083315271472317</c:v>
                </c:pt>
                <c:pt idx="997">
                  <c:v>5.1240485556577511</c:v>
                </c:pt>
                <c:pt idx="998">
                  <c:v>9.3987666851229399</c:v>
                </c:pt>
                <c:pt idx="999">
                  <c:v>2.1853532668636833</c:v>
                </c:pt>
              </c:numCache>
            </c:numRef>
          </c:yVal>
        </c:ser>
        <c:axId val="97111424"/>
        <c:axId val="99649024"/>
      </c:scatterChart>
      <c:valAx>
        <c:axId val="97111424"/>
        <c:scaling>
          <c:orientation val="minMax"/>
          <c:max val="20"/>
        </c:scaling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Duration(years)</a:t>
                </a:r>
              </a:p>
            </c:rich>
          </c:tx>
          <c:layout/>
        </c:title>
        <c:numFmt formatCode="General" sourceLinked="1"/>
        <c:tickLblPos val="nextTo"/>
        <c:crossAx val="99649024"/>
        <c:crosses val="autoZero"/>
        <c:crossBetween val="midCat"/>
      </c:valAx>
      <c:valAx>
        <c:axId val="99649024"/>
        <c:scaling>
          <c:orientation val="minMax"/>
        </c:scaling>
        <c:axPos val="l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Severity</a:t>
                </a:r>
              </a:p>
            </c:rich>
          </c:tx>
          <c:layout/>
        </c:title>
        <c:numFmt formatCode="General" sourceLinked="1"/>
        <c:tickLblPos val="nextTo"/>
        <c:crossAx val="97111424"/>
        <c:crosses val="autoZero"/>
        <c:crossBetween val="midCat"/>
      </c:valAx>
      <c:spPr>
        <a:noFill/>
        <a:ln w="25400">
          <a:noFill/>
        </a:ln>
      </c:spPr>
    </c:plotArea>
    <c:plotVisOnly val="1"/>
  </c:chart>
  <c:spPr>
    <a:ln>
      <a:noFill/>
    </a:ln>
  </c:spPr>
</c:chartSpac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chart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chart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chart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chart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chart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.xml"/></Relationships>
</file>

<file path=xl/chart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3.xml"/></Relationships>
</file>

<file path=xl/chart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4.xml"/></Relationships>
</file>

<file path=xl/chartsheets/sheet1.xml><?xml version="1.0" encoding="utf-8"?>
<chartsheet xmlns="http://schemas.openxmlformats.org/spreadsheetml/2006/main" xmlns:r="http://schemas.openxmlformats.org/officeDocument/2006/relationships">
  <sheetPr codeName="Chart3"/>
  <sheetViews>
    <sheetView zoomScale="120" workbookViewId="0" zoomToFit="1"/>
  </sheetViews>
  <pageMargins left="0.7" right="0.7" top="0.75" bottom="0.75" header="0.3" footer="0.3"/>
  <drawing r:id="rId1"/>
</chartsheet>
</file>

<file path=xl/chartsheets/sheet2.xml><?xml version="1.0" encoding="utf-8"?>
<chartsheet xmlns="http://schemas.openxmlformats.org/spreadsheetml/2006/main" xmlns:r="http://schemas.openxmlformats.org/officeDocument/2006/relationships">
  <sheetPr codeName="Chart4"/>
  <sheetViews>
    <sheetView zoomScale="120" workbookViewId="0" zoomToFit="1"/>
  </sheetViews>
  <pageMargins left="0.7" right="0.7" top="0.75" bottom="0.75" header="0.3" footer="0.3"/>
  <drawing r:id="rId1"/>
</chartsheet>
</file>

<file path=xl/chartsheets/sheet3.xml><?xml version="1.0" encoding="utf-8"?>
<chartsheet xmlns="http://schemas.openxmlformats.org/spreadsheetml/2006/main" xmlns:r="http://schemas.openxmlformats.org/officeDocument/2006/relationships">
  <sheetPr codeName="Chart5"/>
  <sheetViews>
    <sheetView workbookViewId="0"/>
  </sheetViews>
  <pageMargins left="0.7" right="0.7" top="0.75" bottom="0.75" header="0.3" footer="0.3"/>
  <drawing r:id="rId1"/>
</chartsheet>
</file>

<file path=xl/chartsheets/sheet4.xml><?xml version="1.0" encoding="utf-8"?>
<chartsheet xmlns="http://schemas.openxmlformats.org/spreadsheetml/2006/main" xmlns:r="http://schemas.openxmlformats.org/officeDocument/2006/relationships">
  <sheetPr codeName="Chart6"/>
  <sheetViews>
    <sheetView workbookViewId="0"/>
  </sheetViews>
  <pageMargins left="0.7" right="0.7" top="0.75" bottom="0.75" header="0.3" footer="0.3"/>
  <drawing r:id="rId1"/>
</chartsheet>
</file>

<file path=xl/chartsheets/sheet5.xml><?xml version="1.0" encoding="utf-8"?>
<chartsheet xmlns="http://schemas.openxmlformats.org/spreadsheetml/2006/main" xmlns:r="http://schemas.openxmlformats.org/officeDocument/2006/relationships">
  <sheetPr codeName="Chart7"/>
  <sheetViews>
    <sheetView zoomScale="94" workbookViewId="0" zoomToFit="1"/>
  </sheetViews>
  <pageMargins left="0.7" right="0.7" top="0.75" bottom="0.75" header="0.3" footer="0.3"/>
  <drawing r:id="rId1"/>
</chartsheet>
</file>

<file path=xl/chartsheets/sheet6.xml><?xml version="1.0" encoding="utf-8"?>
<chartsheet xmlns="http://schemas.openxmlformats.org/spreadsheetml/2006/main" xmlns:r="http://schemas.openxmlformats.org/officeDocument/2006/relationships">
  <sheetPr codeName="Chart11"/>
  <sheetViews>
    <sheetView workbookViewId="0"/>
  </sheetViews>
  <pageMargins left="0.7" right="0.7" top="0.75" bottom="0.75" header="0.3" footer="0.3"/>
  <drawing r:id="rId1"/>
</chartsheet>
</file>

<file path=xl/chartsheets/sheet7.xml><?xml version="1.0" encoding="utf-8"?>
<chartsheet xmlns="http://schemas.openxmlformats.org/spreadsheetml/2006/main" xmlns:r="http://schemas.openxmlformats.org/officeDocument/2006/relationships">
  <sheetPr codeName="Chart14"/>
  <sheetViews>
    <sheetView zoomScale="94" workbookViewId="0" zoomToFit="1"/>
  </sheetViews>
  <pageMargins left="0.7" right="0.7" top="0.75" bottom="0.75" header="0.3" footer="0.3"/>
  <drawing r:id="rId1"/>
</chartsheet>
</file>

<file path=xl/chartsheets/sheet8.xml><?xml version="1.0" encoding="utf-8"?>
<chartsheet xmlns="http://schemas.openxmlformats.org/spreadsheetml/2006/main" xmlns:r="http://schemas.openxmlformats.org/officeDocument/2006/relationships">
  <sheetPr/>
  <sheetViews>
    <sheetView zoomScale="94" workbookViewId="0" zoomToFit="1"/>
  </sheetViews>
  <pageMargins left="0.7" right="0.7" top="0.75" bottom="0.75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9.xml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0.xml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1.xml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2.xml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3.xml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4.xml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5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171450</xdr:colOff>
      <xdr:row>1</xdr:row>
      <xdr:rowOff>9525</xdr:rowOff>
    </xdr:from>
    <xdr:to>
      <xdr:col>10</xdr:col>
      <xdr:colOff>190500</xdr:colOff>
      <xdr:row>32</xdr:row>
      <xdr:rowOff>104775</xdr:rowOff>
    </xdr:to>
    <xdr:graphicFrame macro="">
      <xdr:nvGraphicFramePr>
        <xdr:cNvPr id="1027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absoluteAnchor>
    <xdr:pos x="0" y="0"/>
    <xdr:ext cx="8638761" cy="6278217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3.xml><?xml version="1.0" encoding="utf-8"?>
<xdr:wsDr xmlns:xdr="http://schemas.openxmlformats.org/drawingml/2006/spreadsheetDrawing" xmlns:a="http://schemas.openxmlformats.org/drawingml/2006/main">
  <xdr:absoluteAnchor>
    <xdr:pos x="0" y="0"/>
    <xdr:ext cx="8640536" cy="6278724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4.xml><?xml version="1.0" encoding="utf-8"?>
<xdr:wsDr xmlns:xdr="http://schemas.openxmlformats.org/drawingml/2006/spreadsheetDrawing" xmlns:a="http://schemas.openxmlformats.org/drawingml/2006/main">
  <xdr:absoluteAnchor>
    <xdr:pos x="0" y="0"/>
    <xdr:ext cx="8640536" cy="6278724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5.xml><?xml version="1.0" encoding="utf-8"?>
<xdr:wsDr xmlns:xdr="http://schemas.openxmlformats.org/drawingml/2006/spreadsheetDrawing" xmlns:a="http://schemas.openxmlformats.org/drawingml/2006/main">
  <xdr:absoluteAnchor>
    <xdr:pos x="27214" y="0"/>
    <xdr:ext cx="8640536" cy="6278724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228600</xdr:colOff>
      <xdr:row>1</xdr:row>
      <xdr:rowOff>85725</xdr:rowOff>
    </xdr:from>
    <xdr:to>
      <xdr:col>11</xdr:col>
      <xdr:colOff>66675</xdr:colOff>
      <xdr:row>26</xdr:row>
      <xdr:rowOff>28575</xdr:rowOff>
    </xdr:to>
    <xdr:graphicFrame macro="">
      <xdr:nvGraphicFramePr>
        <xdr:cNvPr id="4099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219075</xdr:colOff>
      <xdr:row>7</xdr:row>
      <xdr:rowOff>28575</xdr:rowOff>
    </xdr:from>
    <xdr:to>
      <xdr:col>16</xdr:col>
      <xdr:colOff>561975</xdr:colOff>
      <xdr:row>25</xdr:row>
      <xdr:rowOff>152400</xdr:rowOff>
    </xdr:to>
    <xdr:graphicFrame macro="">
      <xdr:nvGraphicFramePr>
        <xdr:cNvPr id="5132" name="Chart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219075</xdr:colOff>
      <xdr:row>26</xdr:row>
      <xdr:rowOff>19050</xdr:rowOff>
    </xdr:from>
    <xdr:to>
      <xdr:col>16</xdr:col>
      <xdr:colOff>571500</xdr:colOff>
      <xdr:row>44</xdr:row>
      <xdr:rowOff>152400</xdr:rowOff>
    </xdr:to>
    <xdr:graphicFrame macro="">
      <xdr:nvGraphicFramePr>
        <xdr:cNvPr id="5133" name="Chart 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22</xdr:row>
      <xdr:rowOff>9525</xdr:rowOff>
    </xdr:from>
    <xdr:to>
      <xdr:col>4</xdr:col>
      <xdr:colOff>666750</xdr:colOff>
      <xdr:row>33</xdr:row>
      <xdr:rowOff>38100</xdr:rowOff>
    </xdr:to>
    <xdr:graphicFrame macro="">
      <xdr:nvGraphicFramePr>
        <xdr:cNvPr id="7184" name="Chart 1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9525</xdr:colOff>
      <xdr:row>10</xdr:row>
      <xdr:rowOff>85725</xdr:rowOff>
    </xdr:from>
    <xdr:to>
      <xdr:col>15</xdr:col>
      <xdr:colOff>333375</xdr:colOff>
      <xdr:row>29</xdr:row>
      <xdr:rowOff>57150</xdr:rowOff>
    </xdr:to>
    <xdr:graphicFrame macro="">
      <xdr:nvGraphicFramePr>
        <xdr:cNvPr id="8202" name="Chart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absoluteAnchor>
    <xdr:pos x="24848" y="-16565"/>
    <xdr:ext cx="8638761" cy="6278217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1.xml><?xml version="1.0" encoding="utf-8"?>
<xdr:wsDr xmlns:xdr="http://schemas.openxmlformats.org/drawingml/2006/spreadsheetDrawing" xmlns:a="http://schemas.openxmlformats.org/drawingml/2006/main">
  <xdr:absoluteAnchor>
    <xdr:pos x="0" y="0"/>
    <xdr:ext cx="8638761" cy="6278217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552450</xdr:colOff>
      <xdr:row>0</xdr:row>
      <xdr:rowOff>447675</xdr:rowOff>
    </xdr:from>
    <xdr:to>
      <xdr:col>22</xdr:col>
      <xdr:colOff>333375</xdr:colOff>
      <xdr:row>36</xdr:row>
      <xdr:rowOff>133350</xdr:rowOff>
    </xdr:to>
    <xdr:graphicFrame macro="">
      <xdr:nvGraphicFramePr>
        <xdr:cNvPr id="11267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absoluteAnchor>
    <xdr:pos x="0" y="0"/>
    <xdr:ext cx="8645071" cy="6286500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4.xml><?xml version="1.0" encoding="utf-8"?>
<xdr:wsDr xmlns:xdr="http://schemas.openxmlformats.org/drawingml/2006/spreadsheetDrawing" xmlns:a="http://schemas.openxmlformats.org/drawingml/2006/main">
  <xdr:absoluteAnchor>
    <xdr:pos x="0" y="0"/>
    <xdr:ext cx="8643056" cy="6288264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Documents%20and%20Settings/matt/Local%20Settings/Temporary%20Internet%20Files/OLK15/1000%20year%20drought%20severity%20table.XLS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Sheet1"/>
    </sheetNames>
    <sheetDataSet>
      <sheetData sheetId="0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7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8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9.x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4"/>
  <dimension ref="A1"/>
  <sheetViews>
    <sheetView workbookViewId="0">
      <selection activeCellId="1" sqref="G1:G65536 A1"/>
    </sheetView>
  </sheetViews>
  <sheetFormatPr defaultColWidth="11.42578125" defaultRowHeight="12.75"/>
  <sheetData/>
  <pageMargins left="0.74791666666666667" right="0.74791666666666667" top="0.98402777777777772" bottom="0.98402777777777772" header="0.51180555555555551" footer="0.51180555555555551"/>
  <pageSetup firstPageNumber="0" orientation="landscape" horizontalDpi="300" verticalDpi="300"/>
  <headerFooter alignWithMargins="0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6"/>
  <dimension ref="A1:W1025"/>
  <sheetViews>
    <sheetView zoomScale="85" zoomScaleNormal="85" workbookViewId="0">
      <pane ySplit="2115" topLeftCell="A855"/>
      <selection activeCell="K7" sqref="K7"/>
      <selection pane="bottomLeft" activeCell="Q888" sqref="Q888"/>
    </sheetView>
  </sheetViews>
  <sheetFormatPr defaultRowHeight="12.75"/>
  <cols>
    <col min="1" max="1" width="12.28515625" customWidth="1"/>
    <col min="5" max="6" width="9.140625" style="1"/>
    <col min="16" max="16" width="12.5703125" customWidth="1"/>
  </cols>
  <sheetData>
    <row r="1" spans="1:23">
      <c r="A1" t="s">
        <v>0</v>
      </c>
      <c r="E1" s="2"/>
      <c r="F1" s="2"/>
      <c r="J1" t="s">
        <v>1</v>
      </c>
      <c r="K1" t="s">
        <v>2</v>
      </c>
    </row>
    <row r="2" spans="1:23">
      <c r="A2" t="s">
        <v>3</v>
      </c>
      <c r="B2" t="s">
        <v>4</v>
      </c>
      <c r="C2" t="s">
        <v>5</v>
      </c>
      <c r="D2" t="s">
        <v>6</v>
      </c>
      <c r="E2" s="2" t="s">
        <v>7</v>
      </c>
      <c r="F2" s="2" t="s">
        <v>8</v>
      </c>
      <c r="G2" t="s">
        <v>9</v>
      </c>
      <c r="H2" t="s">
        <v>10</v>
      </c>
      <c r="I2" t="s">
        <v>11</v>
      </c>
      <c r="J2" t="s">
        <v>12</v>
      </c>
      <c r="K2" t="s">
        <v>13</v>
      </c>
      <c r="L2" t="s">
        <v>14</v>
      </c>
      <c r="M2" t="s">
        <v>9</v>
      </c>
      <c r="Q2" t="s">
        <v>15</v>
      </c>
      <c r="S2" t="s">
        <v>16</v>
      </c>
    </row>
    <row r="3" spans="1:23">
      <c r="A3">
        <v>996</v>
      </c>
      <c r="B3">
        <v>3</v>
      </c>
      <c r="C3">
        <v>3</v>
      </c>
      <c r="D3">
        <v>2.4319999999999999</v>
      </c>
      <c r="E3" s="2">
        <f t="shared" ref="E3:E66" si="0">IF(D3&gt;0,MROUND(D3,0.5),MROUND(D3,-0.5))</f>
        <v>2.5</v>
      </c>
      <c r="F3" s="2">
        <f t="shared" ref="F3:F66" si="1">RANK(D3,$D$3:$D$1011,1)</f>
        <v>899</v>
      </c>
      <c r="G3">
        <v>0.55300000000000005</v>
      </c>
      <c r="H3">
        <v>0.30099999999999999</v>
      </c>
      <c r="I3">
        <v>0.23</v>
      </c>
      <c r="J3">
        <v>0.19700000000000001</v>
      </c>
      <c r="K3">
        <v>9.7000000000000003E-2</v>
      </c>
      <c r="L3">
        <v>-99.998999999999995</v>
      </c>
      <c r="M3">
        <v>-99.998999999999995</v>
      </c>
      <c r="Q3" s="2">
        <f t="shared" ref="Q3:Q66" si="2">$Q$1022+($Q$1021*D3)</f>
        <v>-0.97943630190107978</v>
      </c>
      <c r="T3" s="2">
        <f t="shared" ref="T3:T66" si="3">$T$1025+(Q3*$T$1024)</f>
        <v>204814.53496754737</v>
      </c>
      <c r="W3" s="2">
        <f t="shared" ref="W3:W66" si="4">$T$1025+(Q3*$T$1024)</f>
        <v>204814.53496754737</v>
      </c>
    </row>
    <row r="4" spans="1:23">
      <c r="A4">
        <v>997</v>
      </c>
      <c r="B4">
        <v>4</v>
      </c>
      <c r="C4">
        <v>3</v>
      </c>
      <c r="D4">
        <v>1.399</v>
      </c>
      <c r="E4" s="2">
        <f t="shared" si="0"/>
        <v>1.5</v>
      </c>
      <c r="F4" s="2">
        <f t="shared" si="1"/>
        <v>788</v>
      </c>
      <c r="G4">
        <v>0.14499999999999999</v>
      </c>
      <c r="H4">
        <v>0.30099999999999999</v>
      </c>
      <c r="I4">
        <v>0.23</v>
      </c>
      <c r="J4">
        <v>0.19700000000000001</v>
      </c>
      <c r="K4">
        <v>9.7000000000000003E-2</v>
      </c>
      <c r="L4">
        <v>-99.998999999999995</v>
      </c>
      <c r="M4">
        <v>-99.998999999999995</v>
      </c>
      <c r="Q4" s="2">
        <f t="shared" si="2"/>
        <v>-1.2574156884437542</v>
      </c>
      <c r="T4" s="2">
        <f>$T$1025+(Q4*$T$1024)</f>
        <v>181358.53535229655</v>
      </c>
      <c r="W4" s="2">
        <f t="shared" si="4"/>
        <v>181358.53535229655</v>
      </c>
    </row>
    <row r="5" spans="1:23">
      <c r="A5">
        <v>998</v>
      </c>
      <c r="B5">
        <v>4</v>
      </c>
      <c r="C5">
        <v>3</v>
      </c>
      <c r="D5">
        <v>-2.3410000000000002</v>
      </c>
      <c r="E5" s="2">
        <f t="shared" si="0"/>
        <v>-2.5</v>
      </c>
      <c r="F5" s="2">
        <f t="shared" si="1"/>
        <v>196</v>
      </c>
      <c r="G5">
        <v>-0.24299999999999999</v>
      </c>
      <c r="H5">
        <v>0.30099999999999999</v>
      </c>
      <c r="I5">
        <v>0.23</v>
      </c>
      <c r="J5">
        <v>0.19700000000000001</v>
      </c>
      <c r="K5">
        <v>9.7000000000000003E-2</v>
      </c>
      <c r="L5">
        <v>-99.998999999999995</v>
      </c>
      <c r="M5">
        <v>-99.998999999999995</v>
      </c>
      <c r="Q5" s="2">
        <f t="shared" si="2"/>
        <v>-2.2638463812507261</v>
      </c>
      <c r="T5" s="2">
        <f t="shared" si="3"/>
        <v>96435.555138319702</v>
      </c>
      <c r="W5" s="2">
        <f t="shared" si="4"/>
        <v>96435.555138319702</v>
      </c>
    </row>
    <row r="6" spans="1:23">
      <c r="A6">
        <v>999</v>
      </c>
      <c r="B6">
        <v>4</v>
      </c>
      <c r="C6">
        <v>3</v>
      </c>
      <c r="D6">
        <v>-2.6890000000000001</v>
      </c>
      <c r="E6" s="2">
        <f t="shared" si="0"/>
        <v>-2.5</v>
      </c>
      <c r="F6" s="2">
        <f t="shared" si="1"/>
        <v>151</v>
      </c>
      <c r="G6">
        <v>-0.58499999999999996</v>
      </c>
      <c r="H6">
        <v>0.30099999999999999</v>
      </c>
      <c r="I6">
        <v>0.23</v>
      </c>
      <c r="J6">
        <v>0.19700000000000001</v>
      </c>
      <c r="K6">
        <v>9.7000000000000003E-2</v>
      </c>
      <c r="L6">
        <v>-99.998999999999995</v>
      </c>
      <c r="M6">
        <v>-99.998999999999995</v>
      </c>
      <c r="Q6" s="2">
        <f t="shared" si="2"/>
        <v>-2.3574928735226051</v>
      </c>
      <c r="T6" s="2">
        <f t="shared" si="3"/>
        <v>88533.63077616354</v>
      </c>
      <c r="W6" s="2">
        <f t="shared" si="4"/>
        <v>88533.63077616354</v>
      </c>
    </row>
    <row r="7" spans="1:23">
      <c r="A7">
        <v>1000</v>
      </c>
      <c r="B7">
        <v>4</v>
      </c>
      <c r="C7">
        <v>3</v>
      </c>
      <c r="D7">
        <v>-2.5150000000000001</v>
      </c>
      <c r="E7" s="2">
        <f t="shared" si="0"/>
        <v>-2.5</v>
      </c>
      <c r="F7" s="2">
        <f t="shared" si="1"/>
        <v>177</v>
      </c>
      <c r="G7">
        <v>-0.872</v>
      </c>
      <c r="H7">
        <v>0.30099999999999999</v>
      </c>
      <c r="I7">
        <v>0.23</v>
      </c>
      <c r="J7">
        <v>0.19700000000000001</v>
      </c>
      <c r="K7">
        <v>9.7000000000000003E-2</v>
      </c>
      <c r="L7">
        <v>-99.998999999999995</v>
      </c>
      <c r="M7">
        <v>-99.998999999999995</v>
      </c>
      <c r="Q7" s="2">
        <f t="shared" si="2"/>
        <v>-2.3106696273866656</v>
      </c>
      <c r="T7" s="2">
        <f t="shared" si="3"/>
        <v>92484.592957241606</v>
      </c>
      <c r="W7" s="2">
        <f t="shared" si="4"/>
        <v>92484.592957241606</v>
      </c>
    </row>
    <row r="8" spans="1:23">
      <c r="A8">
        <v>1001</v>
      </c>
      <c r="B8">
        <v>4</v>
      </c>
      <c r="C8">
        <v>3</v>
      </c>
      <c r="D8">
        <v>0.97099999999999997</v>
      </c>
      <c r="E8" s="2">
        <f t="shared" si="0"/>
        <v>1</v>
      </c>
      <c r="F8" s="2">
        <f t="shared" si="1"/>
        <v>722</v>
      </c>
      <c r="G8">
        <v>-1.113</v>
      </c>
      <c r="H8">
        <v>0.30099999999999999</v>
      </c>
      <c r="I8">
        <v>0.23</v>
      </c>
      <c r="J8">
        <v>0.19700000000000001</v>
      </c>
      <c r="K8">
        <v>9.7000000000000003E-2</v>
      </c>
      <c r="L8">
        <v>-99.998999999999995</v>
      </c>
      <c r="M8">
        <v>-99.998999999999995</v>
      </c>
      <c r="Q8" s="2">
        <f t="shared" si="2"/>
        <v>-1.372590109973536</v>
      </c>
      <c r="T8" s="2">
        <f t="shared" si="3"/>
        <v>171640.07665401255</v>
      </c>
      <c r="W8" s="2">
        <f t="shared" si="4"/>
        <v>171640.07665401255</v>
      </c>
    </row>
    <row r="9" spans="1:23">
      <c r="A9">
        <v>1002</v>
      </c>
      <c r="B9">
        <v>4</v>
      </c>
      <c r="C9">
        <v>3</v>
      </c>
      <c r="D9">
        <v>1.133</v>
      </c>
      <c r="E9" s="2">
        <f t="shared" si="0"/>
        <v>1</v>
      </c>
      <c r="F9" s="2">
        <f t="shared" si="1"/>
        <v>750</v>
      </c>
      <c r="G9">
        <v>-1.3280000000000001</v>
      </c>
      <c r="H9">
        <v>0.30099999999999999</v>
      </c>
      <c r="I9">
        <v>0.23</v>
      </c>
      <c r="J9">
        <v>0.19700000000000001</v>
      </c>
      <c r="K9">
        <v>9.7000000000000003E-2</v>
      </c>
      <c r="L9">
        <v>-99.998999999999995</v>
      </c>
      <c r="M9">
        <v>-99.998999999999995</v>
      </c>
      <c r="Q9" s="2">
        <f t="shared" si="2"/>
        <v>-1.3289960532262821</v>
      </c>
      <c r="T9" s="2">
        <f t="shared" si="3"/>
        <v>175318.55868467147</v>
      </c>
      <c r="W9" s="2">
        <f t="shared" si="4"/>
        <v>175318.55868467147</v>
      </c>
    </row>
    <row r="10" spans="1:23">
      <c r="A10">
        <v>1003</v>
      </c>
      <c r="B10">
        <v>4</v>
      </c>
      <c r="C10">
        <v>3</v>
      </c>
      <c r="D10">
        <v>-1.714</v>
      </c>
      <c r="E10" s="2">
        <f t="shared" si="0"/>
        <v>-1.5</v>
      </c>
      <c r="F10" s="2">
        <f t="shared" si="1"/>
        <v>290</v>
      </c>
      <c r="G10">
        <v>-1.524</v>
      </c>
      <c r="H10">
        <v>0.30099999999999999</v>
      </c>
      <c r="I10">
        <v>0.23</v>
      </c>
      <c r="J10">
        <v>0.19700000000000001</v>
      </c>
      <c r="K10">
        <v>9.7000000000000003E-2</v>
      </c>
      <c r="L10">
        <v>-99.998999999999995</v>
      </c>
      <c r="M10">
        <v>-99.998999999999995</v>
      </c>
      <c r="Q10" s="2">
        <f>$Q$1022+($Q$1021*D10)</f>
        <v>-2.0951212356919102</v>
      </c>
      <c r="T10" s="2">
        <f t="shared" si="3"/>
        <v>110672.6429977217</v>
      </c>
      <c r="W10" s="2">
        <f t="shared" si="4"/>
        <v>110672.6429977217</v>
      </c>
    </row>
    <row r="11" spans="1:23">
      <c r="A11">
        <v>1004</v>
      </c>
      <c r="B11">
        <v>4</v>
      </c>
      <c r="C11">
        <v>3</v>
      </c>
      <c r="D11">
        <v>-2.601</v>
      </c>
      <c r="E11" s="2">
        <f t="shared" si="0"/>
        <v>-2.5</v>
      </c>
      <c r="F11" s="2">
        <f t="shared" si="1"/>
        <v>163</v>
      </c>
      <c r="G11">
        <v>-1.6859999999999999</v>
      </c>
      <c r="H11">
        <v>0.30099999999999999</v>
      </c>
      <c r="I11">
        <v>0.23</v>
      </c>
      <c r="J11">
        <v>0.19700000000000001</v>
      </c>
      <c r="K11">
        <v>9.7000000000000003E-2</v>
      </c>
      <c r="L11">
        <v>-99.998999999999995</v>
      </c>
      <c r="M11">
        <v>-99.998999999999995</v>
      </c>
      <c r="Q11" s="2">
        <f t="shared" si="2"/>
        <v>-2.3338121513389112</v>
      </c>
      <c r="T11" s="2">
        <f t="shared" si="3"/>
        <v>90531.818545904214</v>
      </c>
      <c r="W11" s="2">
        <f t="shared" si="4"/>
        <v>90531.818545904214</v>
      </c>
    </row>
    <row r="12" spans="1:23">
      <c r="A12">
        <v>1005</v>
      </c>
      <c r="B12">
        <v>4</v>
      </c>
      <c r="C12">
        <v>3</v>
      </c>
      <c r="D12">
        <v>-3.05</v>
      </c>
      <c r="E12" s="2">
        <f t="shared" si="0"/>
        <v>-3</v>
      </c>
      <c r="F12" s="2">
        <f t="shared" si="1"/>
        <v>109</v>
      </c>
      <c r="G12">
        <v>-1.7989999999999999</v>
      </c>
      <c r="H12">
        <v>0.30099999999999999</v>
      </c>
      <c r="I12">
        <v>0.23</v>
      </c>
      <c r="J12">
        <v>0.19700000000000001</v>
      </c>
      <c r="K12">
        <v>9.7000000000000003E-2</v>
      </c>
      <c r="L12">
        <v>-99.998999999999995</v>
      </c>
      <c r="M12">
        <v>-99.998999999999995</v>
      </c>
      <c r="Q12" s="2">
        <f t="shared" si="2"/>
        <v>-2.4546376542988928</v>
      </c>
      <c r="T12" s="2">
        <f t="shared" si="3"/>
        <v>80336.519584386639</v>
      </c>
      <c r="W12" s="2">
        <f t="shared" si="4"/>
        <v>80336.519584386639</v>
      </c>
    </row>
    <row r="13" spans="1:23">
      <c r="A13">
        <v>1006</v>
      </c>
      <c r="B13">
        <v>4</v>
      </c>
      <c r="C13">
        <v>3</v>
      </c>
      <c r="D13">
        <v>-2.6930000000000001</v>
      </c>
      <c r="E13" s="2">
        <f t="shared" si="0"/>
        <v>-2.5</v>
      </c>
      <c r="F13" s="2">
        <f t="shared" si="1"/>
        <v>149</v>
      </c>
      <c r="G13">
        <v>-1.8580000000000001</v>
      </c>
      <c r="H13">
        <v>0.30099999999999999</v>
      </c>
      <c r="I13">
        <v>0.23</v>
      </c>
      <c r="J13">
        <v>0.19700000000000001</v>
      </c>
      <c r="K13">
        <v>9.7000000000000003E-2</v>
      </c>
      <c r="L13">
        <v>-99.998999999999995</v>
      </c>
      <c r="M13">
        <v>-99.998999999999995</v>
      </c>
      <c r="Q13" s="2">
        <f t="shared" si="2"/>
        <v>-2.3585692699854999</v>
      </c>
      <c r="T13" s="2">
        <f t="shared" si="3"/>
        <v>88442.804059357179</v>
      </c>
      <c r="W13" s="2">
        <f t="shared" si="4"/>
        <v>88442.804059357179</v>
      </c>
    </row>
    <row r="14" spans="1:23">
      <c r="A14">
        <v>1007</v>
      </c>
      <c r="B14">
        <v>4</v>
      </c>
      <c r="C14">
        <v>3</v>
      </c>
      <c r="D14">
        <v>-2.1469999999999998</v>
      </c>
      <c r="E14" s="2">
        <f t="shared" si="0"/>
        <v>-2</v>
      </c>
      <c r="F14" s="2">
        <f t="shared" si="1"/>
        <v>227</v>
      </c>
      <c r="G14">
        <v>-1.8660000000000001</v>
      </c>
      <c r="H14">
        <v>0.30099999999999999</v>
      </c>
      <c r="I14">
        <v>0.23</v>
      </c>
      <c r="J14">
        <v>0.19700000000000001</v>
      </c>
      <c r="K14">
        <v>9.7000000000000003E-2</v>
      </c>
      <c r="L14">
        <v>-99.998999999999995</v>
      </c>
      <c r="M14">
        <v>-99.998999999999995</v>
      </c>
      <c r="Q14" s="2">
        <f t="shared" si="2"/>
        <v>-2.2116411528003108</v>
      </c>
      <c r="T14" s="2">
        <f t="shared" si="3"/>
        <v>100840.65090342975</v>
      </c>
      <c r="W14" s="2">
        <f t="shared" si="4"/>
        <v>100840.65090342975</v>
      </c>
    </row>
    <row r="15" spans="1:23">
      <c r="A15">
        <v>1008</v>
      </c>
      <c r="B15">
        <v>4</v>
      </c>
      <c r="C15">
        <v>3</v>
      </c>
      <c r="D15">
        <v>-0.89900000000000002</v>
      </c>
      <c r="E15" s="2">
        <f t="shared" si="0"/>
        <v>-1</v>
      </c>
      <c r="F15" s="2">
        <f t="shared" si="1"/>
        <v>406</v>
      </c>
      <c r="G15">
        <v>-1.8360000000000001</v>
      </c>
      <c r="H15">
        <v>0.30099999999999999</v>
      </c>
      <c r="I15">
        <v>0.23</v>
      </c>
      <c r="J15">
        <v>0.19700000000000001</v>
      </c>
      <c r="K15">
        <v>9.7000000000000003E-2</v>
      </c>
      <c r="L15">
        <v>-99.998999999999995</v>
      </c>
      <c r="M15">
        <v>-99.998999999999995</v>
      </c>
      <c r="Q15" s="2">
        <f t="shared" si="2"/>
        <v>-1.8758054563770219</v>
      </c>
      <c r="T15" s="2">
        <f t="shared" si="3"/>
        <v>129178.58654702414</v>
      </c>
      <c r="W15" s="2">
        <f t="shared" si="4"/>
        <v>129178.58654702414</v>
      </c>
    </row>
    <row r="16" spans="1:23">
      <c r="A16">
        <v>1009</v>
      </c>
      <c r="B16">
        <v>4</v>
      </c>
      <c r="C16">
        <v>3</v>
      </c>
      <c r="D16">
        <v>-0.68</v>
      </c>
      <c r="E16" s="2">
        <f t="shared" si="0"/>
        <v>-0.5</v>
      </c>
      <c r="F16" s="2">
        <f t="shared" si="1"/>
        <v>453</v>
      </c>
      <c r="G16">
        <v>-1.7809999999999999</v>
      </c>
      <c r="H16">
        <v>0.30099999999999999</v>
      </c>
      <c r="I16">
        <v>0.23</v>
      </c>
      <c r="J16">
        <v>0.19700000000000001</v>
      </c>
      <c r="K16">
        <v>9.7000000000000003E-2</v>
      </c>
      <c r="L16">
        <v>-99.998999999999995</v>
      </c>
      <c r="M16">
        <v>-99.998999999999995</v>
      </c>
      <c r="Q16" s="2">
        <f t="shared" si="2"/>
        <v>-1.8168727500335122</v>
      </c>
      <c r="T16" s="2">
        <f t="shared" si="3"/>
        <v>134151.3492921741</v>
      </c>
      <c r="W16" s="2">
        <f t="shared" si="4"/>
        <v>134151.3492921741</v>
      </c>
    </row>
    <row r="17" spans="1:23">
      <c r="A17">
        <v>1010</v>
      </c>
      <c r="B17">
        <v>4</v>
      </c>
      <c r="C17">
        <v>3</v>
      </c>
      <c r="D17">
        <v>-1.2549999999999999</v>
      </c>
      <c r="E17" s="2">
        <f t="shared" si="0"/>
        <v>-1.5</v>
      </c>
      <c r="F17" s="2">
        <f t="shared" si="1"/>
        <v>364</v>
      </c>
      <c r="G17">
        <v>-1.7090000000000001</v>
      </c>
      <c r="H17">
        <v>0.30099999999999999</v>
      </c>
      <c r="I17">
        <v>0.23</v>
      </c>
      <c r="J17">
        <v>0.19700000000000001</v>
      </c>
      <c r="K17">
        <v>9.7000000000000003E-2</v>
      </c>
      <c r="L17">
        <v>-99.998999999999995</v>
      </c>
      <c r="M17">
        <v>-99.998999999999995</v>
      </c>
      <c r="Q17" s="2">
        <f t="shared" si="2"/>
        <v>-1.9716047415746909</v>
      </c>
      <c r="T17" s="2">
        <f t="shared" si="3"/>
        <v>121095.00875125523</v>
      </c>
      <c r="W17" s="2">
        <f t="shared" si="4"/>
        <v>121095.00875125523</v>
      </c>
    </row>
    <row r="18" spans="1:23">
      <c r="A18">
        <v>1011</v>
      </c>
      <c r="B18">
        <v>4</v>
      </c>
      <c r="C18">
        <v>3</v>
      </c>
      <c r="D18">
        <v>-1.431</v>
      </c>
      <c r="E18" s="2">
        <f t="shared" si="0"/>
        <v>-1.5</v>
      </c>
      <c r="F18" s="2">
        <f t="shared" si="1"/>
        <v>342</v>
      </c>
      <c r="G18">
        <v>-1.617</v>
      </c>
      <c r="H18">
        <v>0.30099999999999999</v>
      </c>
      <c r="I18">
        <v>0.23</v>
      </c>
      <c r="J18">
        <v>0.19700000000000001</v>
      </c>
      <c r="K18">
        <v>9.7000000000000003E-2</v>
      </c>
      <c r="L18">
        <v>-99.998999999999995</v>
      </c>
      <c r="M18">
        <v>-99.998999999999995</v>
      </c>
      <c r="Q18" s="2">
        <f t="shared" si="2"/>
        <v>-2.018966185942078</v>
      </c>
      <c r="T18" s="2">
        <f t="shared" si="3"/>
        <v>117098.63321177394</v>
      </c>
      <c r="W18" s="2">
        <f t="shared" si="4"/>
        <v>117098.63321177394</v>
      </c>
    </row>
    <row r="19" spans="1:23">
      <c r="A19">
        <v>1012</v>
      </c>
      <c r="B19">
        <v>4</v>
      </c>
      <c r="C19">
        <v>3</v>
      </c>
      <c r="D19">
        <v>-1.27</v>
      </c>
      <c r="E19" s="2">
        <f t="shared" si="0"/>
        <v>-1.5</v>
      </c>
      <c r="F19" s="2">
        <f t="shared" si="1"/>
        <v>358</v>
      </c>
      <c r="G19">
        <v>-1.496</v>
      </c>
      <c r="H19">
        <v>0.30099999999999999</v>
      </c>
      <c r="I19">
        <v>0.23</v>
      </c>
      <c r="J19">
        <v>0.19700000000000001</v>
      </c>
      <c r="K19">
        <v>9.7000000000000003E-2</v>
      </c>
      <c r="L19">
        <v>-99.998999999999995</v>
      </c>
      <c r="M19">
        <v>-99.998999999999995</v>
      </c>
      <c r="Q19" s="2">
        <f t="shared" si="2"/>
        <v>-1.9756412283105478</v>
      </c>
      <c r="T19" s="2">
        <f t="shared" si="3"/>
        <v>120754.40856323123</v>
      </c>
      <c r="W19" s="2">
        <f t="shared" si="4"/>
        <v>120754.40856323123</v>
      </c>
    </row>
    <row r="20" spans="1:23">
      <c r="A20">
        <v>1013</v>
      </c>
      <c r="B20">
        <v>4</v>
      </c>
      <c r="C20">
        <v>3</v>
      </c>
      <c r="D20">
        <v>-2.129</v>
      </c>
      <c r="E20" s="2">
        <f t="shared" si="0"/>
        <v>-2</v>
      </c>
      <c r="F20" s="2">
        <f t="shared" si="1"/>
        <v>229</v>
      </c>
      <c r="G20">
        <v>-1.3360000000000001</v>
      </c>
      <c r="H20">
        <v>0.30099999999999999</v>
      </c>
      <c r="I20">
        <v>0.23</v>
      </c>
      <c r="J20">
        <v>0.19700000000000001</v>
      </c>
      <c r="K20">
        <v>9.7000000000000003E-2</v>
      </c>
      <c r="L20">
        <v>-99.998999999999995</v>
      </c>
      <c r="M20">
        <v>-99.998999999999995</v>
      </c>
      <c r="Q20" s="2">
        <f t="shared" si="2"/>
        <v>-2.2067973687172828</v>
      </c>
      <c r="T20" s="2">
        <f t="shared" si="3"/>
        <v>101249.37112905848</v>
      </c>
      <c r="W20" s="2">
        <f t="shared" si="4"/>
        <v>101249.37112905848</v>
      </c>
    </row>
    <row r="21" spans="1:23">
      <c r="A21">
        <v>1014</v>
      </c>
      <c r="B21">
        <v>4</v>
      </c>
      <c r="C21">
        <v>3</v>
      </c>
      <c r="D21">
        <v>-4.5229999999999997</v>
      </c>
      <c r="E21" s="2">
        <f t="shared" si="0"/>
        <v>-4.5</v>
      </c>
      <c r="F21" s="2">
        <f t="shared" si="1"/>
        <v>16</v>
      </c>
      <c r="G21">
        <v>-1.127</v>
      </c>
      <c r="H21">
        <v>0.30099999999999999</v>
      </c>
      <c r="I21">
        <v>0.23</v>
      </c>
      <c r="J21">
        <v>0.19700000000000001</v>
      </c>
      <c r="K21">
        <v>9.7000000000000003E-2</v>
      </c>
      <c r="L21">
        <v>-99.998999999999995</v>
      </c>
      <c r="M21">
        <v>-99.998999999999995</v>
      </c>
      <c r="Q21" s="2">
        <f t="shared" si="2"/>
        <v>-2.8510206517600345</v>
      </c>
      <c r="T21" s="2">
        <f t="shared" si="3"/>
        <v>46889.581120432646</v>
      </c>
      <c r="W21" s="2">
        <f t="shared" si="4"/>
        <v>46889.581120432646</v>
      </c>
    </row>
    <row r="22" spans="1:23">
      <c r="A22">
        <v>1015</v>
      </c>
      <c r="B22">
        <v>4</v>
      </c>
      <c r="C22">
        <v>3</v>
      </c>
      <c r="D22">
        <v>-4.0780000000000003</v>
      </c>
      <c r="E22" s="2">
        <f t="shared" si="0"/>
        <v>-4</v>
      </c>
      <c r="F22" s="2">
        <f t="shared" si="1"/>
        <v>31</v>
      </c>
      <c r="G22">
        <v>-0.86799999999999999</v>
      </c>
      <c r="H22">
        <v>0.30099999999999999</v>
      </c>
      <c r="I22">
        <v>0.23</v>
      </c>
      <c r="J22">
        <v>0.19700000000000001</v>
      </c>
      <c r="K22">
        <v>9.7000000000000003E-2</v>
      </c>
      <c r="L22">
        <v>-99.998999999999995</v>
      </c>
      <c r="M22">
        <v>-99.998999999999995</v>
      </c>
      <c r="Q22" s="2">
        <f t="shared" si="2"/>
        <v>-2.7312715452629481</v>
      </c>
      <c r="T22" s="2">
        <f t="shared" si="3"/>
        <v>56994.053365143802</v>
      </c>
      <c r="W22" s="2">
        <f t="shared" si="4"/>
        <v>56994.053365143802</v>
      </c>
    </row>
    <row r="23" spans="1:23">
      <c r="A23">
        <v>1016</v>
      </c>
      <c r="B23">
        <v>4</v>
      </c>
      <c r="C23">
        <v>3</v>
      </c>
      <c r="D23">
        <v>-0.04</v>
      </c>
      <c r="E23" s="2">
        <f t="shared" si="0"/>
        <v>0</v>
      </c>
      <c r="F23" s="2">
        <f t="shared" si="1"/>
        <v>560</v>
      </c>
      <c r="G23">
        <v>-0.58799999999999997</v>
      </c>
      <c r="H23">
        <v>0.30099999999999999</v>
      </c>
      <c r="I23">
        <v>0.23</v>
      </c>
      <c r="J23">
        <v>0.19700000000000001</v>
      </c>
      <c r="K23">
        <v>9.7000000000000003E-2</v>
      </c>
      <c r="L23">
        <v>-99.998999999999995</v>
      </c>
      <c r="M23">
        <v>-99.998999999999995</v>
      </c>
      <c r="Q23" s="2">
        <f t="shared" si="2"/>
        <v>-1.6446493159702871</v>
      </c>
      <c r="T23" s="2">
        <f t="shared" si="3"/>
        <v>148683.6239811969</v>
      </c>
      <c r="W23" s="2">
        <f t="shared" si="4"/>
        <v>148683.6239811969</v>
      </c>
    </row>
    <row r="24" spans="1:23">
      <c r="A24">
        <v>1017</v>
      </c>
      <c r="B24">
        <v>4</v>
      </c>
      <c r="C24">
        <v>3</v>
      </c>
      <c r="D24">
        <v>3.573</v>
      </c>
      <c r="E24" s="2">
        <f t="shared" si="0"/>
        <v>3.5</v>
      </c>
      <c r="F24" s="2">
        <f t="shared" si="1"/>
        <v>965</v>
      </c>
      <c r="G24">
        <v>-0.34</v>
      </c>
      <c r="H24">
        <v>0.30099999999999999</v>
      </c>
      <c r="I24">
        <v>0.23</v>
      </c>
      <c r="J24">
        <v>0.19700000000000001</v>
      </c>
      <c r="K24">
        <v>9.7000000000000003E-2</v>
      </c>
      <c r="L24">
        <v>-99.998999999999995</v>
      </c>
      <c r="M24">
        <v>-99.998999999999995</v>
      </c>
      <c r="Q24" s="2">
        <f t="shared" si="2"/>
        <v>-0.67239421086023621</v>
      </c>
      <c r="T24" s="2">
        <f t="shared" si="3"/>
        <v>230722.85593657079</v>
      </c>
      <c r="W24" s="2">
        <f t="shared" si="4"/>
        <v>230722.85593657079</v>
      </c>
    </row>
    <row r="25" spans="1:23">
      <c r="A25">
        <v>1018</v>
      </c>
      <c r="B25">
        <v>4</v>
      </c>
      <c r="C25">
        <v>3</v>
      </c>
      <c r="D25">
        <v>4.6369999999999996</v>
      </c>
      <c r="E25" s="2">
        <f t="shared" si="0"/>
        <v>4.5</v>
      </c>
      <c r="F25" s="2">
        <f t="shared" si="1"/>
        <v>991</v>
      </c>
      <c r="G25">
        <v>-0.17299999999999999</v>
      </c>
      <c r="H25">
        <v>0.30099999999999999</v>
      </c>
      <c r="I25">
        <v>0.23</v>
      </c>
      <c r="J25">
        <v>0.19700000000000001</v>
      </c>
      <c r="K25">
        <v>9.7000000000000003E-2</v>
      </c>
      <c r="L25">
        <v>-99.998999999999995</v>
      </c>
      <c r="M25">
        <v>-99.998999999999995</v>
      </c>
      <c r="Q25" s="2">
        <f t="shared" si="2"/>
        <v>-0.38607275173012456</v>
      </c>
      <c r="T25" s="2">
        <f t="shared" si="3"/>
        <v>254882.76260707114</v>
      </c>
      <c r="W25" s="2">
        <f t="shared" si="4"/>
        <v>254882.76260707114</v>
      </c>
    </row>
    <row r="26" spans="1:23">
      <c r="A26">
        <v>1019</v>
      </c>
      <c r="B26">
        <v>4</v>
      </c>
      <c r="C26">
        <v>3</v>
      </c>
      <c r="D26">
        <v>2.173</v>
      </c>
      <c r="E26" s="2">
        <f t="shared" si="0"/>
        <v>2</v>
      </c>
      <c r="F26" s="2">
        <f t="shared" si="1"/>
        <v>871</v>
      </c>
      <c r="G26">
        <v>-0.10199999999999999</v>
      </c>
      <c r="H26">
        <v>0.30099999999999999</v>
      </c>
      <c r="I26">
        <v>0.23</v>
      </c>
      <c r="J26">
        <v>0.19700000000000001</v>
      </c>
      <c r="K26">
        <v>9.7000000000000003E-2</v>
      </c>
      <c r="L26">
        <v>-99.998999999999995</v>
      </c>
      <c r="M26">
        <v>-99.998999999999995</v>
      </c>
      <c r="Q26" s="2">
        <f t="shared" si="2"/>
        <v>-1.0491329728735412</v>
      </c>
      <c r="T26" s="2">
        <f t="shared" si="3"/>
        <v>198933.50505433348</v>
      </c>
      <c r="W26" s="2">
        <f t="shared" si="4"/>
        <v>198933.50505433348</v>
      </c>
    </row>
    <row r="27" spans="1:23">
      <c r="A27">
        <v>1020</v>
      </c>
      <c r="B27">
        <v>4</v>
      </c>
      <c r="C27">
        <v>3</v>
      </c>
      <c r="D27">
        <v>-3.0110000000000001</v>
      </c>
      <c r="E27" s="2">
        <f t="shared" si="0"/>
        <v>-3</v>
      </c>
      <c r="F27" s="2">
        <f t="shared" si="1"/>
        <v>112</v>
      </c>
      <c r="G27">
        <v>-0.10100000000000001</v>
      </c>
      <c r="H27">
        <v>0.30099999999999999</v>
      </c>
      <c r="I27">
        <v>0.23</v>
      </c>
      <c r="J27">
        <v>0.19700000000000001</v>
      </c>
      <c r="K27">
        <v>9.7000000000000003E-2</v>
      </c>
      <c r="L27">
        <v>-99.998999999999995</v>
      </c>
      <c r="M27">
        <v>-99.998999999999995</v>
      </c>
      <c r="Q27" s="2">
        <f t="shared" si="2"/>
        <v>-2.444142788785665</v>
      </c>
      <c r="T27" s="2">
        <f t="shared" si="3"/>
        <v>81222.080073248973</v>
      </c>
      <c r="W27" s="2">
        <f t="shared" si="4"/>
        <v>81222.080073248973</v>
      </c>
    </row>
    <row r="28" spans="1:23">
      <c r="A28">
        <v>1021</v>
      </c>
      <c r="B28">
        <v>4</v>
      </c>
      <c r="C28">
        <v>3</v>
      </c>
      <c r="D28">
        <v>-0.68899999999999995</v>
      </c>
      <c r="E28" s="2">
        <f t="shared" si="0"/>
        <v>-0.5</v>
      </c>
      <c r="F28" s="2">
        <f t="shared" si="1"/>
        <v>451</v>
      </c>
      <c r="G28">
        <v>-0.124</v>
      </c>
      <c r="H28">
        <v>0.30099999999999999</v>
      </c>
      <c r="I28">
        <v>0.23</v>
      </c>
      <c r="J28">
        <v>0.19700000000000001</v>
      </c>
      <c r="K28">
        <v>9.7000000000000003E-2</v>
      </c>
      <c r="L28">
        <v>-99.998999999999995</v>
      </c>
      <c r="M28">
        <v>-99.998999999999995</v>
      </c>
      <c r="Q28" s="2">
        <f t="shared" si="2"/>
        <v>-1.8192946420750262</v>
      </c>
      <c r="T28" s="2">
        <f t="shared" si="3"/>
        <v>133946.98917935972</v>
      </c>
      <c r="W28" s="2">
        <f t="shared" si="4"/>
        <v>133946.98917935972</v>
      </c>
    </row>
    <row r="29" spans="1:23">
      <c r="A29">
        <v>1022</v>
      </c>
      <c r="B29">
        <v>4</v>
      </c>
      <c r="C29">
        <v>3</v>
      </c>
      <c r="D29">
        <v>-2.4289999999999998</v>
      </c>
      <c r="E29" s="2">
        <f t="shared" si="0"/>
        <v>-2.5</v>
      </c>
      <c r="F29" s="2">
        <f t="shared" si="1"/>
        <v>184</v>
      </c>
      <c r="G29">
        <v>-0.14499999999999999</v>
      </c>
      <c r="H29">
        <v>0.30099999999999999</v>
      </c>
      <c r="I29">
        <v>0.23</v>
      </c>
      <c r="J29">
        <v>0.19700000000000001</v>
      </c>
      <c r="K29">
        <v>9.7000000000000003E-2</v>
      </c>
      <c r="L29">
        <v>-99.998999999999995</v>
      </c>
      <c r="M29">
        <v>-99.998999999999995</v>
      </c>
      <c r="Q29" s="2">
        <f t="shared" si="2"/>
        <v>-2.2875271034344196</v>
      </c>
      <c r="T29" s="2">
        <f t="shared" si="3"/>
        <v>94437.367368579056</v>
      </c>
      <c r="W29" s="2">
        <f t="shared" si="4"/>
        <v>94437.367368579056</v>
      </c>
    </row>
    <row r="30" spans="1:23">
      <c r="A30">
        <v>1023</v>
      </c>
      <c r="B30">
        <v>4</v>
      </c>
      <c r="C30">
        <v>3</v>
      </c>
      <c r="D30">
        <v>-0.38700000000000001</v>
      </c>
      <c r="E30" s="2">
        <f t="shared" si="0"/>
        <v>-0.5</v>
      </c>
      <c r="F30" s="2">
        <f t="shared" si="1"/>
        <v>501</v>
      </c>
      <c r="G30">
        <v>-0.14599999999999999</v>
      </c>
      <c r="H30">
        <v>0.30099999999999999</v>
      </c>
      <c r="I30">
        <v>0.23</v>
      </c>
      <c r="J30">
        <v>0.19700000000000001</v>
      </c>
      <c r="K30">
        <v>9.7000000000000003E-2</v>
      </c>
      <c r="L30">
        <v>-99.998999999999995</v>
      </c>
      <c r="M30">
        <v>-99.998999999999995</v>
      </c>
      <c r="P30" s="3"/>
      <c r="Q30" s="2">
        <f t="shared" si="2"/>
        <v>-1.7380267091264419</v>
      </c>
      <c r="T30" s="2">
        <f t="shared" si="3"/>
        <v>140804.40629824236</v>
      </c>
      <c r="W30" s="2">
        <f t="shared" si="4"/>
        <v>140804.40629824236</v>
      </c>
    </row>
    <row r="31" spans="1:23">
      <c r="A31">
        <v>1024</v>
      </c>
      <c r="B31">
        <v>4</v>
      </c>
      <c r="C31">
        <v>3</v>
      </c>
      <c r="D31">
        <v>-0.34</v>
      </c>
      <c r="E31" s="2">
        <f t="shared" si="0"/>
        <v>-0.5</v>
      </c>
      <c r="F31" s="2">
        <f t="shared" si="1"/>
        <v>512</v>
      </c>
      <c r="G31">
        <v>-0.128</v>
      </c>
      <c r="H31">
        <v>0.30099999999999999</v>
      </c>
      <c r="I31">
        <v>0.23</v>
      </c>
      <c r="J31">
        <v>0.19700000000000001</v>
      </c>
      <c r="K31">
        <v>9.7000000000000003E-2</v>
      </c>
      <c r="L31">
        <v>-99.998999999999995</v>
      </c>
      <c r="M31">
        <v>-99.998999999999995</v>
      </c>
      <c r="Q31" s="2">
        <f t="shared" si="2"/>
        <v>-1.7253790506874238</v>
      </c>
      <c r="T31" s="2">
        <f t="shared" si="3"/>
        <v>141871.62022071745</v>
      </c>
      <c r="W31" s="2">
        <f t="shared" si="4"/>
        <v>141871.62022071745</v>
      </c>
    </row>
    <row r="32" spans="1:23">
      <c r="A32">
        <v>1025</v>
      </c>
      <c r="B32">
        <v>4</v>
      </c>
      <c r="C32">
        <v>3</v>
      </c>
      <c r="D32">
        <v>-1.5389999999999999</v>
      </c>
      <c r="E32" s="2">
        <f t="shared" si="0"/>
        <v>-1.5</v>
      </c>
      <c r="F32" s="2">
        <f t="shared" si="1"/>
        <v>320</v>
      </c>
      <c r="G32">
        <v>-9.7000000000000003E-2</v>
      </c>
      <c r="H32">
        <v>0.30099999999999999</v>
      </c>
      <c r="I32">
        <v>0.23</v>
      </c>
      <c r="J32">
        <v>0.19700000000000001</v>
      </c>
      <c r="K32">
        <v>9.7000000000000003E-2</v>
      </c>
      <c r="L32">
        <v>-99.998999999999995</v>
      </c>
      <c r="M32">
        <v>-99.998999999999995</v>
      </c>
      <c r="Q32" s="2">
        <f t="shared" si="2"/>
        <v>-2.0480288904402473</v>
      </c>
      <c r="T32" s="2">
        <f t="shared" si="3"/>
        <v>114646.31185800134</v>
      </c>
      <c r="W32" s="2">
        <f t="shared" si="4"/>
        <v>114646.31185800134</v>
      </c>
    </row>
    <row r="33" spans="1:23">
      <c r="A33">
        <v>1026</v>
      </c>
      <c r="B33">
        <v>4</v>
      </c>
      <c r="C33">
        <v>3</v>
      </c>
      <c r="D33">
        <v>1.456</v>
      </c>
      <c r="E33" s="2">
        <f t="shared" si="0"/>
        <v>1.5</v>
      </c>
      <c r="F33" s="2">
        <f t="shared" si="1"/>
        <v>794</v>
      </c>
      <c r="G33">
        <v>-6.2E-2</v>
      </c>
      <c r="H33">
        <v>0.30099999999999999</v>
      </c>
      <c r="I33">
        <v>0.23</v>
      </c>
      <c r="J33">
        <v>0.19700000000000001</v>
      </c>
      <c r="K33">
        <v>9.7000000000000003E-2</v>
      </c>
      <c r="L33">
        <v>-99.998999999999995</v>
      </c>
      <c r="M33">
        <v>-99.998999999999995</v>
      </c>
      <c r="Q33" s="2">
        <f t="shared" si="2"/>
        <v>-1.2420770388474982</v>
      </c>
      <c r="T33" s="2">
        <f t="shared" si="3"/>
        <v>182652.81606678764</v>
      </c>
      <c r="W33" s="2">
        <f t="shared" si="4"/>
        <v>182652.81606678764</v>
      </c>
    </row>
    <row r="34" spans="1:23">
      <c r="A34">
        <v>1027</v>
      </c>
      <c r="B34">
        <v>4</v>
      </c>
      <c r="C34">
        <v>3</v>
      </c>
      <c r="D34">
        <v>1.1910000000000001</v>
      </c>
      <c r="E34" s="2">
        <f t="shared" si="0"/>
        <v>1</v>
      </c>
      <c r="F34" s="2">
        <f t="shared" si="1"/>
        <v>760</v>
      </c>
      <c r="G34">
        <v>-0.04</v>
      </c>
      <c r="H34">
        <v>0.30099999999999999</v>
      </c>
      <c r="I34">
        <v>0.23</v>
      </c>
      <c r="J34">
        <v>0.19700000000000001</v>
      </c>
      <c r="K34">
        <v>9.7000000000000003E-2</v>
      </c>
      <c r="L34">
        <v>-99.998999999999995</v>
      </c>
      <c r="M34">
        <v>-99.998999999999995</v>
      </c>
      <c r="Q34" s="2">
        <f t="shared" si="2"/>
        <v>-1.3133883045143024</v>
      </c>
      <c r="T34" s="2">
        <f t="shared" si="3"/>
        <v>176635.54607836413</v>
      </c>
      <c r="W34" s="2">
        <f t="shared" si="4"/>
        <v>176635.54607836413</v>
      </c>
    </row>
    <row r="35" spans="1:23">
      <c r="A35">
        <v>1028</v>
      </c>
      <c r="B35">
        <v>4</v>
      </c>
      <c r="C35">
        <v>3</v>
      </c>
      <c r="D35">
        <v>-1.7350000000000001</v>
      </c>
      <c r="E35" s="2">
        <f t="shared" si="0"/>
        <v>-1.5</v>
      </c>
      <c r="F35" s="2">
        <f t="shared" si="1"/>
        <v>287</v>
      </c>
      <c r="G35">
        <v>-0.04</v>
      </c>
      <c r="H35">
        <v>0.30099999999999999</v>
      </c>
      <c r="I35">
        <v>0.23</v>
      </c>
      <c r="J35">
        <v>0.19700000000000001</v>
      </c>
      <c r="K35">
        <v>9.7000000000000003E-2</v>
      </c>
      <c r="L35">
        <v>-99.998999999999995</v>
      </c>
      <c r="M35">
        <v>-99.998999999999995</v>
      </c>
      <c r="Q35" s="2">
        <f t="shared" si="2"/>
        <v>-2.10077231712211</v>
      </c>
      <c r="T35" s="2">
        <f t="shared" si="3"/>
        <v>110195.80273448813</v>
      </c>
      <c r="W35" s="2">
        <f t="shared" si="4"/>
        <v>110195.80273448813</v>
      </c>
    </row>
    <row r="36" spans="1:23">
      <c r="A36">
        <v>1029</v>
      </c>
      <c r="B36">
        <v>4</v>
      </c>
      <c r="C36">
        <v>3</v>
      </c>
      <c r="D36">
        <v>-0.17899999999999999</v>
      </c>
      <c r="E36" s="2">
        <f t="shared" si="0"/>
        <v>0</v>
      </c>
      <c r="F36" s="2">
        <f t="shared" si="1"/>
        <v>542</v>
      </c>
      <c r="G36">
        <v>-5.8999999999999997E-2</v>
      </c>
      <c r="H36">
        <v>0.30099999999999999</v>
      </c>
      <c r="I36">
        <v>0.23</v>
      </c>
      <c r="J36">
        <v>0.19700000000000001</v>
      </c>
      <c r="K36">
        <v>9.7000000000000003E-2</v>
      </c>
      <c r="L36">
        <v>-99.998999999999995</v>
      </c>
      <c r="M36">
        <v>-99.998999999999995</v>
      </c>
      <c r="Q36" s="2">
        <f t="shared" si="2"/>
        <v>-1.6820540930558936</v>
      </c>
      <c r="T36" s="2">
        <f t="shared" si="3"/>
        <v>145527.39557217478</v>
      </c>
      <c r="W36" s="2">
        <f t="shared" si="4"/>
        <v>145527.39557217478</v>
      </c>
    </row>
    <row r="37" spans="1:23">
      <c r="A37">
        <v>1030</v>
      </c>
      <c r="B37">
        <v>4</v>
      </c>
      <c r="C37">
        <v>3</v>
      </c>
      <c r="D37">
        <v>2.3479999999999999</v>
      </c>
      <c r="E37" s="2">
        <f t="shared" si="0"/>
        <v>2.5</v>
      </c>
      <c r="F37" s="2">
        <f t="shared" si="1"/>
        <v>889</v>
      </c>
      <c r="G37">
        <v>-0.108</v>
      </c>
      <c r="H37">
        <v>0.30099999999999999</v>
      </c>
      <c r="I37">
        <v>0.23</v>
      </c>
      <c r="J37">
        <v>0.19700000000000001</v>
      </c>
      <c r="K37">
        <v>9.7000000000000003E-2</v>
      </c>
      <c r="L37">
        <v>-99.998999999999995</v>
      </c>
      <c r="M37">
        <v>-99.998999999999995</v>
      </c>
      <c r="Q37" s="2">
        <f t="shared" si="2"/>
        <v>-1.0020406276218781</v>
      </c>
      <c r="T37" s="2">
        <f t="shared" si="3"/>
        <v>202907.17391461314</v>
      </c>
      <c r="W37" s="2">
        <f t="shared" si="4"/>
        <v>202907.17391461314</v>
      </c>
    </row>
    <row r="38" spans="1:23">
      <c r="A38">
        <v>1031</v>
      </c>
      <c r="B38">
        <v>4</v>
      </c>
      <c r="C38">
        <v>3</v>
      </c>
      <c r="D38">
        <v>0.96399999999999997</v>
      </c>
      <c r="E38" s="2">
        <f t="shared" si="0"/>
        <v>1</v>
      </c>
      <c r="F38" s="2">
        <f t="shared" si="1"/>
        <v>721</v>
      </c>
      <c r="G38">
        <v>-0.19600000000000001</v>
      </c>
      <c r="H38">
        <v>0.30099999999999999</v>
      </c>
      <c r="I38">
        <v>0.23</v>
      </c>
      <c r="J38">
        <v>0.19700000000000001</v>
      </c>
      <c r="K38">
        <v>9.7000000000000003E-2</v>
      </c>
      <c r="L38">
        <v>-99.998999999999995</v>
      </c>
      <c r="M38">
        <v>-99.998999999999995</v>
      </c>
      <c r="Q38" s="2">
        <f t="shared" si="2"/>
        <v>-1.3744738037836024</v>
      </c>
      <c r="T38" s="2">
        <f t="shared" si="3"/>
        <v>171481.12989960139</v>
      </c>
      <c r="W38" s="2">
        <f t="shared" si="4"/>
        <v>171481.12989960139</v>
      </c>
    </row>
    <row r="39" spans="1:23">
      <c r="A39">
        <v>1032</v>
      </c>
      <c r="B39">
        <v>4</v>
      </c>
      <c r="C39">
        <v>3</v>
      </c>
      <c r="D39">
        <v>-1.04</v>
      </c>
      <c r="E39" s="2">
        <f t="shared" si="0"/>
        <v>-1</v>
      </c>
      <c r="F39" s="2">
        <f t="shared" si="1"/>
        <v>387</v>
      </c>
      <c r="G39">
        <v>-0.312</v>
      </c>
      <c r="H39">
        <v>0.30099999999999999</v>
      </c>
      <c r="I39">
        <v>0.23</v>
      </c>
      <c r="J39">
        <v>0.19700000000000001</v>
      </c>
      <c r="K39">
        <v>9.7000000000000003E-2</v>
      </c>
      <c r="L39">
        <v>-99.998999999999995</v>
      </c>
      <c r="M39">
        <v>-99.998999999999995</v>
      </c>
      <c r="Q39" s="2">
        <f t="shared" si="2"/>
        <v>-1.9137484316940763</v>
      </c>
      <c r="T39" s="2">
        <f t="shared" si="3"/>
        <v>125976.94477959879</v>
      </c>
      <c r="W39" s="2">
        <f t="shared" si="4"/>
        <v>125976.94477959879</v>
      </c>
    </row>
    <row r="40" spans="1:23">
      <c r="A40">
        <v>1033</v>
      </c>
      <c r="B40">
        <v>4</v>
      </c>
      <c r="C40">
        <v>3</v>
      </c>
      <c r="D40">
        <v>-2.5190000000000001</v>
      </c>
      <c r="E40" s="2">
        <f t="shared" si="0"/>
        <v>-2.5</v>
      </c>
      <c r="F40" s="2">
        <f t="shared" si="1"/>
        <v>175</v>
      </c>
      <c r="G40">
        <v>-0.438</v>
      </c>
      <c r="H40">
        <v>0.30099999999999999</v>
      </c>
      <c r="I40">
        <v>0.23</v>
      </c>
      <c r="J40">
        <v>0.19700000000000001</v>
      </c>
      <c r="K40">
        <v>9.7000000000000003E-2</v>
      </c>
      <c r="L40">
        <v>-99.998999999999995</v>
      </c>
      <c r="M40">
        <v>-99.998999999999995</v>
      </c>
      <c r="Q40" s="2">
        <f t="shared" si="2"/>
        <v>-2.3117460238495608</v>
      </c>
      <c r="T40" s="2">
        <f t="shared" si="3"/>
        <v>92393.766240435216</v>
      </c>
      <c r="W40" s="2">
        <f t="shared" si="4"/>
        <v>92393.766240435216</v>
      </c>
    </row>
    <row r="41" spans="1:23">
      <c r="A41">
        <v>1034</v>
      </c>
      <c r="B41">
        <v>4</v>
      </c>
      <c r="C41">
        <v>3</v>
      </c>
      <c r="D41">
        <v>-1.4390000000000001</v>
      </c>
      <c r="E41" s="2">
        <f t="shared" si="0"/>
        <v>-1.5</v>
      </c>
      <c r="F41" s="2">
        <f t="shared" si="1"/>
        <v>339</v>
      </c>
      <c r="G41">
        <v>-0.56000000000000005</v>
      </c>
      <c r="H41">
        <v>0.30099999999999999</v>
      </c>
      <c r="I41">
        <v>0.23</v>
      </c>
      <c r="J41">
        <v>0.19700000000000001</v>
      </c>
      <c r="K41">
        <v>9.7000000000000003E-2</v>
      </c>
      <c r="L41">
        <v>-99.998999999999995</v>
      </c>
      <c r="M41">
        <v>-99.998999999999995</v>
      </c>
      <c r="Q41" s="2">
        <f t="shared" si="2"/>
        <v>-2.0211189788678681</v>
      </c>
      <c r="T41" s="2">
        <f t="shared" si="3"/>
        <v>116916.97977816119</v>
      </c>
      <c r="W41" s="2">
        <f t="shared" si="4"/>
        <v>116916.97977816119</v>
      </c>
    </row>
    <row r="42" spans="1:23">
      <c r="A42">
        <v>1035</v>
      </c>
      <c r="B42">
        <v>4</v>
      </c>
      <c r="C42">
        <v>3</v>
      </c>
      <c r="D42">
        <v>-0.35899999999999999</v>
      </c>
      <c r="E42" s="2">
        <f t="shared" si="0"/>
        <v>-0.5</v>
      </c>
      <c r="F42" s="2">
        <f t="shared" si="1"/>
        <v>510</v>
      </c>
      <c r="G42">
        <v>-0.68100000000000005</v>
      </c>
      <c r="H42">
        <v>0.30099999999999999</v>
      </c>
      <c r="I42">
        <v>0.23</v>
      </c>
      <c r="J42">
        <v>0.19700000000000001</v>
      </c>
      <c r="K42">
        <v>9.7000000000000003E-2</v>
      </c>
      <c r="L42">
        <v>-99.998999999999995</v>
      </c>
      <c r="M42">
        <v>-99.998999999999995</v>
      </c>
      <c r="Q42" s="2">
        <f t="shared" si="2"/>
        <v>-1.7304919338861757</v>
      </c>
      <c r="T42" s="2">
        <f t="shared" si="3"/>
        <v>141440.1933158871</v>
      </c>
      <c r="W42" s="2">
        <f t="shared" si="4"/>
        <v>141440.1933158871</v>
      </c>
    </row>
    <row r="43" spans="1:23">
      <c r="A43">
        <v>1036</v>
      </c>
      <c r="B43">
        <v>4</v>
      </c>
      <c r="C43">
        <v>3</v>
      </c>
      <c r="D43">
        <v>-1.9E-2</v>
      </c>
      <c r="E43" s="2">
        <f t="shared" si="0"/>
        <v>0</v>
      </c>
      <c r="F43" s="2">
        <f t="shared" si="1"/>
        <v>563</v>
      </c>
      <c r="G43">
        <v>-0.81299999999999994</v>
      </c>
      <c r="H43">
        <v>0.30099999999999999</v>
      </c>
      <c r="I43">
        <v>0.23</v>
      </c>
      <c r="J43">
        <v>0.19700000000000001</v>
      </c>
      <c r="K43">
        <v>9.7000000000000003E-2</v>
      </c>
      <c r="L43">
        <v>-99.998999999999995</v>
      </c>
      <c r="M43">
        <v>-99.998999999999995</v>
      </c>
      <c r="Q43" s="2">
        <f t="shared" si="2"/>
        <v>-1.6389982345400873</v>
      </c>
      <c r="T43" s="2">
        <f t="shared" si="3"/>
        <v>149160.46424443045</v>
      </c>
      <c r="W43" s="2">
        <f t="shared" si="4"/>
        <v>149160.46424443045</v>
      </c>
    </row>
    <row r="44" spans="1:23">
      <c r="A44">
        <v>1037</v>
      </c>
      <c r="B44">
        <v>4</v>
      </c>
      <c r="C44">
        <v>3</v>
      </c>
      <c r="D44">
        <v>0.56799999999999995</v>
      </c>
      <c r="E44" s="2">
        <f t="shared" si="0"/>
        <v>0.5</v>
      </c>
      <c r="F44" s="2">
        <f t="shared" si="1"/>
        <v>664</v>
      </c>
      <c r="G44">
        <v>-0.96499999999999997</v>
      </c>
      <c r="H44">
        <v>0.30099999999999999</v>
      </c>
      <c r="I44">
        <v>0.23</v>
      </c>
      <c r="J44">
        <v>0.19700000000000001</v>
      </c>
      <c r="K44">
        <v>9.7000000000000003E-2</v>
      </c>
      <c r="L44">
        <v>-99.998999999999995</v>
      </c>
      <c r="M44">
        <v>-99.998999999999995</v>
      </c>
      <c r="Q44" s="2">
        <f t="shared" si="2"/>
        <v>-1.4810370536102231</v>
      </c>
      <c r="T44" s="2">
        <f t="shared" si="3"/>
        <v>162489.28493576852</v>
      </c>
      <c r="W44" s="2">
        <f t="shared" si="4"/>
        <v>162489.28493576852</v>
      </c>
    </row>
    <row r="45" spans="1:23">
      <c r="A45">
        <v>1038</v>
      </c>
      <c r="B45">
        <v>4</v>
      </c>
      <c r="C45">
        <v>3</v>
      </c>
      <c r="D45">
        <v>-2.9000000000000001E-2</v>
      </c>
      <c r="E45" s="2">
        <f t="shared" si="0"/>
        <v>0</v>
      </c>
      <c r="F45" s="2">
        <f t="shared" si="1"/>
        <v>561</v>
      </c>
      <c r="G45">
        <v>-1.1379999999999999</v>
      </c>
      <c r="H45">
        <v>0.30099999999999999</v>
      </c>
      <c r="I45">
        <v>0.23</v>
      </c>
      <c r="J45">
        <v>0.19700000000000001</v>
      </c>
      <c r="K45">
        <v>9.7000000000000003E-2</v>
      </c>
      <c r="L45">
        <v>-99.998999999999995</v>
      </c>
      <c r="M45">
        <v>-99.998999999999995</v>
      </c>
      <c r="Q45" s="2">
        <f t="shared" si="2"/>
        <v>-1.6416892256973252</v>
      </c>
      <c r="T45" s="2">
        <f t="shared" si="3"/>
        <v>148933.39745241447</v>
      </c>
      <c r="W45" s="2">
        <f t="shared" si="4"/>
        <v>148933.39745241447</v>
      </c>
    </row>
    <row r="46" spans="1:23">
      <c r="A46">
        <v>1039</v>
      </c>
      <c r="B46">
        <v>4</v>
      </c>
      <c r="C46">
        <v>3</v>
      </c>
      <c r="D46">
        <v>-0.60799999999999998</v>
      </c>
      <c r="E46" s="2">
        <f t="shared" si="0"/>
        <v>-0.5</v>
      </c>
      <c r="F46" s="2">
        <f t="shared" si="1"/>
        <v>463</v>
      </c>
      <c r="G46">
        <v>-1.3220000000000001</v>
      </c>
      <c r="H46">
        <v>0.30099999999999999</v>
      </c>
      <c r="I46">
        <v>0.23</v>
      </c>
      <c r="J46">
        <v>0.19700000000000001</v>
      </c>
      <c r="K46">
        <v>9.7000000000000003E-2</v>
      </c>
      <c r="L46">
        <v>-99.998999999999995</v>
      </c>
      <c r="M46">
        <v>-99.998999999999995</v>
      </c>
      <c r="Q46" s="2">
        <f t="shared" si="2"/>
        <v>-1.7974976137013994</v>
      </c>
      <c r="T46" s="2">
        <f t="shared" si="3"/>
        <v>135786.23019468918</v>
      </c>
      <c r="W46" s="2">
        <f t="shared" si="4"/>
        <v>135786.23019468918</v>
      </c>
    </row>
    <row r="47" spans="1:23">
      <c r="A47">
        <v>1040</v>
      </c>
      <c r="B47">
        <v>4</v>
      </c>
      <c r="C47">
        <v>3</v>
      </c>
      <c r="D47">
        <v>-2.3149999999999999</v>
      </c>
      <c r="E47" s="2">
        <f t="shared" si="0"/>
        <v>-2.5</v>
      </c>
      <c r="F47" s="2">
        <f t="shared" si="1"/>
        <v>201</v>
      </c>
      <c r="G47">
        <v>-1.492</v>
      </c>
      <c r="H47">
        <v>0.30099999999999999</v>
      </c>
      <c r="I47">
        <v>0.23</v>
      </c>
      <c r="J47">
        <v>0.19700000000000001</v>
      </c>
      <c r="K47">
        <v>9.7000000000000003E-2</v>
      </c>
      <c r="L47">
        <v>-99.998999999999995</v>
      </c>
      <c r="M47">
        <v>-99.998999999999995</v>
      </c>
      <c r="Q47" s="2">
        <f t="shared" si="2"/>
        <v>-2.2568498042419076</v>
      </c>
      <c r="T47" s="2">
        <f t="shared" si="3"/>
        <v>97025.928797561239</v>
      </c>
      <c r="W47" s="2">
        <f t="shared" si="4"/>
        <v>97025.928797561239</v>
      </c>
    </row>
    <row r="48" spans="1:23">
      <c r="A48">
        <v>1041</v>
      </c>
      <c r="B48">
        <v>4</v>
      </c>
      <c r="C48">
        <v>3</v>
      </c>
      <c r="D48">
        <v>-2.355</v>
      </c>
      <c r="E48" s="2">
        <f t="shared" si="0"/>
        <v>-2.5</v>
      </c>
      <c r="F48" s="2">
        <f t="shared" si="1"/>
        <v>194</v>
      </c>
      <c r="G48">
        <v>-1.6220000000000001</v>
      </c>
      <c r="H48">
        <v>0.30099999999999999</v>
      </c>
      <c r="I48">
        <v>0.23</v>
      </c>
      <c r="J48">
        <v>0.19700000000000001</v>
      </c>
      <c r="K48">
        <v>9.7000000000000003E-2</v>
      </c>
      <c r="L48">
        <v>-99.998999999999995</v>
      </c>
      <c r="M48">
        <v>-99.998999999999995</v>
      </c>
      <c r="Q48" s="2">
        <f t="shared" si="2"/>
        <v>-2.2676137688708593</v>
      </c>
      <c r="T48" s="2">
        <f t="shared" si="3"/>
        <v>96117.661629497306</v>
      </c>
      <c r="W48" s="2">
        <f t="shared" si="4"/>
        <v>96117.661629497306</v>
      </c>
    </row>
    <row r="49" spans="1:23">
      <c r="A49">
        <v>1042</v>
      </c>
      <c r="B49">
        <v>4</v>
      </c>
      <c r="C49">
        <v>3</v>
      </c>
      <c r="D49">
        <v>-1.6459999999999999</v>
      </c>
      <c r="E49" s="2">
        <f t="shared" si="0"/>
        <v>-1.5</v>
      </c>
      <c r="F49" s="2">
        <f t="shared" si="1"/>
        <v>299</v>
      </c>
      <c r="G49">
        <v>-1.6890000000000001</v>
      </c>
      <c r="H49">
        <v>0.30099999999999999</v>
      </c>
      <c r="I49">
        <v>0.23</v>
      </c>
      <c r="J49">
        <v>0.19700000000000001</v>
      </c>
      <c r="K49">
        <v>9.7000000000000003E-2</v>
      </c>
      <c r="L49">
        <v>-99.998999999999995</v>
      </c>
      <c r="M49">
        <v>-99.998999999999995</v>
      </c>
      <c r="Q49" s="2">
        <f t="shared" si="2"/>
        <v>-2.0768224958226926</v>
      </c>
      <c r="T49" s="2">
        <f t="shared" si="3"/>
        <v>112216.69718343037</v>
      </c>
      <c r="W49" s="2">
        <f t="shared" si="4"/>
        <v>112216.69718343037</v>
      </c>
    </row>
    <row r="50" spans="1:23">
      <c r="A50">
        <v>1043</v>
      </c>
      <c r="B50">
        <v>4</v>
      </c>
      <c r="C50">
        <v>3</v>
      </c>
      <c r="D50">
        <v>-3.1110000000000002</v>
      </c>
      <c r="E50" s="2">
        <f t="shared" si="0"/>
        <v>-3</v>
      </c>
      <c r="F50" s="2">
        <f t="shared" si="1"/>
        <v>99</v>
      </c>
      <c r="G50">
        <v>-1.6779999999999999</v>
      </c>
      <c r="H50">
        <v>0.30099999999999999</v>
      </c>
      <c r="I50">
        <v>0.23</v>
      </c>
      <c r="J50">
        <v>0.19700000000000001</v>
      </c>
      <c r="K50">
        <v>9.7000000000000003E-2</v>
      </c>
      <c r="L50">
        <v>-99.998999999999995</v>
      </c>
      <c r="M50">
        <v>-99.998999999999995</v>
      </c>
      <c r="Q50" s="2">
        <f t="shared" si="2"/>
        <v>-2.4710527003580438</v>
      </c>
      <c r="T50" s="2">
        <f t="shared" si="3"/>
        <v>78951.412153089186</v>
      </c>
      <c r="W50" s="2">
        <f t="shared" si="4"/>
        <v>78951.412153089186</v>
      </c>
    </row>
    <row r="51" spans="1:23">
      <c r="A51">
        <v>1044</v>
      </c>
      <c r="B51">
        <v>4</v>
      </c>
      <c r="C51">
        <v>3</v>
      </c>
      <c r="D51">
        <v>-4.1280000000000001</v>
      </c>
      <c r="E51" s="2">
        <f t="shared" si="0"/>
        <v>-4</v>
      </c>
      <c r="F51" s="2">
        <f t="shared" si="1"/>
        <v>24</v>
      </c>
      <c r="G51">
        <v>-1.5740000000000001</v>
      </c>
      <c r="H51">
        <v>0.30099999999999999</v>
      </c>
      <c r="I51">
        <v>0.23</v>
      </c>
      <c r="J51">
        <v>0.19700000000000001</v>
      </c>
      <c r="K51">
        <v>9.7000000000000003E-2</v>
      </c>
      <c r="L51">
        <v>-99.998999999999995</v>
      </c>
      <c r="M51">
        <v>-99.998999999999995</v>
      </c>
      <c r="Q51" s="2">
        <f t="shared" si="2"/>
        <v>-2.7447265010491377</v>
      </c>
      <c r="T51" s="2">
        <f t="shared" si="3"/>
        <v>55858.719405063894</v>
      </c>
      <c r="W51" s="2">
        <f t="shared" si="4"/>
        <v>55858.719405063894</v>
      </c>
    </row>
    <row r="52" spans="1:23">
      <c r="A52">
        <v>1045</v>
      </c>
      <c r="B52">
        <v>4</v>
      </c>
      <c r="C52">
        <v>3</v>
      </c>
      <c r="D52">
        <v>-1.2569999999999999</v>
      </c>
      <c r="E52" s="2">
        <f t="shared" si="0"/>
        <v>-1.5</v>
      </c>
      <c r="F52" s="2">
        <f t="shared" si="1"/>
        <v>362</v>
      </c>
      <c r="G52">
        <v>-1.379</v>
      </c>
      <c r="H52">
        <v>0.30099999999999999</v>
      </c>
      <c r="I52">
        <v>0.23</v>
      </c>
      <c r="J52">
        <v>0.19700000000000001</v>
      </c>
      <c r="K52">
        <v>9.7000000000000003E-2</v>
      </c>
      <c r="L52">
        <v>-99.998999999999995</v>
      </c>
      <c r="M52">
        <v>-99.998999999999995</v>
      </c>
      <c r="Q52" s="2">
        <f t="shared" si="2"/>
        <v>-1.9721429398061385</v>
      </c>
      <c r="T52" s="2">
        <f t="shared" si="3"/>
        <v>121049.59539285203</v>
      </c>
      <c r="W52" s="2">
        <f t="shared" si="4"/>
        <v>121049.59539285203</v>
      </c>
    </row>
    <row r="53" spans="1:23">
      <c r="A53">
        <v>1046</v>
      </c>
      <c r="B53">
        <v>4</v>
      </c>
      <c r="C53">
        <v>3</v>
      </c>
      <c r="D53">
        <v>1.079</v>
      </c>
      <c r="E53" s="2">
        <f t="shared" si="0"/>
        <v>1</v>
      </c>
      <c r="F53" s="2">
        <f t="shared" si="1"/>
        <v>744</v>
      </c>
      <c r="G53">
        <v>-1.1100000000000001</v>
      </c>
      <c r="H53">
        <v>0.30099999999999999</v>
      </c>
      <c r="I53">
        <v>0.23</v>
      </c>
      <c r="J53">
        <v>0.19700000000000001</v>
      </c>
      <c r="K53">
        <v>9.7000000000000003E-2</v>
      </c>
      <c r="L53">
        <v>-99.998999999999995</v>
      </c>
      <c r="M53">
        <v>-99.998999999999995</v>
      </c>
      <c r="Q53" s="2">
        <f t="shared" si="2"/>
        <v>-1.3435274054753668</v>
      </c>
      <c r="T53" s="2">
        <f t="shared" si="3"/>
        <v>174092.39800778514</v>
      </c>
      <c r="W53" s="2">
        <f t="shared" si="4"/>
        <v>174092.39800778514</v>
      </c>
    </row>
    <row r="54" spans="1:23">
      <c r="A54">
        <v>1047</v>
      </c>
      <c r="B54">
        <v>4</v>
      </c>
      <c r="C54">
        <v>3</v>
      </c>
      <c r="D54">
        <v>-1.1579999999999999</v>
      </c>
      <c r="E54" s="2">
        <f t="shared" si="0"/>
        <v>-1</v>
      </c>
      <c r="F54" s="2">
        <f t="shared" si="1"/>
        <v>375</v>
      </c>
      <c r="G54">
        <v>-0.78900000000000003</v>
      </c>
      <c r="H54">
        <v>0.30099999999999999</v>
      </c>
      <c r="I54">
        <v>0.23</v>
      </c>
      <c r="J54">
        <v>0.19700000000000001</v>
      </c>
      <c r="K54">
        <v>9.7000000000000003E-2</v>
      </c>
      <c r="L54">
        <v>-99.998999999999995</v>
      </c>
      <c r="M54">
        <v>-99.998999999999995</v>
      </c>
      <c r="Q54" s="2">
        <f t="shared" si="2"/>
        <v>-1.9455021273494835</v>
      </c>
      <c r="T54" s="2">
        <f t="shared" si="3"/>
        <v>123297.55663381022</v>
      </c>
      <c r="W54" s="2">
        <f t="shared" si="4"/>
        <v>123297.55663381022</v>
      </c>
    </row>
    <row r="55" spans="1:23">
      <c r="A55">
        <v>1048</v>
      </c>
      <c r="B55">
        <v>4</v>
      </c>
      <c r="C55">
        <v>3</v>
      </c>
      <c r="D55">
        <v>-0.79100000000000004</v>
      </c>
      <c r="E55" s="2">
        <f t="shared" si="0"/>
        <v>-1</v>
      </c>
      <c r="F55" s="2">
        <f t="shared" si="1"/>
        <v>423</v>
      </c>
      <c r="G55">
        <v>-0.41799999999999998</v>
      </c>
      <c r="H55">
        <v>0.30099999999999999</v>
      </c>
      <c r="I55">
        <v>0.23</v>
      </c>
      <c r="J55">
        <v>0.19700000000000001</v>
      </c>
      <c r="K55">
        <v>9.7000000000000003E-2</v>
      </c>
      <c r="L55">
        <v>-99.998999999999995</v>
      </c>
      <c r="M55">
        <v>-99.998999999999995</v>
      </c>
      <c r="Q55" s="2">
        <f t="shared" si="2"/>
        <v>-1.8467427518788528</v>
      </c>
      <c r="T55" s="2">
        <f t="shared" si="3"/>
        <v>131630.90790079671</v>
      </c>
      <c r="W55" s="2">
        <f t="shared" si="4"/>
        <v>131630.90790079671</v>
      </c>
    </row>
    <row r="56" spans="1:23">
      <c r="A56">
        <v>1049</v>
      </c>
      <c r="B56">
        <v>4</v>
      </c>
      <c r="C56">
        <v>3</v>
      </c>
      <c r="D56">
        <v>-0.247</v>
      </c>
      <c r="E56" s="2">
        <f t="shared" si="0"/>
        <v>0</v>
      </c>
      <c r="F56" s="2">
        <f t="shared" si="1"/>
        <v>525</v>
      </c>
      <c r="G56">
        <v>-4.0000000000000001E-3</v>
      </c>
      <c r="H56">
        <v>0.30099999999999999</v>
      </c>
      <c r="I56">
        <v>0.23</v>
      </c>
      <c r="J56">
        <v>0.19700000000000001</v>
      </c>
      <c r="K56">
        <v>9.7000000000000003E-2</v>
      </c>
      <c r="L56">
        <v>-99.998999999999995</v>
      </c>
      <c r="M56">
        <v>-99.998999999999995</v>
      </c>
      <c r="Q56" s="2">
        <f t="shared" si="2"/>
        <v>-1.7003528329251114</v>
      </c>
      <c r="T56" s="2">
        <f t="shared" si="3"/>
        <v>143983.34138646608</v>
      </c>
      <c r="W56" s="2">
        <f t="shared" si="4"/>
        <v>143983.34138646608</v>
      </c>
    </row>
    <row r="57" spans="1:23">
      <c r="A57">
        <v>1050</v>
      </c>
      <c r="B57">
        <v>4</v>
      </c>
      <c r="C57">
        <v>3</v>
      </c>
      <c r="D57">
        <v>-3.4729999999999999</v>
      </c>
      <c r="E57" s="2">
        <f t="shared" si="0"/>
        <v>-3.5</v>
      </c>
      <c r="F57" s="2">
        <f t="shared" si="1"/>
        <v>78</v>
      </c>
      <c r="G57">
        <v>0.44700000000000001</v>
      </c>
      <c r="H57">
        <v>0.30099999999999999</v>
      </c>
      <c r="I57">
        <v>0.23</v>
      </c>
      <c r="J57">
        <v>0.19700000000000001</v>
      </c>
      <c r="K57">
        <v>9.7000000000000003E-2</v>
      </c>
      <c r="L57">
        <v>-99.998999999999995</v>
      </c>
      <c r="M57">
        <v>-99.998999999999995</v>
      </c>
      <c r="Q57" s="2">
        <f t="shared" si="2"/>
        <v>-2.5684665802500555</v>
      </c>
      <c r="T57" s="2">
        <f t="shared" si="3"/>
        <v>70731.594282110658</v>
      </c>
      <c r="W57" s="2">
        <f t="shared" si="4"/>
        <v>70731.594282110658</v>
      </c>
    </row>
    <row r="58" spans="1:23">
      <c r="A58">
        <v>1051</v>
      </c>
      <c r="B58">
        <v>4</v>
      </c>
      <c r="C58">
        <v>3</v>
      </c>
      <c r="D58">
        <v>-1.7450000000000001</v>
      </c>
      <c r="E58" s="2">
        <f t="shared" si="0"/>
        <v>-1.5</v>
      </c>
      <c r="F58" s="2">
        <f t="shared" si="1"/>
        <v>285</v>
      </c>
      <c r="G58">
        <v>0.91800000000000004</v>
      </c>
      <c r="H58">
        <v>0.30099999999999999</v>
      </c>
      <c r="I58">
        <v>0.23</v>
      </c>
      <c r="J58">
        <v>0.19700000000000001</v>
      </c>
      <c r="K58">
        <v>9.7000000000000003E-2</v>
      </c>
      <c r="L58">
        <v>-99.998999999999995</v>
      </c>
      <c r="M58">
        <v>-99.998999999999995</v>
      </c>
      <c r="Q58" s="2">
        <f t="shared" si="2"/>
        <v>-2.1034633082793479</v>
      </c>
      <c r="T58" s="2">
        <f t="shared" si="3"/>
        <v>109968.73594247215</v>
      </c>
      <c r="W58" s="2">
        <f t="shared" si="4"/>
        <v>109968.73594247215</v>
      </c>
    </row>
    <row r="59" spans="1:23">
      <c r="A59">
        <v>1052</v>
      </c>
      <c r="B59">
        <v>4</v>
      </c>
      <c r="C59">
        <v>3</v>
      </c>
      <c r="D59">
        <v>2.7360000000000002</v>
      </c>
      <c r="E59" s="2">
        <f t="shared" si="0"/>
        <v>2.5</v>
      </c>
      <c r="F59" s="2">
        <f t="shared" si="1"/>
        <v>923</v>
      </c>
      <c r="G59">
        <v>1.3620000000000001</v>
      </c>
      <c r="H59">
        <v>0.30099999999999999</v>
      </c>
      <c r="I59">
        <v>0.23</v>
      </c>
      <c r="J59">
        <v>0.19700000000000001</v>
      </c>
      <c r="K59">
        <v>9.7000000000000003E-2</v>
      </c>
      <c r="L59">
        <v>-99.998999999999995</v>
      </c>
      <c r="M59">
        <v>-99.998999999999995</v>
      </c>
      <c r="Q59" s="2">
        <f t="shared" si="2"/>
        <v>-0.89763017072104778</v>
      </c>
      <c r="T59" s="2">
        <f t="shared" si="3"/>
        <v>211717.36544483318</v>
      </c>
      <c r="W59" s="2">
        <f t="shared" si="4"/>
        <v>211717.36544483318</v>
      </c>
    </row>
    <row r="60" spans="1:23">
      <c r="A60">
        <v>1053</v>
      </c>
      <c r="B60">
        <v>4</v>
      </c>
      <c r="C60">
        <v>3</v>
      </c>
      <c r="D60">
        <v>5.3440000000000003</v>
      </c>
      <c r="E60" s="2">
        <f t="shared" si="0"/>
        <v>5.5</v>
      </c>
      <c r="F60" s="2">
        <f t="shared" si="1"/>
        <v>1002</v>
      </c>
      <c r="G60">
        <v>1.7110000000000001</v>
      </c>
      <c r="H60">
        <v>0.30099999999999999</v>
      </c>
      <c r="I60">
        <v>0.23</v>
      </c>
      <c r="J60">
        <v>0.19700000000000001</v>
      </c>
      <c r="K60">
        <v>9.7000000000000003E-2</v>
      </c>
      <c r="L60">
        <v>-99.998999999999995</v>
      </c>
      <c r="M60">
        <v>-99.998999999999995</v>
      </c>
      <c r="Q60" s="2">
        <f t="shared" si="2"/>
        <v>-0.19581967691340529</v>
      </c>
      <c r="T60" s="2">
        <f t="shared" si="3"/>
        <v>270936.38480260101</v>
      </c>
      <c r="W60" s="2">
        <f t="shared" si="4"/>
        <v>270936.38480260101</v>
      </c>
    </row>
    <row r="61" spans="1:23">
      <c r="A61">
        <v>1054</v>
      </c>
      <c r="B61">
        <v>4</v>
      </c>
      <c r="C61">
        <v>3</v>
      </c>
      <c r="D61">
        <v>6.2949999999999999</v>
      </c>
      <c r="E61" s="2">
        <f t="shared" si="0"/>
        <v>6.5</v>
      </c>
      <c r="F61" s="2">
        <f t="shared" si="1"/>
        <v>1007</v>
      </c>
      <c r="G61">
        <v>1.907</v>
      </c>
      <c r="H61">
        <v>0.30099999999999999</v>
      </c>
      <c r="I61">
        <v>0.23</v>
      </c>
      <c r="J61">
        <v>0.19700000000000001</v>
      </c>
      <c r="K61">
        <v>9.7000000000000003E-2</v>
      </c>
      <c r="L61">
        <v>-99.998999999999995</v>
      </c>
      <c r="M61">
        <v>-99.998999999999995</v>
      </c>
      <c r="Q61" s="2">
        <f t="shared" si="2"/>
        <v>6.0093582139918222E-2</v>
      </c>
      <c r="T61" s="2">
        <f t="shared" si="3"/>
        <v>292530.4367233208</v>
      </c>
      <c r="W61" s="2">
        <f t="shared" si="4"/>
        <v>292530.4367233208</v>
      </c>
    </row>
    <row r="62" spans="1:23">
      <c r="A62">
        <v>1055</v>
      </c>
      <c r="B62">
        <v>4</v>
      </c>
      <c r="C62">
        <v>3</v>
      </c>
      <c r="D62">
        <v>5.6509999999999998</v>
      </c>
      <c r="E62" s="2">
        <f t="shared" si="0"/>
        <v>5.5</v>
      </c>
      <c r="F62" s="2">
        <f t="shared" si="1"/>
        <v>1003</v>
      </c>
      <c r="G62">
        <v>1.9259999999999999</v>
      </c>
      <c r="H62">
        <v>0.30099999999999999</v>
      </c>
      <c r="I62">
        <v>0.23</v>
      </c>
      <c r="J62">
        <v>0.19700000000000001</v>
      </c>
      <c r="K62">
        <v>9.7000000000000003E-2</v>
      </c>
      <c r="L62">
        <v>-99.998999999999995</v>
      </c>
      <c r="M62">
        <v>-99.998999999999995</v>
      </c>
      <c r="Q62" s="2">
        <f t="shared" si="2"/>
        <v>-0.11320624838620197</v>
      </c>
      <c r="T62" s="2">
        <f t="shared" si="3"/>
        <v>277907.33531749161</v>
      </c>
      <c r="W62" s="2">
        <f t="shared" si="4"/>
        <v>277907.33531749161</v>
      </c>
    </row>
    <row r="63" spans="1:23">
      <c r="A63">
        <v>1056</v>
      </c>
      <c r="B63">
        <v>4</v>
      </c>
      <c r="C63">
        <v>3</v>
      </c>
      <c r="D63">
        <v>1.946</v>
      </c>
      <c r="E63" s="2">
        <f t="shared" si="0"/>
        <v>2</v>
      </c>
      <c r="F63" s="2">
        <f t="shared" si="1"/>
        <v>845</v>
      </c>
      <c r="G63">
        <v>1.784</v>
      </c>
      <c r="H63">
        <v>0.30099999999999999</v>
      </c>
      <c r="I63">
        <v>0.23</v>
      </c>
      <c r="J63">
        <v>0.19700000000000001</v>
      </c>
      <c r="K63">
        <v>9.7000000000000003E-2</v>
      </c>
      <c r="L63">
        <v>-99.998999999999995</v>
      </c>
      <c r="M63">
        <v>-99.998999999999995</v>
      </c>
      <c r="Q63" s="2">
        <f t="shared" si="2"/>
        <v>-1.1102184721428414</v>
      </c>
      <c r="T63" s="2">
        <f t="shared" si="3"/>
        <v>193779.08887557068</v>
      </c>
      <c r="W63" s="2">
        <f t="shared" si="4"/>
        <v>193779.08887557068</v>
      </c>
    </row>
    <row r="64" spans="1:23">
      <c r="A64">
        <v>1057</v>
      </c>
      <c r="B64">
        <v>4</v>
      </c>
      <c r="C64">
        <v>3</v>
      </c>
      <c r="D64">
        <v>-0.74</v>
      </c>
      <c r="E64" s="2">
        <f t="shared" si="0"/>
        <v>-0.5</v>
      </c>
      <c r="F64" s="2">
        <f t="shared" si="1"/>
        <v>435</v>
      </c>
      <c r="G64">
        <v>1.528</v>
      </c>
      <c r="H64">
        <v>0.30099999999999999</v>
      </c>
      <c r="I64">
        <v>0.23</v>
      </c>
      <c r="J64">
        <v>0.19700000000000001</v>
      </c>
      <c r="K64">
        <v>9.7000000000000003E-2</v>
      </c>
      <c r="L64">
        <v>-99.998999999999995</v>
      </c>
      <c r="M64">
        <v>-99.998999999999995</v>
      </c>
      <c r="Q64" s="2">
        <f t="shared" si="2"/>
        <v>-1.8330186969769395</v>
      </c>
      <c r="T64" s="2">
        <f t="shared" si="3"/>
        <v>132788.94854007821</v>
      </c>
      <c r="W64" s="2">
        <f t="shared" si="4"/>
        <v>132788.94854007821</v>
      </c>
    </row>
    <row r="65" spans="1:23">
      <c r="A65">
        <v>1058</v>
      </c>
      <c r="B65">
        <v>4</v>
      </c>
      <c r="C65">
        <v>3</v>
      </c>
      <c r="D65">
        <v>0.17599999999999999</v>
      </c>
      <c r="E65" s="2">
        <f t="shared" si="0"/>
        <v>0</v>
      </c>
      <c r="F65" s="2">
        <f t="shared" si="1"/>
        <v>597</v>
      </c>
      <c r="G65">
        <v>1.208</v>
      </c>
      <c r="H65">
        <v>0.30099999999999999</v>
      </c>
      <c r="I65">
        <v>0.23</v>
      </c>
      <c r="J65">
        <v>0.19700000000000001</v>
      </c>
      <c r="K65">
        <v>9.7000000000000003E-2</v>
      </c>
      <c r="L65">
        <v>-99.998999999999995</v>
      </c>
      <c r="M65">
        <v>-99.998999999999995</v>
      </c>
      <c r="Q65" s="2">
        <f t="shared" si="2"/>
        <v>-1.5865239069739485</v>
      </c>
      <c r="T65" s="2">
        <f t="shared" si="3"/>
        <v>153588.26668874206</v>
      </c>
      <c r="W65" s="2">
        <f t="shared" si="4"/>
        <v>153588.26668874206</v>
      </c>
    </row>
    <row r="66" spans="1:23">
      <c r="A66">
        <v>1059</v>
      </c>
      <c r="B66">
        <v>4</v>
      </c>
      <c r="C66">
        <v>3</v>
      </c>
      <c r="D66">
        <v>2.2320000000000002</v>
      </c>
      <c r="E66" s="2">
        <f t="shared" si="0"/>
        <v>2</v>
      </c>
      <c r="F66" s="2">
        <f t="shared" si="1"/>
        <v>874</v>
      </c>
      <c r="G66">
        <v>0.86099999999999999</v>
      </c>
      <c r="H66">
        <v>0.30099999999999999</v>
      </c>
      <c r="I66">
        <v>0.23</v>
      </c>
      <c r="J66">
        <v>0.19700000000000001</v>
      </c>
      <c r="K66">
        <v>9.7000000000000003E-2</v>
      </c>
      <c r="L66">
        <v>-99.998999999999995</v>
      </c>
      <c r="M66">
        <v>-99.998999999999995</v>
      </c>
      <c r="Q66" s="2">
        <f t="shared" si="2"/>
        <v>-1.0332561250458376</v>
      </c>
      <c r="T66" s="2">
        <f t="shared" si="3"/>
        <v>200273.19912722777</v>
      </c>
      <c r="W66" s="2">
        <f t="shared" si="4"/>
        <v>200273.19912722777</v>
      </c>
    </row>
    <row r="67" spans="1:23">
      <c r="A67">
        <v>1060</v>
      </c>
      <c r="B67">
        <v>4</v>
      </c>
      <c r="C67">
        <v>3</v>
      </c>
      <c r="D67">
        <v>1.3819999999999999</v>
      </c>
      <c r="E67" s="2">
        <f t="shared" ref="E67:E130" si="5">IF(D67&gt;0,MROUND(D67,0.5),MROUND(D67,-0.5))</f>
        <v>1.5</v>
      </c>
      <c r="F67" s="2">
        <f t="shared" ref="F67:F130" si="6">RANK(D67,$D$3:$D$1011,1)</f>
        <v>784</v>
      </c>
      <c r="G67">
        <v>0.51100000000000001</v>
      </c>
      <c r="H67">
        <v>0.30099999999999999</v>
      </c>
      <c r="I67">
        <v>0.23</v>
      </c>
      <c r="J67">
        <v>0.19700000000000001</v>
      </c>
      <c r="K67">
        <v>9.7000000000000003E-2</v>
      </c>
      <c r="L67">
        <v>-99.998999999999995</v>
      </c>
      <c r="M67">
        <v>-99.998999999999995</v>
      </c>
      <c r="Q67" s="2">
        <f t="shared" ref="Q67:Q130" si="7">$Q$1022+($Q$1021*D67)</f>
        <v>-1.2619903734110585</v>
      </c>
      <c r="T67" s="2">
        <f t="shared" ref="T67:T130" si="8">$T$1025+(Q67*$T$1024)</f>
        <v>180972.52180586939</v>
      </c>
      <c r="W67" s="2">
        <f t="shared" ref="W67:W130" si="9">$T$1025+(Q67*$T$1024)</f>
        <v>180972.52180586939</v>
      </c>
    </row>
    <row r="68" spans="1:23">
      <c r="A68">
        <v>1061</v>
      </c>
      <c r="B68">
        <v>4</v>
      </c>
      <c r="C68">
        <v>3</v>
      </c>
      <c r="D68">
        <v>-3.0710000000000002</v>
      </c>
      <c r="E68" s="2">
        <f t="shared" si="5"/>
        <v>-3</v>
      </c>
      <c r="F68" s="2">
        <f t="shared" si="6"/>
        <v>105</v>
      </c>
      <c r="G68">
        <v>0.19500000000000001</v>
      </c>
      <c r="H68">
        <v>0.30099999999999999</v>
      </c>
      <c r="I68">
        <v>0.23</v>
      </c>
      <c r="J68">
        <v>0.19700000000000001</v>
      </c>
      <c r="K68">
        <v>9.7000000000000003E-2</v>
      </c>
      <c r="L68">
        <v>-99.998999999999995</v>
      </c>
      <c r="M68">
        <v>-99.998999999999995</v>
      </c>
      <c r="Q68" s="2">
        <f t="shared" si="7"/>
        <v>-2.4602887357290921</v>
      </c>
      <c r="T68" s="2">
        <f t="shared" si="8"/>
        <v>79859.679321153119</v>
      </c>
      <c r="W68" s="2">
        <f t="shared" si="9"/>
        <v>79859.679321153119</v>
      </c>
    </row>
    <row r="69" spans="1:23">
      <c r="A69">
        <v>1062</v>
      </c>
      <c r="B69">
        <v>4</v>
      </c>
      <c r="C69">
        <v>3</v>
      </c>
      <c r="D69">
        <v>-3.6709999999999998</v>
      </c>
      <c r="E69" s="2">
        <f t="shared" si="5"/>
        <v>-3.5</v>
      </c>
      <c r="F69" s="2">
        <f t="shared" si="6"/>
        <v>60</v>
      </c>
      <c r="G69">
        <v>-5.0999999999999997E-2</v>
      </c>
      <c r="H69">
        <v>0.30099999999999999</v>
      </c>
      <c r="I69">
        <v>0.23</v>
      </c>
      <c r="J69">
        <v>0.19700000000000001</v>
      </c>
      <c r="K69">
        <v>9.7000000000000003E-2</v>
      </c>
      <c r="L69">
        <v>-99.998999999999995</v>
      </c>
      <c r="M69">
        <v>-99.998999999999995</v>
      </c>
      <c r="Q69" s="2">
        <f t="shared" si="7"/>
        <v>-2.621748205163366</v>
      </c>
      <c r="T69" s="2">
        <f t="shared" si="8"/>
        <v>66235.671800194221</v>
      </c>
      <c r="W69" s="2">
        <f t="shared" si="9"/>
        <v>66235.671800194221</v>
      </c>
    </row>
    <row r="70" spans="1:23">
      <c r="A70">
        <v>1063</v>
      </c>
      <c r="B70">
        <v>4</v>
      </c>
      <c r="C70">
        <v>3</v>
      </c>
      <c r="D70">
        <v>-2.3929999999999998</v>
      </c>
      <c r="E70" s="2">
        <f t="shared" si="5"/>
        <v>-2.5</v>
      </c>
      <c r="F70" s="2">
        <f t="shared" si="6"/>
        <v>188</v>
      </c>
      <c r="G70">
        <v>-0.214</v>
      </c>
      <c r="H70">
        <v>0.30099999999999999</v>
      </c>
      <c r="I70">
        <v>0.23</v>
      </c>
      <c r="J70">
        <v>0.19700000000000001</v>
      </c>
      <c r="K70">
        <v>9.7000000000000003E-2</v>
      </c>
      <c r="L70">
        <v>-99.998999999999995</v>
      </c>
      <c r="M70">
        <v>-99.998999999999995</v>
      </c>
      <c r="Q70" s="2">
        <f t="shared" si="7"/>
        <v>-2.2778395352683631</v>
      </c>
      <c r="T70" s="2">
        <f t="shared" si="8"/>
        <v>95254.807819836598</v>
      </c>
      <c r="W70" s="2">
        <f t="shared" si="9"/>
        <v>95254.807819836598</v>
      </c>
    </row>
    <row r="71" spans="1:23">
      <c r="A71">
        <v>1064</v>
      </c>
      <c r="B71">
        <v>4</v>
      </c>
      <c r="C71">
        <v>3</v>
      </c>
      <c r="D71">
        <v>0.55300000000000005</v>
      </c>
      <c r="E71" s="2">
        <f t="shared" si="5"/>
        <v>0.5</v>
      </c>
      <c r="F71" s="2">
        <f t="shared" si="6"/>
        <v>657</v>
      </c>
      <c r="G71">
        <v>-0.314</v>
      </c>
      <c r="H71">
        <v>0.30099999999999999</v>
      </c>
      <c r="I71">
        <v>0.23</v>
      </c>
      <c r="J71">
        <v>0.19700000000000001</v>
      </c>
      <c r="K71">
        <v>9.7000000000000003E-2</v>
      </c>
      <c r="L71">
        <v>-99.998999999999995</v>
      </c>
      <c r="M71">
        <v>-99.998999999999995</v>
      </c>
      <c r="Q71" s="2">
        <f t="shared" si="7"/>
        <v>-1.48507354034608</v>
      </c>
      <c r="T71" s="2">
        <f t="shared" si="8"/>
        <v>162148.68474774456</v>
      </c>
      <c r="W71" s="2">
        <f t="shared" si="9"/>
        <v>162148.68474774456</v>
      </c>
    </row>
    <row r="72" spans="1:23">
      <c r="A72">
        <v>1065</v>
      </c>
      <c r="B72">
        <v>4</v>
      </c>
      <c r="C72">
        <v>3</v>
      </c>
      <c r="D72">
        <v>1.724</v>
      </c>
      <c r="E72" s="2">
        <f t="shared" si="5"/>
        <v>1.5</v>
      </c>
      <c r="F72" s="2">
        <f t="shared" si="6"/>
        <v>827</v>
      </c>
      <c r="G72">
        <v>-0.39</v>
      </c>
      <c r="H72">
        <v>0.30099999999999999</v>
      </c>
      <c r="I72">
        <v>0.23</v>
      </c>
      <c r="J72">
        <v>0.19700000000000001</v>
      </c>
      <c r="K72">
        <v>9.7000000000000003E-2</v>
      </c>
      <c r="L72">
        <v>-99.998999999999995</v>
      </c>
      <c r="M72">
        <v>-99.998999999999995</v>
      </c>
      <c r="Q72" s="2">
        <f t="shared" si="7"/>
        <v>-1.1699584758335226</v>
      </c>
      <c r="T72" s="2">
        <f>$T$1025+(Q72*$T$1024)</f>
        <v>188738.2060928159</v>
      </c>
      <c r="W72" s="2">
        <f t="shared" si="9"/>
        <v>188738.2060928159</v>
      </c>
    </row>
    <row r="73" spans="1:23">
      <c r="A73">
        <v>1066</v>
      </c>
      <c r="B73">
        <v>4</v>
      </c>
      <c r="C73">
        <v>3</v>
      </c>
      <c r="D73">
        <v>-0.13200000000000001</v>
      </c>
      <c r="E73" s="2">
        <f t="shared" si="5"/>
        <v>0</v>
      </c>
      <c r="F73" s="2">
        <f t="shared" si="6"/>
        <v>549</v>
      </c>
      <c r="G73">
        <v>-0.47599999999999998</v>
      </c>
      <c r="H73">
        <v>0.30099999999999999</v>
      </c>
      <c r="I73">
        <v>0.23</v>
      </c>
      <c r="J73">
        <v>0.19700000000000001</v>
      </c>
      <c r="K73">
        <v>9.7000000000000003E-2</v>
      </c>
      <c r="L73">
        <v>-99.998999999999995</v>
      </c>
      <c r="M73">
        <v>-99.998999999999995</v>
      </c>
      <c r="Q73" s="2">
        <f t="shared" si="7"/>
        <v>-1.6694064346168755</v>
      </c>
      <c r="T73" s="2">
        <f t="shared" si="8"/>
        <v>146594.60949464986</v>
      </c>
      <c r="W73" s="2">
        <f t="shared" si="9"/>
        <v>146594.60949464986</v>
      </c>
    </row>
    <row r="74" spans="1:23">
      <c r="A74">
        <v>1067</v>
      </c>
      <c r="B74">
        <v>4</v>
      </c>
      <c r="C74">
        <v>3</v>
      </c>
      <c r="D74">
        <v>1.222</v>
      </c>
      <c r="E74" s="2">
        <f t="shared" si="5"/>
        <v>1</v>
      </c>
      <c r="F74" s="2">
        <f t="shared" si="6"/>
        <v>764</v>
      </c>
      <c r="G74">
        <v>-0.58899999999999997</v>
      </c>
      <c r="H74">
        <v>0.30099999999999999</v>
      </c>
      <c r="I74">
        <v>0.23</v>
      </c>
      <c r="J74">
        <v>0.19700000000000001</v>
      </c>
      <c r="K74">
        <v>9.7000000000000003E-2</v>
      </c>
      <c r="L74">
        <v>-99.998999999999995</v>
      </c>
      <c r="M74">
        <v>-99.998999999999995</v>
      </c>
      <c r="Q74" s="2">
        <f t="shared" si="7"/>
        <v>-1.3050462319268648</v>
      </c>
      <c r="T74" s="2">
        <f t="shared" si="8"/>
        <v>177339.45313361369</v>
      </c>
      <c r="W74" s="2">
        <f t="shared" si="9"/>
        <v>177339.45313361369</v>
      </c>
    </row>
    <row r="75" spans="1:23">
      <c r="A75">
        <v>1068</v>
      </c>
      <c r="B75">
        <v>4</v>
      </c>
      <c r="C75">
        <v>3</v>
      </c>
      <c r="D75">
        <v>0.47499999999999998</v>
      </c>
      <c r="E75" s="2">
        <f t="shared" si="5"/>
        <v>0.5</v>
      </c>
      <c r="F75" s="2">
        <f t="shared" si="6"/>
        <v>646</v>
      </c>
      <c r="G75">
        <v>-0.73899999999999999</v>
      </c>
      <c r="H75">
        <v>0.30099999999999999</v>
      </c>
      <c r="I75">
        <v>0.23</v>
      </c>
      <c r="J75">
        <v>0.19700000000000001</v>
      </c>
      <c r="K75">
        <v>9.7000000000000003E-2</v>
      </c>
      <c r="L75">
        <v>-99.998999999999995</v>
      </c>
      <c r="M75">
        <v>-99.998999999999995</v>
      </c>
      <c r="Q75" s="2">
        <f t="shared" si="7"/>
        <v>-1.5060632713725355</v>
      </c>
      <c r="T75" s="2">
        <f t="shared" si="8"/>
        <v>160377.56377001991</v>
      </c>
      <c r="W75" s="2">
        <f t="shared" si="9"/>
        <v>160377.56377001991</v>
      </c>
    </row>
    <row r="76" spans="1:23">
      <c r="A76">
        <v>1069</v>
      </c>
      <c r="B76">
        <v>4</v>
      </c>
      <c r="C76">
        <v>3</v>
      </c>
      <c r="D76">
        <v>-1.415</v>
      </c>
      <c r="E76" s="2">
        <f t="shared" si="5"/>
        <v>-1.5</v>
      </c>
      <c r="F76" s="2">
        <f t="shared" si="6"/>
        <v>344</v>
      </c>
      <c r="G76">
        <v>-0.92</v>
      </c>
      <c r="H76">
        <v>0.30099999999999999</v>
      </c>
      <c r="I76">
        <v>0.23</v>
      </c>
      <c r="J76">
        <v>0.19700000000000001</v>
      </c>
      <c r="K76">
        <v>9.7000000000000003E-2</v>
      </c>
      <c r="L76">
        <v>-99.998999999999995</v>
      </c>
      <c r="M76">
        <v>-99.998999999999995</v>
      </c>
      <c r="Q76" s="2">
        <f t="shared" si="7"/>
        <v>-2.0146606000904974</v>
      </c>
      <c r="T76" s="2">
        <f t="shared" si="8"/>
        <v>117461.9400789995</v>
      </c>
      <c r="W76" s="2">
        <f t="shared" si="9"/>
        <v>117461.9400789995</v>
      </c>
    </row>
    <row r="77" spans="1:23">
      <c r="A77">
        <v>1070</v>
      </c>
      <c r="B77">
        <v>4</v>
      </c>
      <c r="C77">
        <v>3</v>
      </c>
      <c r="D77">
        <v>-2.9000000000000001E-2</v>
      </c>
      <c r="E77" s="2">
        <f t="shared" si="5"/>
        <v>0</v>
      </c>
      <c r="F77" s="2">
        <f t="shared" si="6"/>
        <v>561</v>
      </c>
      <c r="G77">
        <v>-1.117</v>
      </c>
      <c r="H77">
        <v>0.30099999999999999</v>
      </c>
      <c r="I77">
        <v>0.23</v>
      </c>
      <c r="J77">
        <v>0.19700000000000001</v>
      </c>
      <c r="K77">
        <v>9.7000000000000003E-2</v>
      </c>
      <c r="L77">
        <v>-99.998999999999995</v>
      </c>
      <c r="M77">
        <v>-99.998999999999995</v>
      </c>
      <c r="Q77" s="2">
        <f t="shared" si="7"/>
        <v>-1.6416892256973252</v>
      </c>
      <c r="T77" s="2">
        <f t="shared" si="8"/>
        <v>148933.39745241447</v>
      </c>
      <c r="W77" s="2">
        <f t="shared" si="9"/>
        <v>148933.39745241447</v>
      </c>
    </row>
    <row r="78" spans="1:23">
      <c r="A78">
        <v>1071</v>
      </c>
      <c r="B78">
        <v>4</v>
      </c>
      <c r="C78">
        <v>3</v>
      </c>
      <c r="D78">
        <v>-1.8129999999999999</v>
      </c>
      <c r="E78" s="2">
        <f t="shared" si="5"/>
        <v>-2</v>
      </c>
      <c r="F78" s="2">
        <f t="shared" si="6"/>
        <v>268</v>
      </c>
      <c r="G78">
        <v>-1.3140000000000001</v>
      </c>
      <c r="H78">
        <v>0.30099999999999999</v>
      </c>
      <c r="I78">
        <v>0.23</v>
      </c>
      <c r="J78">
        <v>0.19700000000000001</v>
      </c>
      <c r="K78">
        <v>9.7000000000000003E-2</v>
      </c>
      <c r="L78">
        <v>-99.998999999999995</v>
      </c>
      <c r="M78">
        <v>-99.998999999999995</v>
      </c>
      <c r="Q78" s="2">
        <f t="shared" si="7"/>
        <v>-2.1217620481485655</v>
      </c>
      <c r="T78" s="2">
        <f t="shared" si="8"/>
        <v>108424.68175676349</v>
      </c>
      <c r="W78" s="2">
        <f t="shared" si="9"/>
        <v>108424.68175676349</v>
      </c>
    </row>
    <row r="79" spans="1:23">
      <c r="A79">
        <v>1072</v>
      </c>
      <c r="B79">
        <v>4</v>
      </c>
      <c r="C79">
        <v>3</v>
      </c>
      <c r="D79">
        <v>-2.577</v>
      </c>
      <c r="E79" s="2">
        <f t="shared" si="5"/>
        <v>-2.5</v>
      </c>
      <c r="F79" s="2">
        <f t="shared" si="6"/>
        <v>168</v>
      </c>
      <c r="G79">
        <v>-1.49</v>
      </c>
      <c r="H79">
        <v>0.30099999999999999</v>
      </c>
      <c r="I79">
        <v>0.23</v>
      </c>
      <c r="J79">
        <v>0.19700000000000001</v>
      </c>
      <c r="K79">
        <v>9.7000000000000003E-2</v>
      </c>
      <c r="L79">
        <v>-99.998999999999995</v>
      </c>
      <c r="M79">
        <v>-99.998999999999995</v>
      </c>
      <c r="Q79" s="2">
        <f t="shared" si="7"/>
        <v>-2.3273537725615405</v>
      </c>
      <c r="T79" s="2">
        <f t="shared" si="8"/>
        <v>91076.778846742527</v>
      </c>
      <c r="W79" s="2">
        <f t="shared" si="9"/>
        <v>91076.778846742527</v>
      </c>
    </row>
    <row r="80" spans="1:23">
      <c r="A80">
        <v>1073</v>
      </c>
      <c r="B80">
        <v>4</v>
      </c>
      <c r="C80">
        <v>3</v>
      </c>
      <c r="D80">
        <v>-3.4449999999999998</v>
      </c>
      <c r="E80" s="2">
        <f t="shared" si="5"/>
        <v>-3.5</v>
      </c>
      <c r="F80" s="2">
        <f t="shared" si="6"/>
        <v>80</v>
      </c>
      <c r="G80">
        <v>-1.627</v>
      </c>
      <c r="H80">
        <v>0.30099999999999999</v>
      </c>
      <c r="I80">
        <v>0.23</v>
      </c>
      <c r="J80">
        <v>0.19700000000000001</v>
      </c>
      <c r="K80">
        <v>9.7000000000000003E-2</v>
      </c>
      <c r="L80">
        <v>-99.998999999999995</v>
      </c>
      <c r="M80">
        <v>-99.998999999999995</v>
      </c>
      <c r="Q80" s="2">
        <f t="shared" si="7"/>
        <v>-2.5609318050097896</v>
      </c>
      <c r="T80" s="2">
        <f t="shared" si="8"/>
        <v>71367.381299755391</v>
      </c>
      <c r="W80" s="2">
        <f t="shared" si="9"/>
        <v>71367.381299755391</v>
      </c>
    </row>
    <row r="81" spans="1:23">
      <c r="A81">
        <v>1074</v>
      </c>
      <c r="B81">
        <v>4</v>
      </c>
      <c r="C81">
        <v>3</v>
      </c>
      <c r="D81">
        <v>-2.5569999999999999</v>
      </c>
      <c r="E81" s="2">
        <f t="shared" si="5"/>
        <v>-2.5</v>
      </c>
      <c r="F81" s="2">
        <f t="shared" si="6"/>
        <v>169</v>
      </c>
      <c r="G81">
        <v>-1.7190000000000001</v>
      </c>
      <c r="H81">
        <v>0.30099999999999999</v>
      </c>
      <c r="I81">
        <v>0.23</v>
      </c>
      <c r="J81">
        <v>0.19700000000000001</v>
      </c>
      <c r="K81">
        <v>9.7000000000000003E-2</v>
      </c>
      <c r="L81">
        <v>-99.998999999999995</v>
      </c>
      <c r="M81">
        <v>-99.998999999999995</v>
      </c>
      <c r="Q81" s="2">
        <f t="shared" si="7"/>
        <v>-2.3219717902470647</v>
      </c>
      <c r="T81" s="2">
        <f t="shared" si="8"/>
        <v>91530.912430774508</v>
      </c>
      <c r="W81" s="2">
        <f t="shared" si="9"/>
        <v>91530.912430774508</v>
      </c>
    </row>
    <row r="82" spans="1:23">
      <c r="A82">
        <v>1075</v>
      </c>
      <c r="B82">
        <v>4</v>
      </c>
      <c r="C82">
        <v>3</v>
      </c>
      <c r="D82">
        <v>-0.71699999999999997</v>
      </c>
      <c r="E82" s="2">
        <f t="shared" si="5"/>
        <v>-0.5</v>
      </c>
      <c r="F82" s="2">
        <f t="shared" si="6"/>
        <v>442</v>
      </c>
      <c r="G82">
        <v>-1.772</v>
      </c>
      <c r="H82">
        <v>0.30099999999999999</v>
      </c>
      <c r="I82">
        <v>0.23</v>
      </c>
      <c r="J82">
        <v>0.19700000000000001</v>
      </c>
      <c r="K82">
        <v>9.7000000000000003E-2</v>
      </c>
      <c r="L82">
        <v>-99.998999999999995</v>
      </c>
      <c r="M82">
        <v>-99.998999999999995</v>
      </c>
      <c r="Q82" s="2">
        <f t="shared" si="7"/>
        <v>-1.8268294173152924</v>
      </c>
      <c r="T82" s="2">
        <f t="shared" si="8"/>
        <v>133311.20216171499</v>
      </c>
      <c r="W82" s="2">
        <f t="shared" si="9"/>
        <v>133311.20216171499</v>
      </c>
    </row>
    <row r="83" spans="1:23">
      <c r="A83">
        <v>1076</v>
      </c>
      <c r="B83">
        <v>4</v>
      </c>
      <c r="C83">
        <v>3</v>
      </c>
      <c r="D83">
        <v>-0.254</v>
      </c>
      <c r="E83" s="2">
        <f t="shared" si="5"/>
        <v>-0.5</v>
      </c>
      <c r="F83" s="2">
        <f t="shared" si="6"/>
        <v>523</v>
      </c>
      <c r="G83">
        <v>-1.8009999999999999</v>
      </c>
      <c r="H83">
        <v>0.30099999999999999</v>
      </c>
      <c r="I83">
        <v>0.23</v>
      </c>
      <c r="J83">
        <v>0.19700000000000001</v>
      </c>
      <c r="K83">
        <v>9.7000000000000003E-2</v>
      </c>
      <c r="L83">
        <v>-99.998999999999995</v>
      </c>
      <c r="M83">
        <v>-99.998999999999995</v>
      </c>
      <c r="Q83" s="2">
        <f t="shared" si="7"/>
        <v>-1.7022365267351778</v>
      </c>
      <c r="T83" s="2">
        <f t="shared" si="8"/>
        <v>143824.3946320549</v>
      </c>
      <c r="W83" s="2">
        <f t="shared" si="9"/>
        <v>143824.3946320549</v>
      </c>
    </row>
    <row r="84" spans="1:23">
      <c r="A84">
        <v>1077</v>
      </c>
      <c r="B84">
        <v>4</v>
      </c>
      <c r="C84">
        <v>3</v>
      </c>
      <c r="D84">
        <v>-0.317</v>
      </c>
      <c r="E84" s="2">
        <f t="shared" si="5"/>
        <v>-0.5</v>
      </c>
      <c r="F84" s="2">
        <f t="shared" si="6"/>
        <v>516</v>
      </c>
      <c r="G84">
        <v>-1.8140000000000001</v>
      </c>
      <c r="H84">
        <v>0.30099999999999999</v>
      </c>
      <c r="I84">
        <v>0.23</v>
      </c>
      <c r="J84">
        <v>0.19700000000000001</v>
      </c>
      <c r="K84">
        <v>9.7000000000000003E-2</v>
      </c>
      <c r="L84">
        <v>-99.998999999999995</v>
      </c>
      <c r="M84">
        <v>-99.998999999999995</v>
      </c>
      <c r="Q84" s="2">
        <f t="shared" si="7"/>
        <v>-1.7191897710257766</v>
      </c>
      <c r="T84" s="2">
        <f t="shared" si="8"/>
        <v>142393.87384235422</v>
      </c>
      <c r="W84" s="2">
        <f t="shared" si="9"/>
        <v>142393.87384235422</v>
      </c>
    </row>
    <row r="85" spans="1:23">
      <c r="A85">
        <v>1078</v>
      </c>
      <c r="B85">
        <v>4</v>
      </c>
      <c r="C85">
        <v>3</v>
      </c>
      <c r="D85">
        <v>-2.8319999999999999</v>
      </c>
      <c r="E85" s="2">
        <f t="shared" si="5"/>
        <v>-3</v>
      </c>
      <c r="F85" s="2">
        <f t="shared" si="6"/>
        <v>131</v>
      </c>
      <c r="G85">
        <v>-1.8009999999999999</v>
      </c>
      <c r="H85">
        <v>0.30099999999999999</v>
      </c>
      <c r="I85">
        <v>0.23</v>
      </c>
      <c r="J85">
        <v>0.19700000000000001</v>
      </c>
      <c r="K85">
        <v>9.7000000000000003E-2</v>
      </c>
      <c r="L85">
        <v>-99.998999999999995</v>
      </c>
      <c r="M85">
        <v>-99.998999999999995</v>
      </c>
      <c r="Q85" s="2">
        <f t="shared" si="7"/>
        <v>-2.3959740470711068</v>
      </c>
      <c r="T85" s="2">
        <f t="shared" si="8"/>
        <v>85286.575650335028</v>
      </c>
      <c r="W85" s="2">
        <f t="shared" si="9"/>
        <v>85286.575650335028</v>
      </c>
    </row>
    <row r="86" spans="1:23">
      <c r="A86">
        <v>1079</v>
      </c>
      <c r="B86">
        <v>4</v>
      </c>
      <c r="C86">
        <v>3</v>
      </c>
      <c r="D86">
        <v>-3.794</v>
      </c>
      <c r="E86" s="2">
        <f t="shared" si="5"/>
        <v>-4</v>
      </c>
      <c r="F86" s="2">
        <f t="shared" si="6"/>
        <v>54</v>
      </c>
      <c r="G86">
        <v>-1.7450000000000001</v>
      </c>
      <c r="H86">
        <v>0.30099999999999999</v>
      </c>
      <c r="I86">
        <v>0.23</v>
      </c>
      <c r="J86">
        <v>0.19700000000000001</v>
      </c>
      <c r="K86">
        <v>9.7000000000000003E-2</v>
      </c>
      <c r="L86">
        <v>-99.998999999999995</v>
      </c>
      <c r="M86">
        <v>-99.998999999999995</v>
      </c>
      <c r="Q86" s="2">
        <f t="shared" si="7"/>
        <v>-2.654847396397392</v>
      </c>
      <c r="T86" s="2">
        <f t="shared" si="8"/>
        <v>63442.75025839766</v>
      </c>
      <c r="W86" s="2">
        <f t="shared" si="9"/>
        <v>63442.75025839766</v>
      </c>
    </row>
    <row r="87" spans="1:23">
      <c r="A87">
        <v>1080</v>
      </c>
      <c r="B87">
        <v>4</v>
      </c>
      <c r="C87">
        <v>3</v>
      </c>
      <c r="D87">
        <v>-3.782</v>
      </c>
      <c r="E87" s="2">
        <f t="shared" si="5"/>
        <v>-4</v>
      </c>
      <c r="F87" s="2">
        <f t="shared" si="6"/>
        <v>56</v>
      </c>
      <c r="G87">
        <v>-1.635</v>
      </c>
      <c r="H87">
        <v>0.30099999999999999</v>
      </c>
      <c r="I87">
        <v>0.23</v>
      </c>
      <c r="J87">
        <v>0.19700000000000001</v>
      </c>
      <c r="K87">
        <v>9.7000000000000003E-2</v>
      </c>
      <c r="L87">
        <v>-99.998999999999995</v>
      </c>
      <c r="M87">
        <v>-99.998999999999995</v>
      </c>
      <c r="Q87" s="2">
        <f t="shared" si="7"/>
        <v>-2.6516182070087067</v>
      </c>
      <c r="T87" s="2">
        <f t="shared" si="8"/>
        <v>63715.230408816831</v>
      </c>
      <c r="W87" s="2">
        <f t="shared" si="9"/>
        <v>63715.230408816831</v>
      </c>
    </row>
    <row r="88" spans="1:23">
      <c r="A88">
        <v>1081</v>
      </c>
      <c r="B88">
        <v>4</v>
      </c>
      <c r="C88">
        <v>3</v>
      </c>
      <c r="D88">
        <v>-1.74</v>
      </c>
      <c r="E88" s="2">
        <f t="shared" si="5"/>
        <v>-1.5</v>
      </c>
      <c r="F88" s="2">
        <f t="shared" si="6"/>
        <v>286</v>
      </c>
      <c r="G88">
        <v>-1.4790000000000001</v>
      </c>
      <c r="H88">
        <v>0.30099999999999999</v>
      </c>
      <c r="I88">
        <v>0.23</v>
      </c>
      <c r="J88">
        <v>0.19700000000000001</v>
      </c>
      <c r="K88">
        <v>9.7000000000000003E-2</v>
      </c>
      <c r="L88">
        <v>-99.998999999999995</v>
      </c>
      <c r="M88">
        <v>-99.998999999999995</v>
      </c>
      <c r="Q88" s="2">
        <f t="shared" si="7"/>
        <v>-2.1021178127007287</v>
      </c>
      <c r="T88" s="2">
        <f t="shared" si="8"/>
        <v>110082.26933848014</v>
      </c>
      <c r="W88" s="2">
        <f t="shared" si="9"/>
        <v>110082.26933848014</v>
      </c>
    </row>
    <row r="89" spans="1:23">
      <c r="A89">
        <v>1082</v>
      </c>
      <c r="B89">
        <v>4</v>
      </c>
      <c r="C89">
        <v>3</v>
      </c>
      <c r="D89">
        <v>-0.58699999999999997</v>
      </c>
      <c r="E89" s="2">
        <f t="shared" si="5"/>
        <v>-0.5</v>
      </c>
      <c r="F89" s="2">
        <f t="shared" si="6"/>
        <v>466</v>
      </c>
      <c r="G89">
        <v>-1.3029999999999999</v>
      </c>
      <c r="H89">
        <v>0.30099999999999999</v>
      </c>
      <c r="I89">
        <v>0.23</v>
      </c>
      <c r="J89">
        <v>0.19700000000000001</v>
      </c>
      <c r="K89">
        <v>9.7000000000000003E-2</v>
      </c>
      <c r="L89">
        <v>-99.998999999999995</v>
      </c>
      <c r="M89">
        <v>-99.998999999999995</v>
      </c>
      <c r="Q89" s="2">
        <f t="shared" si="7"/>
        <v>-1.7918465322711996</v>
      </c>
      <c r="T89" s="2">
        <f t="shared" si="8"/>
        <v>136263.07045792276</v>
      </c>
      <c r="W89" s="2">
        <f t="shared" si="9"/>
        <v>136263.07045792276</v>
      </c>
    </row>
    <row r="90" spans="1:23">
      <c r="A90">
        <v>1083</v>
      </c>
      <c r="B90">
        <v>4</v>
      </c>
      <c r="C90">
        <v>3</v>
      </c>
      <c r="D90">
        <v>1.5309999999999999</v>
      </c>
      <c r="E90" s="2">
        <f t="shared" si="5"/>
        <v>1.5</v>
      </c>
      <c r="F90" s="2">
        <f t="shared" si="6"/>
        <v>804</v>
      </c>
      <c r="G90">
        <v>-1.1359999999999999</v>
      </c>
      <c r="H90">
        <v>0.30099999999999999</v>
      </c>
      <c r="I90">
        <v>0.23</v>
      </c>
      <c r="J90">
        <v>0.19700000000000001</v>
      </c>
      <c r="K90">
        <v>9.7000000000000003E-2</v>
      </c>
      <c r="L90">
        <v>-99.998999999999995</v>
      </c>
      <c r="M90">
        <v>-99.998999999999995</v>
      </c>
      <c r="Q90" s="2">
        <f t="shared" si="7"/>
        <v>-1.221894605168214</v>
      </c>
      <c r="T90" s="2">
        <f t="shared" si="8"/>
        <v>184355.81700690748</v>
      </c>
      <c r="W90" s="2">
        <f t="shared" si="9"/>
        <v>184355.81700690748</v>
      </c>
    </row>
    <row r="91" spans="1:23">
      <c r="A91">
        <v>1084</v>
      </c>
      <c r="B91">
        <v>4</v>
      </c>
      <c r="C91">
        <v>3</v>
      </c>
      <c r="D91">
        <v>1.1539999999999999</v>
      </c>
      <c r="E91" s="2">
        <f t="shared" si="5"/>
        <v>1</v>
      </c>
      <c r="F91" s="2">
        <f t="shared" si="6"/>
        <v>752</v>
      </c>
      <c r="G91">
        <v>-0.998</v>
      </c>
      <c r="H91">
        <v>0.30099999999999999</v>
      </c>
      <c r="I91">
        <v>0.23</v>
      </c>
      <c r="J91">
        <v>0.19700000000000001</v>
      </c>
      <c r="K91">
        <v>9.7000000000000003E-2</v>
      </c>
      <c r="L91">
        <v>-99.998999999999995</v>
      </c>
      <c r="M91">
        <v>-99.998999999999995</v>
      </c>
      <c r="Q91" s="2">
        <f t="shared" si="7"/>
        <v>-1.3233449717960826</v>
      </c>
      <c r="T91" s="2">
        <f t="shared" si="8"/>
        <v>175795.39894790499</v>
      </c>
      <c r="W91" s="2">
        <f t="shared" si="9"/>
        <v>175795.39894790499</v>
      </c>
    </row>
    <row r="92" spans="1:23">
      <c r="A92">
        <v>1085</v>
      </c>
      <c r="B92">
        <v>4</v>
      </c>
      <c r="C92">
        <v>3</v>
      </c>
      <c r="D92">
        <v>-1.756</v>
      </c>
      <c r="E92" s="2">
        <f t="shared" si="5"/>
        <v>-2</v>
      </c>
      <c r="F92" s="2">
        <f t="shared" si="6"/>
        <v>283</v>
      </c>
      <c r="G92">
        <v>-0.89</v>
      </c>
      <c r="H92">
        <v>0.30099999999999999</v>
      </c>
      <c r="I92">
        <v>0.23</v>
      </c>
      <c r="J92">
        <v>0.19700000000000001</v>
      </c>
      <c r="K92">
        <v>9.7000000000000003E-2</v>
      </c>
      <c r="L92">
        <v>-99.998999999999995</v>
      </c>
      <c r="M92">
        <v>-99.998999999999995</v>
      </c>
      <c r="Q92" s="2">
        <f t="shared" si="7"/>
        <v>-2.1064233985523093</v>
      </c>
      <c r="T92" s="2">
        <f t="shared" si="8"/>
        <v>109718.96247125458</v>
      </c>
      <c r="W92" s="2">
        <f t="shared" si="9"/>
        <v>109718.96247125458</v>
      </c>
    </row>
    <row r="93" spans="1:23">
      <c r="A93">
        <v>1086</v>
      </c>
      <c r="B93">
        <v>4</v>
      </c>
      <c r="C93">
        <v>3</v>
      </c>
      <c r="D93">
        <v>-2.7250000000000001</v>
      </c>
      <c r="E93" s="2">
        <f t="shared" si="5"/>
        <v>-2.5</v>
      </c>
      <c r="F93" s="2">
        <f t="shared" si="6"/>
        <v>144</v>
      </c>
      <c r="G93">
        <v>-0.79200000000000004</v>
      </c>
      <c r="H93">
        <v>0.30099999999999999</v>
      </c>
      <c r="I93">
        <v>0.23</v>
      </c>
      <c r="J93">
        <v>0.19700000000000001</v>
      </c>
      <c r="K93">
        <v>9.7000000000000003E-2</v>
      </c>
      <c r="L93">
        <v>-99.998999999999995</v>
      </c>
      <c r="M93">
        <v>-99.998999999999995</v>
      </c>
      <c r="Q93" s="2">
        <f t="shared" si="7"/>
        <v>-2.367180441688661</v>
      </c>
      <c r="T93" s="2">
        <f t="shared" si="8"/>
        <v>87716.190324906056</v>
      </c>
      <c r="W93" s="2">
        <f t="shared" si="9"/>
        <v>87716.190324906056</v>
      </c>
    </row>
    <row r="94" spans="1:23">
      <c r="A94">
        <v>1087</v>
      </c>
      <c r="B94">
        <v>4</v>
      </c>
      <c r="C94">
        <v>3</v>
      </c>
      <c r="D94">
        <v>0.95399999999999996</v>
      </c>
      <c r="E94" s="2">
        <f t="shared" si="5"/>
        <v>1</v>
      </c>
      <c r="F94" s="2">
        <f t="shared" si="6"/>
        <v>719</v>
      </c>
      <c r="G94">
        <v>-0.69199999999999995</v>
      </c>
      <c r="H94">
        <v>0.30099999999999999</v>
      </c>
      <c r="I94">
        <v>0.23</v>
      </c>
      <c r="J94">
        <v>0.19700000000000001</v>
      </c>
      <c r="K94">
        <v>9.7000000000000003E-2</v>
      </c>
      <c r="L94">
        <v>-99.998999999999995</v>
      </c>
      <c r="M94">
        <v>-99.998999999999995</v>
      </c>
      <c r="Q94" s="2">
        <f t="shared" si="7"/>
        <v>-1.3771647949408403</v>
      </c>
      <c r="T94" s="2">
        <f t="shared" si="8"/>
        <v>171254.06310758542</v>
      </c>
      <c r="W94" s="2">
        <f t="shared" si="9"/>
        <v>171254.06310758542</v>
      </c>
    </row>
    <row r="95" spans="1:23">
      <c r="A95">
        <v>1088</v>
      </c>
      <c r="B95">
        <v>4</v>
      </c>
      <c r="C95">
        <v>3</v>
      </c>
      <c r="D95">
        <v>0.86199999999999999</v>
      </c>
      <c r="E95" s="2">
        <f t="shared" si="5"/>
        <v>1</v>
      </c>
      <c r="F95" s="2">
        <f t="shared" si="6"/>
        <v>706</v>
      </c>
      <c r="G95">
        <v>-0.59</v>
      </c>
      <c r="H95">
        <v>0.30099999999999999</v>
      </c>
      <c r="I95">
        <v>0.23</v>
      </c>
      <c r="J95">
        <v>0.19700000000000001</v>
      </c>
      <c r="K95">
        <v>9.7000000000000003E-2</v>
      </c>
      <c r="L95">
        <v>-99.998999999999995</v>
      </c>
      <c r="M95">
        <v>-99.998999999999995</v>
      </c>
      <c r="Q95" s="2">
        <f t="shared" si="7"/>
        <v>-1.401921913587429</v>
      </c>
      <c r="T95" s="2">
        <f t="shared" si="8"/>
        <v>169165.04862103838</v>
      </c>
      <c r="W95" s="2">
        <f t="shared" si="9"/>
        <v>169165.04862103838</v>
      </c>
    </row>
    <row r="96" spans="1:23">
      <c r="A96">
        <v>1089</v>
      </c>
      <c r="B96">
        <v>4</v>
      </c>
      <c r="C96">
        <v>3</v>
      </c>
      <c r="D96">
        <v>-2.9710000000000001</v>
      </c>
      <c r="E96" s="2">
        <f t="shared" si="5"/>
        <v>-3</v>
      </c>
      <c r="F96" s="2">
        <f t="shared" si="6"/>
        <v>114</v>
      </c>
      <c r="G96">
        <v>-0.47299999999999998</v>
      </c>
      <c r="H96">
        <v>0.30099999999999999</v>
      </c>
      <c r="I96">
        <v>0.23</v>
      </c>
      <c r="J96">
        <v>0.19700000000000001</v>
      </c>
      <c r="K96">
        <v>9.7000000000000003E-2</v>
      </c>
      <c r="L96">
        <v>-99.998999999999995</v>
      </c>
      <c r="M96">
        <v>-99.998999999999995</v>
      </c>
      <c r="Q96" s="2">
        <f t="shared" si="7"/>
        <v>-2.4333788241567134</v>
      </c>
      <c r="T96" s="2">
        <f t="shared" si="8"/>
        <v>82130.347241312906</v>
      </c>
      <c r="W96" s="2">
        <f t="shared" si="9"/>
        <v>82130.347241312906</v>
      </c>
    </row>
    <row r="97" spans="1:23">
      <c r="A97">
        <v>1090</v>
      </c>
      <c r="B97">
        <v>4</v>
      </c>
      <c r="C97">
        <v>3</v>
      </c>
      <c r="D97">
        <v>-2.734</v>
      </c>
      <c r="E97" s="2">
        <f t="shared" si="5"/>
        <v>-2.5</v>
      </c>
      <c r="F97" s="2">
        <f t="shared" si="6"/>
        <v>141</v>
      </c>
      <c r="G97">
        <v>-0.32200000000000001</v>
      </c>
      <c r="H97">
        <v>0.30099999999999999</v>
      </c>
      <c r="I97">
        <v>0.23</v>
      </c>
      <c r="J97">
        <v>0.19700000000000001</v>
      </c>
      <c r="K97">
        <v>9.7000000000000003E-2</v>
      </c>
      <c r="L97">
        <v>-99.998999999999995</v>
      </c>
      <c r="M97">
        <v>-99.998999999999995</v>
      </c>
      <c r="Q97" s="2">
        <f t="shared" si="7"/>
        <v>-2.3696023337301755</v>
      </c>
      <c r="T97" s="2">
        <f t="shared" si="8"/>
        <v>87511.83021209162</v>
      </c>
      <c r="W97" s="2">
        <f t="shared" si="9"/>
        <v>87511.83021209162</v>
      </c>
    </row>
    <row r="98" spans="1:23">
      <c r="A98">
        <v>1091</v>
      </c>
      <c r="B98">
        <v>4</v>
      </c>
      <c r="C98">
        <v>3</v>
      </c>
      <c r="D98">
        <v>-0.56200000000000006</v>
      </c>
      <c r="E98" s="2">
        <f t="shared" si="5"/>
        <v>-0.5</v>
      </c>
      <c r="F98" s="2">
        <f t="shared" si="6"/>
        <v>470</v>
      </c>
      <c r="G98">
        <v>-0.13600000000000001</v>
      </c>
      <c r="H98">
        <v>0.30099999999999999</v>
      </c>
      <c r="I98">
        <v>0.23</v>
      </c>
      <c r="J98">
        <v>0.19700000000000001</v>
      </c>
      <c r="K98">
        <v>9.7000000000000003E-2</v>
      </c>
      <c r="L98">
        <v>-99.998999999999995</v>
      </c>
      <c r="M98">
        <v>-99.998999999999995</v>
      </c>
      <c r="Q98" s="2">
        <f t="shared" si="7"/>
        <v>-1.785119054378105</v>
      </c>
      <c r="T98" s="2">
        <f t="shared" si="8"/>
        <v>136830.7374379627</v>
      </c>
      <c r="W98" s="2">
        <f t="shared" si="9"/>
        <v>136830.7374379627</v>
      </c>
    </row>
    <row r="99" spans="1:23">
      <c r="A99">
        <v>1092</v>
      </c>
      <c r="B99">
        <v>4</v>
      </c>
      <c r="C99">
        <v>3</v>
      </c>
      <c r="D99">
        <v>-0.52500000000000002</v>
      </c>
      <c r="E99" s="2">
        <f t="shared" si="5"/>
        <v>-0.5</v>
      </c>
      <c r="F99" s="2">
        <f t="shared" si="6"/>
        <v>478</v>
      </c>
      <c r="G99">
        <v>6.6000000000000003E-2</v>
      </c>
      <c r="H99">
        <v>0.30099999999999999</v>
      </c>
      <c r="I99">
        <v>0.23</v>
      </c>
      <c r="J99">
        <v>0.19700000000000001</v>
      </c>
      <c r="K99">
        <v>9.7000000000000003E-2</v>
      </c>
      <c r="L99">
        <v>-99.998999999999995</v>
      </c>
      <c r="M99">
        <v>-99.998999999999995</v>
      </c>
      <c r="Q99" s="2">
        <f t="shared" si="7"/>
        <v>-1.7751623870963247</v>
      </c>
      <c r="T99" s="2">
        <f t="shared" si="8"/>
        <v>137670.88456842184</v>
      </c>
      <c r="W99" s="2">
        <f t="shared" si="9"/>
        <v>137670.88456842184</v>
      </c>
    </row>
    <row r="100" spans="1:23">
      <c r="A100">
        <v>1093</v>
      </c>
      <c r="B100">
        <v>4</v>
      </c>
      <c r="C100">
        <v>3</v>
      </c>
      <c r="D100">
        <v>0.32800000000000001</v>
      </c>
      <c r="E100" s="2">
        <f t="shared" si="5"/>
        <v>0.5</v>
      </c>
      <c r="F100" s="2">
        <f t="shared" si="6"/>
        <v>626</v>
      </c>
      <c r="G100">
        <v>0.25900000000000001</v>
      </c>
      <c r="H100">
        <v>0.30099999999999999</v>
      </c>
      <c r="I100">
        <v>0.23</v>
      </c>
      <c r="J100">
        <v>0.19700000000000001</v>
      </c>
      <c r="K100">
        <v>9.7000000000000003E-2</v>
      </c>
      <c r="L100">
        <v>-99.998999999999995</v>
      </c>
      <c r="M100">
        <v>-99.998999999999995</v>
      </c>
      <c r="Q100" s="2">
        <f t="shared" si="7"/>
        <v>-1.5456208413839325</v>
      </c>
      <c r="T100" s="2">
        <f t="shared" si="8"/>
        <v>157039.68192738498</v>
      </c>
      <c r="W100" s="2">
        <f t="shared" si="9"/>
        <v>157039.68192738498</v>
      </c>
    </row>
    <row r="101" spans="1:23">
      <c r="A101">
        <v>1094</v>
      </c>
      <c r="B101">
        <v>4</v>
      </c>
      <c r="C101">
        <v>3</v>
      </c>
      <c r="D101">
        <v>2.246</v>
      </c>
      <c r="E101" s="2">
        <f t="shared" si="5"/>
        <v>2</v>
      </c>
      <c r="F101" s="2">
        <f t="shared" si="6"/>
        <v>878</v>
      </c>
      <c r="G101">
        <v>0.41</v>
      </c>
      <c r="H101">
        <v>0.30099999999999999</v>
      </c>
      <c r="I101">
        <v>0.23</v>
      </c>
      <c r="J101">
        <v>0.19700000000000001</v>
      </c>
      <c r="K101">
        <v>9.7000000000000003E-2</v>
      </c>
      <c r="L101">
        <v>-99.998999999999995</v>
      </c>
      <c r="M101">
        <v>-99.998999999999995</v>
      </c>
      <c r="Q101" s="2">
        <f t="shared" si="7"/>
        <v>-1.0294887374257047</v>
      </c>
      <c r="T101" s="2">
        <f t="shared" si="8"/>
        <v>200591.09263605013</v>
      </c>
      <c r="W101" s="2">
        <f t="shared" si="9"/>
        <v>200591.09263605013</v>
      </c>
    </row>
    <row r="102" spans="1:23">
      <c r="A102">
        <v>1095</v>
      </c>
      <c r="B102">
        <v>4</v>
      </c>
      <c r="C102">
        <v>3</v>
      </c>
      <c r="D102">
        <v>2.2709999999999999</v>
      </c>
      <c r="E102" s="2">
        <f t="shared" si="5"/>
        <v>2.5</v>
      </c>
      <c r="F102" s="2">
        <f t="shared" si="6"/>
        <v>884</v>
      </c>
      <c r="G102">
        <v>0.49199999999999999</v>
      </c>
      <c r="H102">
        <v>0.30099999999999999</v>
      </c>
      <c r="I102">
        <v>0.23</v>
      </c>
      <c r="J102">
        <v>0.19700000000000001</v>
      </c>
      <c r="K102">
        <v>9.7000000000000003E-2</v>
      </c>
      <c r="L102">
        <v>-99.998999999999995</v>
      </c>
      <c r="M102">
        <v>-99.998999999999995</v>
      </c>
      <c r="Q102" s="2">
        <f t="shared" si="7"/>
        <v>-1.0227612595326099</v>
      </c>
      <c r="T102" s="2">
        <f t="shared" si="8"/>
        <v>201158.75961609007</v>
      </c>
      <c r="W102" s="2">
        <f t="shared" si="9"/>
        <v>201158.75961609007</v>
      </c>
    </row>
    <row r="103" spans="1:23">
      <c r="A103">
        <v>1096</v>
      </c>
      <c r="B103">
        <v>4</v>
      </c>
      <c r="C103">
        <v>3</v>
      </c>
      <c r="D103">
        <v>1.1479999999999999</v>
      </c>
      <c r="E103" s="2">
        <f t="shared" si="5"/>
        <v>1</v>
      </c>
      <c r="F103" s="2">
        <f t="shared" si="6"/>
        <v>751</v>
      </c>
      <c r="G103">
        <v>0.49099999999999999</v>
      </c>
      <c r="H103">
        <v>0.30099999999999999</v>
      </c>
      <c r="I103">
        <v>0.23</v>
      </c>
      <c r="J103">
        <v>0.19700000000000001</v>
      </c>
      <c r="K103">
        <v>9.7000000000000003E-2</v>
      </c>
      <c r="L103">
        <v>-99.998999999999995</v>
      </c>
      <c r="M103">
        <v>-99.998999999999995</v>
      </c>
      <c r="Q103" s="2">
        <f t="shared" si="7"/>
        <v>-1.3249595664904252</v>
      </c>
      <c r="T103" s="2">
        <f t="shared" si="8"/>
        <v>175659.15887269541</v>
      </c>
      <c r="W103" s="2">
        <f t="shared" si="9"/>
        <v>175659.15887269541</v>
      </c>
    </row>
    <row r="104" spans="1:23">
      <c r="A104">
        <v>1097</v>
      </c>
      <c r="B104">
        <v>4</v>
      </c>
      <c r="C104">
        <v>3</v>
      </c>
      <c r="D104">
        <v>2.9079999999999999</v>
      </c>
      <c r="E104" s="2">
        <f t="shared" si="5"/>
        <v>3</v>
      </c>
      <c r="F104" s="2">
        <f t="shared" si="6"/>
        <v>932</v>
      </c>
      <c r="G104">
        <v>0.40799999999999997</v>
      </c>
      <c r="H104">
        <v>0.30099999999999999</v>
      </c>
      <c r="I104">
        <v>0.23</v>
      </c>
      <c r="J104">
        <v>0.19700000000000001</v>
      </c>
      <c r="K104">
        <v>9.7000000000000003E-2</v>
      </c>
      <c r="L104">
        <v>-99.998999999999995</v>
      </c>
      <c r="M104">
        <v>-99.998999999999995</v>
      </c>
      <c r="Q104" s="2">
        <f t="shared" si="7"/>
        <v>-0.85134512281655605</v>
      </c>
      <c r="T104" s="2">
        <f t="shared" si="8"/>
        <v>215622.91426750808</v>
      </c>
      <c r="W104" s="2">
        <f t="shared" si="9"/>
        <v>215622.91426750808</v>
      </c>
    </row>
    <row r="105" spans="1:23">
      <c r="A105">
        <v>1098</v>
      </c>
      <c r="B105">
        <v>4</v>
      </c>
      <c r="C105">
        <v>3</v>
      </c>
      <c r="D105">
        <v>1.079</v>
      </c>
      <c r="E105" s="2">
        <f t="shared" si="5"/>
        <v>1</v>
      </c>
      <c r="F105" s="2">
        <f t="shared" si="6"/>
        <v>744</v>
      </c>
      <c r="G105">
        <v>0.25900000000000001</v>
      </c>
      <c r="H105">
        <v>0.30099999999999999</v>
      </c>
      <c r="I105">
        <v>0.23</v>
      </c>
      <c r="J105">
        <v>0.19700000000000001</v>
      </c>
      <c r="K105">
        <v>9.7000000000000003E-2</v>
      </c>
      <c r="L105">
        <v>-99.998999999999995</v>
      </c>
      <c r="M105">
        <v>-99.998999999999995</v>
      </c>
      <c r="Q105" s="2">
        <f t="shared" si="7"/>
        <v>-1.3435274054753668</v>
      </c>
      <c r="T105" s="2">
        <f t="shared" si="8"/>
        <v>174092.39800778514</v>
      </c>
      <c r="W105" s="2">
        <f t="shared" si="9"/>
        <v>174092.39800778514</v>
      </c>
    </row>
    <row r="106" spans="1:23">
      <c r="A106">
        <v>1099</v>
      </c>
      <c r="B106">
        <v>4</v>
      </c>
      <c r="C106">
        <v>3</v>
      </c>
      <c r="D106">
        <v>-2.423</v>
      </c>
      <c r="E106" s="2">
        <f t="shared" si="5"/>
        <v>-2.5</v>
      </c>
      <c r="F106" s="2">
        <f t="shared" si="6"/>
        <v>185</v>
      </c>
      <c r="G106">
        <v>7.2999999999999995E-2</v>
      </c>
      <c r="H106">
        <v>0.30099999999999999</v>
      </c>
      <c r="I106">
        <v>0.23</v>
      </c>
      <c r="J106">
        <v>0.19700000000000001</v>
      </c>
      <c r="K106">
        <v>9.7000000000000003E-2</v>
      </c>
      <c r="L106">
        <v>-99.998999999999995</v>
      </c>
      <c r="M106">
        <v>-99.998999999999995</v>
      </c>
      <c r="Q106" s="2">
        <f t="shared" si="7"/>
        <v>-2.2859125087400769</v>
      </c>
      <c r="T106" s="2">
        <f t="shared" si="8"/>
        <v>94573.607443788642</v>
      </c>
      <c r="W106" s="2">
        <f t="shared" si="9"/>
        <v>94573.607443788642</v>
      </c>
    </row>
    <row r="107" spans="1:23">
      <c r="A107">
        <v>1100</v>
      </c>
      <c r="B107">
        <v>4</v>
      </c>
      <c r="C107">
        <v>3</v>
      </c>
      <c r="D107">
        <v>-1.8149999999999999</v>
      </c>
      <c r="E107" s="2">
        <f t="shared" si="5"/>
        <v>-2</v>
      </c>
      <c r="F107" s="2">
        <f t="shared" si="6"/>
        <v>267</v>
      </c>
      <c r="G107">
        <v>-0.111</v>
      </c>
      <c r="H107">
        <v>0.30099999999999999</v>
      </c>
      <c r="I107">
        <v>0.23</v>
      </c>
      <c r="J107">
        <v>0.19700000000000001</v>
      </c>
      <c r="K107">
        <v>9.7000000000000003E-2</v>
      </c>
      <c r="L107">
        <v>-99.998999999999995</v>
      </c>
      <c r="M107">
        <v>-99.998999999999995</v>
      </c>
      <c r="Q107" s="2">
        <f t="shared" si="7"/>
        <v>-2.1223002463800129</v>
      </c>
      <c r="T107" s="2">
        <f t="shared" si="8"/>
        <v>108379.26839836029</v>
      </c>
      <c r="W107" s="2">
        <f t="shared" si="9"/>
        <v>108379.26839836029</v>
      </c>
    </row>
    <row r="108" spans="1:23">
      <c r="A108">
        <v>1101</v>
      </c>
      <c r="B108">
        <v>4</v>
      </c>
      <c r="C108">
        <v>3</v>
      </c>
      <c r="D108">
        <v>-0.70199999999999996</v>
      </c>
      <c r="E108" s="2">
        <f t="shared" si="5"/>
        <v>-0.5</v>
      </c>
      <c r="F108" s="2">
        <f t="shared" si="6"/>
        <v>449</v>
      </c>
      <c r="G108">
        <v>-0.27400000000000002</v>
      </c>
      <c r="H108">
        <v>0.30099999999999999</v>
      </c>
      <c r="I108">
        <v>0.23</v>
      </c>
      <c r="J108">
        <v>0.19700000000000001</v>
      </c>
      <c r="K108">
        <v>9.7000000000000003E-2</v>
      </c>
      <c r="L108">
        <v>-99.998999999999995</v>
      </c>
      <c r="M108">
        <v>-99.998999999999995</v>
      </c>
      <c r="Q108" s="2">
        <f t="shared" si="7"/>
        <v>-1.8227929305794355</v>
      </c>
      <c r="T108" s="2">
        <f t="shared" si="8"/>
        <v>133651.80234973895</v>
      </c>
      <c r="W108" s="2">
        <f t="shared" si="9"/>
        <v>133651.80234973895</v>
      </c>
    </row>
    <row r="109" spans="1:23">
      <c r="A109">
        <v>1102</v>
      </c>
      <c r="B109">
        <v>4</v>
      </c>
      <c r="C109">
        <v>3</v>
      </c>
      <c r="D109">
        <v>0.77800000000000002</v>
      </c>
      <c r="E109" s="2">
        <f t="shared" si="5"/>
        <v>1</v>
      </c>
      <c r="F109" s="2">
        <f t="shared" si="6"/>
        <v>694</v>
      </c>
      <c r="G109">
        <v>-0.41199999999999998</v>
      </c>
      <c r="H109">
        <v>0.30099999999999999</v>
      </c>
      <c r="I109">
        <v>0.23</v>
      </c>
      <c r="J109">
        <v>0.19700000000000001</v>
      </c>
      <c r="K109">
        <v>9.7000000000000003E-2</v>
      </c>
      <c r="L109">
        <v>-99.998999999999995</v>
      </c>
      <c r="M109">
        <v>-99.998999999999995</v>
      </c>
      <c r="Q109" s="2">
        <f t="shared" si="7"/>
        <v>-1.4245262393082272</v>
      </c>
      <c r="T109" s="2">
        <f t="shared" si="8"/>
        <v>167257.68756810413</v>
      </c>
      <c r="W109" s="2">
        <f t="shared" si="9"/>
        <v>167257.68756810413</v>
      </c>
    </row>
    <row r="110" spans="1:23">
      <c r="A110">
        <v>1103</v>
      </c>
      <c r="B110">
        <v>4</v>
      </c>
      <c r="C110">
        <v>3</v>
      </c>
      <c r="D110">
        <v>-1.2829999999999999</v>
      </c>
      <c r="E110" s="2">
        <f t="shared" si="5"/>
        <v>-1.5</v>
      </c>
      <c r="F110" s="2">
        <f t="shared" si="6"/>
        <v>356</v>
      </c>
      <c r="G110">
        <v>-0.52400000000000002</v>
      </c>
      <c r="H110">
        <v>0.30099999999999999</v>
      </c>
      <c r="I110">
        <v>0.23</v>
      </c>
      <c r="J110">
        <v>0.19700000000000001</v>
      </c>
      <c r="K110">
        <v>9.7000000000000003E-2</v>
      </c>
      <c r="L110">
        <v>-99.998999999999995</v>
      </c>
      <c r="M110">
        <v>-99.998999999999995</v>
      </c>
      <c r="Q110" s="2">
        <f t="shared" si="7"/>
        <v>-1.979139516814957</v>
      </c>
      <c r="T110" s="2">
        <f t="shared" si="8"/>
        <v>120459.22173361047</v>
      </c>
      <c r="W110" s="2">
        <f t="shared" si="9"/>
        <v>120459.22173361047</v>
      </c>
    </row>
    <row r="111" spans="1:23">
      <c r="A111">
        <v>1104</v>
      </c>
      <c r="B111">
        <v>4</v>
      </c>
      <c r="C111">
        <v>3</v>
      </c>
      <c r="D111">
        <v>-4.72</v>
      </c>
      <c r="E111" s="2">
        <f t="shared" si="5"/>
        <v>-4.5</v>
      </c>
      <c r="F111" s="2">
        <f t="shared" si="6"/>
        <v>15</v>
      </c>
      <c r="G111">
        <v>-0.60599999999999998</v>
      </c>
      <c r="H111">
        <v>0.30099999999999999</v>
      </c>
      <c r="I111">
        <v>0.23</v>
      </c>
      <c r="J111">
        <v>0.19700000000000001</v>
      </c>
      <c r="K111">
        <v>9.7000000000000003E-2</v>
      </c>
      <c r="L111">
        <v>-99.998999999999995</v>
      </c>
      <c r="M111">
        <v>-99.998999999999995</v>
      </c>
      <c r="Q111" s="2">
        <f t="shared" si="7"/>
        <v>-2.9040331775576211</v>
      </c>
      <c r="T111" s="2">
        <f t="shared" si="8"/>
        <v>42416.365317717806</v>
      </c>
      <c r="W111" s="2">
        <f t="shared" si="9"/>
        <v>42416.365317717806</v>
      </c>
    </row>
    <row r="112" spans="1:23">
      <c r="A112">
        <v>1105</v>
      </c>
      <c r="B112">
        <v>4</v>
      </c>
      <c r="C112">
        <v>3</v>
      </c>
      <c r="D112">
        <v>0.39500000000000002</v>
      </c>
      <c r="E112" s="2">
        <f t="shared" si="5"/>
        <v>0.5</v>
      </c>
      <c r="F112" s="2">
        <f t="shared" si="6"/>
        <v>632</v>
      </c>
      <c r="G112">
        <v>-0.66100000000000003</v>
      </c>
      <c r="H112">
        <v>0.30099999999999999</v>
      </c>
      <c r="I112">
        <v>0.23</v>
      </c>
      <c r="J112">
        <v>0.19700000000000001</v>
      </c>
      <c r="K112">
        <v>9.7000000000000003E-2</v>
      </c>
      <c r="L112">
        <v>-99.998999999999995</v>
      </c>
      <c r="M112">
        <v>-99.998999999999995</v>
      </c>
      <c r="Q112" s="2">
        <f t="shared" si="7"/>
        <v>-1.5275912006304386</v>
      </c>
      <c r="T112" s="2">
        <f t="shared" si="8"/>
        <v>158561.02943389205</v>
      </c>
      <c r="W112" s="2">
        <f t="shared" si="9"/>
        <v>158561.02943389205</v>
      </c>
    </row>
    <row r="113" spans="1:23">
      <c r="A113">
        <v>1106</v>
      </c>
      <c r="B113">
        <v>4</v>
      </c>
      <c r="C113">
        <v>3</v>
      </c>
      <c r="D113">
        <v>4.8899999999999997</v>
      </c>
      <c r="E113" s="2">
        <f t="shared" si="5"/>
        <v>5</v>
      </c>
      <c r="F113" s="2">
        <f t="shared" si="6"/>
        <v>997</v>
      </c>
      <c r="G113">
        <v>-0.71799999999999997</v>
      </c>
      <c r="H113">
        <v>0.30099999999999999</v>
      </c>
      <c r="I113">
        <v>0.23</v>
      </c>
      <c r="J113">
        <v>0.19700000000000001</v>
      </c>
      <c r="K113">
        <v>9.7000000000000003E-2</v>
      </c>
      <c r="L113">
        <v>-99.998999999999995</v>
      </c>
      <c r="M113">
        <v>-99.998999999999995</v>
      </c>
      <c r="Q113" s="2">
        <f t="shared" si="7"/>
        <v>-0.31799067545200588</v>
      </c>
      <c r="T113" s="2">
        <f t="shared" si="8"/>
        <v>260627.55244507545</v>
      </c>
      <c r="W113" s="2">
        <f t="shared" si="9"/>
        <v>260627.55244507545</v>
      </c>
    </row>
    <row r="114" spans="1:23">
      <c r="A114">
        <v>1107</v>
      </c>
      <c r="B114">
        <v>4</v>
      </c>
      <c r="C114">
        <v>3</v>
      </c>
      <c r="D114">
        <v>-0.28299999999999997</v>
      </c>
      <c r="E114" s="2">
        <f t="shared" si="5"/>
        <v>-0.5</v>
      </c>
      <c r="F114" s="2">
        <f t="shared" si="6"/>
        <v>519</v>
      </c>
      <c r="G114">
        <v>-0.79800000000000004</v>
      </c>
      <c r="H114">
        <v>0.30099999999999999</v>
      </c>
      <c r="I114">
        <v>0.23</v>
      </c>
      <c r="J114">
        <v>0.19700000000000001</v>
      </c>
      <c r="K114">
        <v>9.7000000000000003E-2</v>
      </c>
      <c r="L114">
        <v>-99.998999999999995</v>
      </c>
      <c r="M114">
        <v>-99.998999999999995</v>
      </c>
      <c r="Q114" s="2">
        <f t="shared" si="7"/>
        <v>-1.7100404010911678</v>
      </c>
      <c r="T114" s="2">
        <f t="shared" si="8"/>
        <v>143165.90093520854</v>
      </c>
      <c r="W114" s="2">
        <f t="shared" si="9"/>
        <v>143165.90093520854</v>
      </c>
    </row>
    <row r="115" spans="1:23">
      <c r="A115">
        <v>1108</v>
      </c>
      <c r="B115">
        <v>4</v>
      </c>
      <c r="C115">
        <v>3</v>
      </c>
      <c r="D115">
        <v>-2.9470000000000001</v>
      </c>
      <c r="E115" s="2">
        <f t="shared" si="5"/>
        <v>-3</v>
      </c>
      <c r="F115" s="2">
        <f t="shared" si="6"/>
        <v>117</v>
      </c>
      <c r="G115">
        <v>-0.88300000000000001</v>
      </c>
      <c r="H115">
        <v>0.30099999999999999</v>
      </c>
      <c r="I115">
        <v>0.23</v>
      </c>
      <c r="J115">
        <v>0.19700000000000001</v>
      </c>
      <c r="K115">
        <v>9.7000000000000003E-2</v>
      </c>
      <c r="L115">
        <v>-99.998999999999995</v>
      </c>
      <c r="M115">
        <v>-99.998999999999995</v>
      </c>
      <c r="Q115" s="2">
        <f t="shared" si="7"/>
        <v>-2.4269204453793423</v>
      </c>
      <c r="T115" s="2">
        <f t="shared" si="8"/>
        <v>82675.307542151277</v>
      </c>
      <c r="W115" s="2">
        <f t="shared" si="9"/>
        <v>82675.307542151277</v>
      </c>
    </row>
    <row r="116" spans="1:23">
      <c r="A116">
        <v>1109</v>
      </c>
      <c r="B116">
        <v>4</v>
      </c>
      <c r="C116">
        <v>3</v>
      </c>
      <c r="D116">
        <v>-2.1539999999999999</v>
      </c>
      <c r="E116" s="2">
        <f t="shared" si="5"/>
        <v>-2</v>
      </c>
      <c r="F116" s="2">
        <f t="shared" si="6"/>
        <v>224</v>
      </c>
      <c r="G116">
        <v>-0.94599999999999995</v>
      </c>
      <c r="H116">
        <v>0.30099999999999999</v>
      </c>
      <c r="I116">
        <v>0.23</v>
      </c>
      <c r="J116">
        <v>0.19700000000000001</v>
      </c>
      <c r="K116">
        <v>9.7000000000000003E-2</v>
      </c>
      <c r="L116">
        <v>-99.998999999999995</v>
      </c>
      <c r="M116">
        <v>-99.998999999999995</v>
      </c>
      <c r="Q116" s="2">
        <f t="shared" si="7"/>
        <v>-2.2135248466103774</v>
      </c>
      <c r="T116" s="2">
        <f t="shared" si="8"/>
        <v>100681.70414901854</v>
      </c>
      <c r="W116" s="2">
        <f t="shared" si="9"/>
        <v>100681.70414901854</v>
      </c>
    </row>
    <row r="117" spans="1:23">
      <c r="A117">
        <v>1110</v>
      </c>
      <c r="B117">
        <v>4</v>
      </c>
      <c r="C117">
        <v>3</v>
      </c>
      <c r="D117">
        <v>-2.2210000000000001</v>
      </c>
      <c r="E117" s="2">
        <f t="shared" si="5"/>
        <v>-2</v>
      </c>
      <c r="F117" s="2">
        <f t="shared" si="6"/>
        <v>215</v>
      </c>
      <c r="G117">
        <v>-0.97399999999999998</v>
      </c>
      <c r="H117">
        <v>0.30099999999999999</v>
      </c>
      <c r="I117">
        <v>0.23</v>
      </c>
      <c r="J117">
        <v>0.19700000000000001</v>
      </c>
      <c r="K117">
        <v>9.7000000000000003E-2</v>
      </c>
      <c r="L117">
        <v>-99.998999999999995</v>
      </c>
      <c r="M117">
        <v>-99.998999999999995</v>
      </c>
      <c r="Q117" s="2">
        <f t="shared" si="7"/>
        <v>-2.2315544873638715</v>
      </c>
      <c r="T117" s="2">
        <f t="shared" si="8"/>
        <v>99160.35664251147</v>
      </c>
      <c r="W117" s="2">
        <f t="shared" si="9"/>
        <v>99160.35664251147</v>
      </c>
    </row>
    <row r="118" spans="1:23">
      <c r="A118">
        <v>1111</v>
      </c>
      <c r="B118">
        <v>4</v>
      </c>
      <c r="C118">
        <v>3</v>
      </c>
      <c r="D118">
        <v>-2.843</v>
      </c>
      <c r="E118" s="2">
        <f t="shared" si="5"/>
        <v>-3</v>
      </c>
      <c r="F118" s="2">
        <f t="shared" si="6"/>
        <v>129</v>
      </c>
      <c r="G118">
        <v>-0.96599999999999997</v>
      </c>
      <c r="H118">
        <v>0.30099999999999999</v>
      </c>
      <c r="I118">
        <v>0.23</v>
      </c>
      <c r="J118">
        <v>0.19700000000000001</v>
      </c>
      <c r="K118">
        <v>9.7000000000000003E-2</v>
      </c>
      <c r="L118">
        <v>-99.998999999999995</v>
      </c>
      <c r="M118">
        <v>-99.998999999999995</v>
      </c>
      <c r="Q118" s="2">
        <f t="shared" si="7"/>
        <v>-2.3989341373440682</v>
      </c>
      <c r="T118" s="2">
        <f t="shared" si="8"/>
        <v>85036.802179117454</v>
      </c>
      <c r="W118" s="2">
        <f t="shared" si="9"/>
        <v>85036.802179117454</v>
      </c>
    </row>
    <row r="119" spans="1:23">
      <c r="A119">
        <v>1112</v>
      </c>
      <c r="B119">
        <v>4</v>
      </c>
      <c r="C119">
        <v>3</v>
      </c>
      <c r="D119">
        <v>-1.796</v>
      </c>
      <c r="E119" s="2">
        <f t="shared" si="5"/>
        <v>-2</v>
      </c>
      <c r="F119" s="2">
        <f t="shared" si="6"/>
        <v>272</v>
      </c>
      <c r="G119">
        <v>-0.93799999999999994</v>
      </c>
      <c r="H119">
        <v>0.30099999999999999</v>
      </c>
      <c r="I119">
        <v>0.23</v>
      </c>
      <c r="J119">
        <v>0.19700000000000001</v>
      </c>
      <c r="K119">
        <v>9.7000000000000003E-2</v>
      </c>
      <c r="L119">
        <v>-99.998999999999995</v>
      </c>
      <c r="M119">
        <v>-99.998999999999995</v>
      </c>
      <c r="Q119" s="2">
        <f t="shared" si="7"/>
        <v>-2.117187363181261</v>
      </c>
      <c r="T119" s="2">
        <f t="shared" si="8"/>
        <v>108810.69530319065</v>
      </c>
      <c r="W119" s="2">
        <f t="shared" si="9"/>
        <v>108810.69530319065</v>
      </c>
    </row>
    <row r="120" spans="1:23">
      <c r="A120">
        <v>1113</v>
      </c>
      <c r="B120">
        <v>4</v>
      </c>
      <c r="C120">
        <v>3</v>
      </c>
      <c r="D120">
        <v>3.3879999999999999</v>
      </c>
      <c r="E120" s="2">
        <f t="shared" si="5"/>
        <v>3.5</v>
      </c>
      <c r="F120" s="2">
        <f t="shared" si="6"/>
        <v>954</v>
      </c>
      <c r="G120">
        <v>-0.91600000000000004</v>
      </c>
      <c r="H120">
        <v>0.30099999999999999</v>
      </c>
      <c r="I120">
        <v>0.23</v>
      </c>
      <c r="J120">
        <v>0.19700000000000001</v>
      </c>
      <c r="K120">
        <v>9.7000000000000003E-2</v>
      </c>
      <c r="L120">
        <v>-99.998999999999995</v>
      </c>
      <c r="M120">
        <v>-99.998999999999995</v>
      </c>
      <c r="Q120" s="2">
        <f t="shared" si="7"/>
        <v>-0.7221775472691373</v>
      </c>
      <c r="T120" s="2">
        <f t="shared" si="8"/>
        <v>226522.12028427515</v>
      </c>
      <c r="W120" s="2">
        <f t="shared" si="9"/>
        <v>226522.12028427515</v>
      </c>
    </row>
    <row r="121" spans="1:23">
      <c r="A121">
        <v>1114</v>
      </c>
      <c r="B121">
        <v>4</v>
      </c>
      <c r="C121">
        <v>3</v>
      </c>
      <c r="D121">
        <v>1.613</v>
      </c>
      <c r="E121" s="2">
        <f t="shared" si="5"/>
        <v>1.5</v>
      </c>
      <c r="F121" s="2">
        <f t="shared" si="6"/>
        <v>812</v>
      </c>
      <c r="G121">
        <v>-0.93300000000000005</v>
      </c>
      <c r="H121">
        <v>0.30099999999999999</v>
      </c>
      <c r="I121">
        <v>0.23</v>
      </c>
      <c r="J121">
        <v>0.19700000000000001</v>
      </c>
      <c r="K121">
        <v>9.7000000000000003E-2</v>
      </c>
      <c r="L121">
        <v>-99.998999999999995</v>
      </c>
      <c r="M121">
        <v>-99.998999999999995</v>
      </c>
      <c r="Q121" s="2">
        <f t="shared" si="7"/>
        <v>-1.1998284776788632</v>
      </c>
      <c r="T121" s="2">
        <f t="shared" si="8"/>
        <v>186217.76470143854</v>
      </c>
      <c r="W121" s="2">
        <f t="shared" si="9"/>
        <v>186217.76470143854</v>
      </c>
    </row>
    <row r="122" spans="1:23">
      <c r="A122">
        <v>1115</v>
      </c>
      <c r="B122">
        <v>4</v>
      </c>
      <c r="C122">
        <v>3</v>
      </c>
      <c r="D122">
        <v>-3.3740000000000001</v>
      </c>
      <c r="E122" s="2">
        <f t="shared" si="5"/>
        <v>-3.5</v>
      </c>
      <c r="F122" s="2">
        <f t="shared" si="6"/>
        <v>84</v>
      </c>
      <c r="G122">
        <v>-0.98899999999999999</v>
      </c>
      <c r="H122">
        <v>0.30099999999999999</v>
      </c>
      <c r="I122">
        <v>0.23</v>
      </c>
      <c r="J122">
        <v>0.19700000000000001</v>
      </c>
      <c r="K122">
        <v>9.7000000000000003E-2</v>
      </c>
      <c r="L122">
        <v>-99.998999999999995</v>
      </c>
      <c r="M122">
        <v>-99.998999999999995</v>
      </c>
      <c r="Q122" s="2">
        <f t="shared" si="7"/>
        <v>-2.5418257677934006</v>
      </c>
      <c r="T122" s="2">
        <f t="shared" si="8"/>
        <v>72979.555523068848</v>
      </c>
      <c r="W122" s="2">
        <f t="shared" si="9"/>
        <v>72979.555523068848</v>
      </c>
    </row>
    <row r="123" spans="1:23">
      <c r="A123">
        <v>1116</v>
      </c>
      <c r="B123">
        <v>4</v>
      </c>
      <c r="C123">
        <v>3</v>
      </c>
      <c r="D123">
        <v>-1.65</v>
      </c>
      <c r="E123" s="2">
        <f t="shared" si="5"/>
        <v>-1.5</v>
      </c>
      <c r="F123" s="2">
        <f t="shared" si="6"/>
        <v>297</v>
      </c>
      <c r="G123">
        <v>-1.0620000000000001</v>
      </c>
      <c r="H123">
        <v>0.30099999999999999</v>
      </c>
      <c r="I123">
        <v>0.23</v>
      </c>
      <c r="J123">
        <v>0.19700000000000001</v>
      </c>
      <c r="K123">
        <v>9.7000000000000003E-2</v>
      </c>
      <c r="L123">
        <v>-99.998999999999995</v>
      </c>
      <c r="M123">
        <v>-99.998999999999995</v>
      </c>
      <c r="Q123" s="2">
        <f t="shared" si="7"/>
        <v>-2.0778988922855879</v>
      </c>
      <c r="T123" s="2">
        <f t="shared" si="8"/>
        <v>112125.87046662395</v>
      </c>
      <c r="W123" s="2">
        <f t="shared" si="9"/>
        <v>112125.87046662395</v>
      </c>
    </row>
    <row r="124" spans="1:23">
      <c r="A124">
        <v>1117</v>
      </c>
      <c r="B124">
        <v>4</v>
      </c>
      <c r="C124">
        <v>3</v>
      </c>
      <c r="D124">
        <v>-1.4319999999999999</v>
      </c>
      <c r="E124" s="2">
        <f t="shared" si="5"/>
        <v>-1.5</v>
      </c>
      <c r="F124" s="2">
        <f t="shared" si="6"/>
        <v>340</v>
      </c>
      <c r="G124">
        <v>-1.147</v>
      </c>
      <c r="H124">
        <v>0.30099999999999999</v>
      </c>
      <c r="I124">
        <v>0.23</v>
      </c>
      <c r="J124">
        <v>0.19700000000000001</v>
      </c>
      <c r="K124">
        <v>9.7000000000000003E-2</v>
      </c>
      <c r="L124">
        <v>-99.998999999999995</v>
      </c>
      <c r="M124">
        <v>-99.998999999999995</v>
      </c>
      <c r="Q124" s="2">
        <f t="shared" si="7"/>
        <v>-2.0192352850578015</v>
      </c>
      <c r="T124" s="2">
        <f t="shared" si="8"/>
        <v>117075.92653257237</v>
      </c>
      <c r="W124" s="2">
        <f t="shared" si="9"/>
        <v>117075.92653257237</v>
      </c>
    </row>
    <row r="125" spans="1:23">
      <c r="A125">
        <v>1118</v>
      </c>
      <c r="B125">
        <v>4</v>
      </c>
      <c r="C125">
        <v>3</v>
      </c>
      <c r="D125">
        <v>-1.706</v>
      </c>
      <c r="E125" s="2">
        <f t="shared" si="5"/>
        <v>-1.5</v>
      </c>
      <c r="F125" s="2">
        <f t="shared" si="6"/>
        <v>291</v>
      </c>
      <c r="G125">
        <v>-1.244</v>
      </c>
      <c r="H125">
        <v>0.30099999999999999</v>
      </c>
      <c r="I125">
        <v>0.23</v>
      </c>
      <c r="J125">
        <v>0.19700000000000001</v>
      </c>
      <c r="K125">
        <v>9.7000000000000003E-2</v>
      </c>
      <c r="L125">
        <v>-99.998999999999995</v>
      </c>
      <c r="M125">
        <v>-99.998999999999995</v>
      </c>
      <c r="Q125" s="2">
        <f t="shared" si="7"/>
        <v>-2.0929684427661197</v>
      </c>
      <c r="T125" s="2">
        <f t="shared" si="8"/>
        <v>110854.29643133449</v>
      </c>
      <c r="W125" s="2">
        <f t="shared" si="9"/>
        <v>110854.29643133449</v>
      </c>
    </row>
    <row r="126" spans="1:23">
      <c r="A126">
        <v>1119</v>
      </c>
      <c r="B126">
        <v>4</v>
      </c>
      <c r="C126">
        <v>3</v>
      </c>
      <c r="D126">
        <v>-0.83899999999999997</v>
      </c>
      <c r="E126" s="2">
        <f t="shared" si="5"/>
        <v>-1</v>
      </c>
      <c r="F126" s="2">
        <f t="shared" si="6"/>
        <v>416</v>
      </c>
      <c r="G126">
        <v>-1.3580000000000001</v>
      </c>
      <c r="H126">
        <v>0.30099999999999999</v>
      </c>
      <c r="I126">
        <v>0.23</v>
      </c>
      <c r="J126">
        <v>0.19700000000000001</v>
      </c>
      <c r="K126">
        <v>9.7000000000000003E-2</v>
      </c>
      <c r="L126">
        <v>-99.998999999999995</v>
      </c>
      <c r="M126">
        <v>-99.998999999999995</v>
      </c>
      <c r="Q126" s="2">
        <f t="shared" si="7"/>
        <v>-1.8596595094335946</v>
      </c>
      <c r="T126" s="2">
        <f t="shared" si="8"/>
        <v>130540.98729912002</v>
      </c>
      <c r="W126" s="2">
        <f t="shared" si="9"/>
        <v>130540.98729912002</v>
      </c>
    </row>
    <row r="127" spans="1:23">
      <c r="A127">
        <v>1120</v>
      </c>
      <c r="B127">
        <v>4</v>
      </c>
      <c r="C127">
        <v>3</v>
      </c>
      <c r="D127">
        <v>6.4000000000000001E-2</v>
      </c>
      <c r="E127" s="2">
        <f t="shared" si="5"/>
        <v>0</v>
      </c>
      <c r="F127" s="2">
        <f t="shared" si="6"/>
        <v>579</v>
      </c>
      <c r="G127">
        <v>-1.4950000000000001</v>
      </c>
      <c r="H127">
        <v>0.30099999999999999</v>
      </c>
      <c r="I127">
        <v>0.23</v>
      </c>
      <c r="J127">
        <v>0.19700000000000001</v>
      </c>
      <c r="K127">
        <v>9.7000000000000003E-2</v>
      </c>
      <c r="L127">
        <v>-99.998999999999995</v>
      </c>
      <c r="M127">
        <v>-99.998999999999995</v>
      </c>
      <c r="Q127" s="2">
        <f t="shared" si="7"/>
        <v>-1.6166630079350128</v>
      </c>
      <c r="T127" s="2">
        <f t="shared" si="8"/>
        <v>151045.11861816311</v>
      </c>
      <c r="W127" s="2">
        <f t="shared" si="9"/>
        <v>151045.11861816311</v>
      </c>
    </row>
    <row r="128" spans="1:23">
      <c r="A128">
        <v>1121</v>
      </c>
      <c r="B128">
        <v>4</v>
      </c>
      <c r="C128">
        <v>3</v>
      </c>
      <c r="D128">
        <v>-2.3420000000000001</v>
      </c>
      <c r="E128" s="2">
        <f t="shared" si="5"/>
        <v>-2.5</v>
      </c>
      <c r="F128" s="2">
        <f t="shared" si="6"/>
        <v>195</v>
      </c>
      <c r="G128">
        <v>-1.657</v>
      </c>
      <c r="H128">
        <v>0.30099999999999999</v>
      </c>
      <c r="I128">
        <v>0.23</v>
      </c>
      <c r="J128">
        <v>0.19700000000000001</v>
      </c>
      <c r="K128">
        <v>9.7000000000000003E-2</v>
      </c>
      <c r="L128">
        <v>-99.998999999999995</v>
      </c>
      <c r="M128">
        <v>-99.998999999999995</v>
      </c>
      <c r="Q128" s="2">
        <f t="shared" si="7"/>
        <v>-2.2641154803664501</v>
      </c>
      <c r="T128" s="2">
        <f t="shared" si="8"/>
        <v>96412.848459118075</v>
      </c>
      <c r="W128" s="2">
        <f t="shared" si="9"/>
        <v>96412.848459118075</v>
      </c>
    </row>
    <row r="129" spans="1:23">
      <c r="A129">
        <v>1122</v>
      </c>
      <c r="B129">
        <v>4</v>
      </c>
      <c r="C129">
        <v>3</v>
      </c>
      <c r="D129">
        <v>-1.024</v>
      </c>
      <c r="E129" s="2">
        <f t="shared" si="5"/>
        <v>-1</v>
      </c>
      <c r="F129" s="2">
        <f t="shared" si="6"/>
        <v>389</v>
      </c>
      <c r="G129">
        <v>-1.8360000000000001</v>
      </c>
      <c r="H129">
        <v>0.30099999999999999</v>
      </c>
      <c r="I129">
        <v>0.23</v>
      </c>
      <c r="J129">
        <v>0.19700000000000001</v>
      </c>
      <c r="K129">
        <v>9.7000000000000003E-2</v>
      </c>
      <c r="L129">
        <v>-99.998999999999995</v>
      </c>
      <c r="M129">
        <v>-99.998999999999995</v>
      </c>
      <c r="Q129" s="2">
        <f t="shared" si="7"/>
        <v>-1.9094428458424957</v>
      </c>
      <c r="T129" s="2">
        <f t="shared" si="8"/>
        <v>126340.25164682438</v>
      </c>
      <c r="W129" s="2">
        <f t="shared" si="9"/>
        <v>126340.25164682438</v>
      </c>
    </row>
    <row r="130" spans="1:23">
      <c r="A130">
        <v>1123</v>
      </c>
      <c r="B130">
        <v>4</v>
      </c>
      <c r="C130">
        <v>3</v>
      </c>
      <c r="D130">
        <v>-0.70899999999999996</v>
      </c>
      <c r="E130" s="2">
        <f t="shared" si="5"/>
        <v>-0.5</v>
      </c>
      <c r="F130" s="2">
        <f t="shared" si="6"/>
        <v>445</v>
      </c>
      <c r="G130">
        <v>-2.0249999999999999</v>
      </c>
      <c r="H130">
        <v>0.30099999999999999</v>
      </c>
      <c r="I130">
        <v>0.23</v>
      </c>
      <c r="J130">
        <v>0.19700000000000001</v>
      </c>
      <c r="K130">
        <v>9.7000000000000003E-2</v>
      </c>
      <c r="L130">
        <v>-99.998999999999995</v>
      </c>
      <c r="M130">
        <v>-99.998999999999995</v>
      </c>
      <c r="Q130" s="2">
        <f t="shared" si="7"/>
        <v>-1.8246766243895021</v>
      </c>
      <c r="T130" s="2">
        <f t="shared" si="8"/>
        <v>133492.85559532777</v>
      </c>
      <c r="W130" s="2">
        <f t="shared" si="9"/>
        <v>133492.85559532777</v>
      </c>
    </row>
    <row r="131" spans="1:23">
      <c r="A131">
        <v>1124</v>
      </c>
      <c r="B131">
        <v>4</v>
      </c>
      <c r="C131">
        <v>3</v>
      </c>
      <c r="D131">
        <v>-3.516</v>
      </c>
      <c r="E131" s="2">
        <f t="shared" ref="E131:E194" si="10">IF(D131&gt;0,MROUND(D131,0.5),MROUND(D131,-0.5))</f>
        <v>-3.5</v>
      </c>
      <c r="F131" s="2">
        <f t="shared" ref="F131:F194" si="11">RANK(D131,$D$3:$D$1011,1)</f>
        <v>75</v>
      </c>
      <c r="G131">
        <v>-2.21</v>
      </c>
      <c r="H131">
        <v>0.30099999999999999</v>
      </c>
      <c r="I131">
        <v>0.23</v>
      </c>
      <c r="J131">
        <v>0.19700000000000001</v>
      </c>
      <c r="K131">
        <v>9.7000000000000003E-2</v>
      </c>
      <c r="L131">
        <v>-99.998999999999995</v>
      </c>
      <c r="M131">
        <v>-99.998999999999995</v>
      </c>
      <c r="Q131" s="2">
        <f t="shared" ref="Q131:Q194" si="12">$Q$1022+($Q$1021*D131)</f>
        <v>-2.5800378422261785</v>
      </c>
      <c r="T131" s="2">
        <f t="shared" ref="T131:T194" si="13">$T$1025+(Q131*$T$1024)</f>
        <v>69755.207076441933</v>
      </c>
      <c r="W131" s="2">
        <f t="shared" ref="W131:W194" si="14">$T$1025+(Q131*$T$1024)</f>
        <v>69755.207076441933</v>
      </c>
    </row>
    <row r="132" spans="1:23">
      <c r="A132">
        <v>1125</v>
      </c>
      <c r="B132">
        <v>4</v>
      </c>
      <c r="C132">
        <v>3</v>
      </c>
      <c r="D132">
        <v>-3.3410000000000002</v>
      </c>
      <c r="E132" s="2">
        <f t="shared" si="10"/>
        <v>-3.5</v>
      </c>
      <c r="F132" s="2">
        <f t="shared" si="11"/>
        <v>87</v>
      </c>
      <c r="G132">
        <v>-2.37</v>
      </c>
      <c r="H132">
        <v>0.30099999999999999</v>
      </c>
      <c r="I132">
        <v>0.23</v>
      </c>
      <c r="J132">
        <v>0.19700000000000001</v>
      </c>
      <c r="K132">
        <v>9.7000000000000003E-2</v>
      </c>
      <c r="L132">
        <v>-99.998999999999995</v>
      </c>
      <c r="M132">
        <v>-99.998999999999995</v>
      </c>
      <c r="Q132" s="2">
        <f t="shared" si="12"/>
        <v>-2.5329454969745155</v>
      </c>
      <c r="T132" s="2">
        <f t="shared" si="13"/>
        <v>73728.875936721597</v>
      </c>
      <c r="W132" s="2">
        <f t="shared" si="14"/>
        <v>73728.875936721597</v>
      </c>
    </row>
    <row r="133" spans="1:23">
      <c r="A133">
        <v>1126</v>
      </c>
      <c r="B133">
        <v>4</v>
      </c>
      <c r="C133">
        <v>3</v>
      </c>
      <c r="D133">
        <v>-2.2530000000000001</v>
      </c>
      <c r="E133" s="2">
        <f t="shared" si="10"/>
        <v>-2.5</v>
      </c>
      <c r="F133" s="2">
        <f t="shared" si="11"/>
        <v>211</v>
      </c>
      <c r="G133">
        <v>-2.4910000000000001</v>
      </c>
      <c r="H133">
        <v>0.30099999999999999</v>
      </c>
      <c r="I133">
        <v>0.23</v>
      </c>
      <c r="J133">
        <v>0.19700000000000001</v>
      </c>
      <c r="K133">
        <v>9.7000000000000003E-2</v>
      </c>
      <c r="L133">
        <v>-99.998999999999995</v>
      </c>
      <c r="M133">
        <v>-99.998999999999995</v>
      </c>
      <c r="Q133" s="2">
        <f t="shared" si="12"/>
        <v>-2.2401656590670327</v>
      </c>
      <c r="T133" s="2">
        <f t="shared" si="13"/>
        <v>98433.742908060318</v>
      </c>
      <c r="W133" s="2">
        <f t="shared" si="14"/>
        <v>98433.742908060318</v>
      </c>
    </row>
    <row r="134" spans="1:23">
      <c r="A134">
        <v>1127</v>
      </c>
      <c r="B134">
        <v>4</v>
      </c>
      <c r="C134">
        <v>3</v>
      </c>
      <c r="D134">
        <v>-1.917</v>
      </c>
      <c r="E134" s="2">
        <f t="shared" si="10"/>
        <v>-2</v>
      </c>
      <c r="F134" s="2">
        <f t="shared" si="11"/>
        <v>254</v>
      </c>
      <c r="G134">
        <v>-2.5670000000000002</v>
      </c>
      <c r="H134">
        <v>0.30099999999999999</v>
      </c>
      <c r="I134">
        <v>0.23</v>
      </c>
      <c r="J134">
        <v>0.19700000000000001</v>
      </c>
      <c r="K134">
        <v>9.7000000000000003E-2</v>
      </c>
      <c r="L134">
        <v>-99.998999999999995</v>
      </c>
      <c r="M134">
        <v>-99.998999999999995</v>
      </c>
      <c r="Q134" s="2">
        <f t="shared" si="12"/>
        <v>-2.1497483561838395</v>
      </c>
      <c r="T134" s="2">
        <f t="shared" si="13"/>
        <v>106063.18711979728</v>
      </c>
      <c r="W134" s="2">
        <f t="shared" si="14"/>
        <v>106063.18711979728</v>
      </c>
    </row>
    <row r="135" spans="1:23">
      <c r="A135">
        <v>1128</v>
      </c>
      <c r="B135">
        <v>4</v>
      </c>
      <c r="C135">
        <v>3</v>
      </c>
      <c r="D135">
        <v>-4.12</v>
      </c>
      <c r="E135" s="2">
        <f t="shared" si="10"/>
        <v>-4</v>
      </c>
      <c r="F135" s="2">
        <f t="shared" si="11"/>
        <v>25</v>
      </c>
      <c r="G135">
        <v>-2.593</v>
      </c>
      <c r="H135">
        <v>0.30099999999999999</v>
      </c>
      <c r="I135">
        <v>0.23</v>
      </c>
      <c r="J135">
        <v>0.19700000000000001</v>
      </c>
      <c r="K135">
        <v>9.7000000000000003E-2</v>
      </c>
      <c r="L135">
        <v>-99.998999999999995</v>
      </c>
      <c r="M135">
        <v>-99.998999999999995</v>
      </c>
      <c r="Q135" s="2">
        <f t="shared" si="12"/>
        <v>-2.7425737081233477</v>
      </c>
      <c r="T135" s="2">
        <f t="shared" si="13"/>
        <v>56040.372838676674</v>
      </c>
      <c r="W135" s="2">
        <f t="shared" si="14"/>
        <v>56040.372838676674</v>
      </c>
    </row>
    <row r="136" spans="1:23">
      <c r="A136">
        <v>1129</v>
      </c>
      <c r="B136">
        <v>4</v>
      </c>
      <c r="C136">
        <v>3</v>
      </c>
      <c r="D136">
        <v>-3.8439999999999999</v>
      </c>
      <c r="E136" s="2">
        <f t="shared" si="10"/>
        <v>-4</v>
      </c>
      <c r="F136" s="2">
        <f t="shared" si="11"/>
        <v>50</v>
      </c>
      <c r="G136">
        <v>-2.5590000000000002</v>
      </c>
      <c r="H136">
        <v>0.30099999999999999</v>
      </c>
      <c r="I136">
        <v>0.23</v>
      </c>
      <c r="J136">
        <v>0.19700000000000001</v>
      </c>
      <c r="K136">
        <v>9.7000000000000003E-2</v>
      </c>
      <c r="L136">
        <v>-99.998999999999995</v>
      </c>
      <c r="M136">
        <v>-99.998999999999995</v>
      </c>
      <c r="Q136" s="2">
        <f t="shared" si="12"/>
        <v>-2.6683023521835816</v>
      </c>
      <c r="T136" s="2">
        <f t="shared" si="13"/>
        <v>62307.416298317752</v>
      </c>
      <c r="W136" s="2">
        <f t="shared" si="14"/>
        <v>62307.416298317752</v>
      </c>
    </row>
    <row r="137" spans="1:23">
      <c r="A137">
        <v>1130</v>
      </c>
      <c r="B137">
        <v>4</v>
      </c>
      <c r="C137">
        <v>3</v>
      </c>
      <c r="D137">
        <v>-2.4009999999999998</v>
      </c>
      <c r="E137" s="2">
        <f t="shared" si="10"/>
        <v>-2.5</v>
      </c>
      <c r="F137" s="2">
        <f t="shared" si="11"/>
        <v>186</v>
      </c>
      <c r="G137">
        <v>-2.4670000000000001</v>
      </c>
      <c r="H137">
        <v>0.30099999999999999</v>
      </c>
      <c r="I137">
        <v>0.23</v>
      </c>
      <c r="J137">
        <v>0.19700000000000001</v>
      </c>
      <c r="K137">
        <v>9.7000000000000003E-2</v>
      </c>
      <c r="L137">
        <v>-99.998999999999995</v>
      </c>
      <c r="M137">
        <v>-99.998999999999995</v>
      </c>
      <c r="Q137" s="2">
        <f t="shared" si="12"/>
        <v>-2.2799923281941537</v>
      </c>
      <c r="T137" s="2">
        <f t="shared" si="13"/>
        <v>95073.154386223789</v>
      </c>
      <c r="W137" s="2">
        <f t="shared" si="14"/>
        <v>95073.154386223789</v>
      </c>
    </row>
    <row r="138" spans="1:23">
      <c r="A138">
        <v>1131</v>
      </c>
      <c r="B138">
        <v>4</v>
      </c>
      <c r="C138">
        <v>3</v>
      </c>
      <c r="D138">
        <v>-2.0840000000000001</v>
      </c>
      <c r="E138" s="2">
        <f t="shared" si="10"/>
        <v>-2</v>
      </c>
      <c r="F138" s="2">
        <f t="shared" si="11"/>
        <v>233</v>
      </c>
      <c r="G138">
        <v>-2.331</v>
      </c>
      <c r="H138">
        <v>0.30099999999999999</v>
      </c>
      <c r="I138">
        <v>0.23</v>
      </c>
      <c r="J138">
        <v>0.19700000000000001</v>
      </c>
      <c r="K138">
        <v>9.7000000000000003E-2</v>
      </c>
      <c r="L138">
        <v>-99.998999999999995</v>
      </c>
      <c r="M138">
        <v>-99.998999999999995</v>
      </c>
      <c r="Q138" s="2">
        <f t="shared" si="12"/>
        <v>-2.1946879085097124</v>
      </c>
      <c r="T138" s="2">
        <f t="shared" si="13"/>
        <v>102271.1716931304</v>
      </c>
      <c r="W138" s="2">
        <f t="shared" si="14"/>
        <v>102271.1716931304</v>
      </c>
    </row>
    <row r="139" spans="1:23">
      <c r="A139">
        <v>1132</v>
      </c>
      <c r="B139">
        <v>4</v>
      </c>
      <c r="C139">
        <v>3</v>
      </c>
      <c r="D139">
        <v>-1.9950000000000001</v>
      </c>
      <c r="E139" s="2">
        <f t="shared" si="10"/>
        <v>-2</v>
      </c>
      <c r="F139" s="2">
        <f t="shared" si="11"/>
        <v>245</v>
      </c>
      <c r="G139">
        <v>-2.165</v>
      </c>
      <c r="H139">
        <v>0.30099999999999999</v>
      </c>
      <c r="I139">
        <v>0.23</v>
      </c>
      <c r="J139">
        <v>0.19700000000000001</v>
      </c>
      <c r="K139">
        <v>9.7000000000000003E-2</v>
      </c>
      <c r="L139">
        <v>-99.998999999999995</v>
      </c>
      <c r="M139">
        <v>-99.998999999999995</v>
      </c>
      <c r="Q139" s="2">
        <f t="shared" si="12"/>
        <v>-2.170738087210295</v>
      </c>
      <c r="T139" s="2">
        <f t="shared" si="13"/>
        <v>104292.06614207264</v>
      </c>
      <c r="W139" s="2">
        <f t="shared" si="14"/>
        <v>104292.06614207264</v>
      </c>
    </row>
    <row r="140" spans="1:23">
      <c r="A140">
        <v>1133</v>
      </c>
      <c r="B140">
        <v>4</v>
      </c>
      <c r="C140">
        <v>3</v>
      </c>
      <c r="D140">
        <v>-2.9049999999999998</v>
      </c>
      <c r="E140" s="2">
        <f t="shared" si="10"/>
        <v>-3</v>
      </c>
      <c r="F140" s="2">
        <f t="shared" si="11"/>
        <v>122</v>
      </c>
      <c r="G140">
        <v>-1.9810000000000001</v>
      </c>
      <c r="H140">
        <v>0.30099999999999999</v>
      </c>
      <c r="I140">
        <v>0.23</v>
      </c>
      <c r="J140">
        <v>0.19700000000000001</v>
      </c>
      <c r="K140">
        <v>9.7000000000000003E-2</v>
      </c>
      <c r="L140">
        <v>-99.998999999999995</v>
      </c>
      <c r="M140">
        <v>-99.998999999999995</v>
      </c>
      <c r="Q140" s="2">
        <f t="shared" si="12"/>
        <v>-2.4156182825189432</v>
      </c>
      <c r="T140" s="2">
        <f t="shared" si="13"/>
        <v>83628.988068618375</v>
      </c>
      <c r="W140" s="2">
        <f t="shared" si="14"/>
        <v>83628.988068618375</v>
      </c>
    </row>
    <row r="141" spans="1:23">
      <c r="A141">
        <v>1134</v>
      </c>
      <c r="B141">
        <v>4</v>
      </c>
      <c r="C141">
        <v>3</v>
      </c>
      <c r="D141">
        <v>-3.5670000000000002</v>
      </c>
      <c r="E141" s="2">
        <f t="shared" si="10"/>
        <v>-3.5</v>
      </c>
      <c r="F141" s="2">
        <f t="shared" si="11"/>
        <v>72</v>
      </c>
      <c r="G141">
        <v>-1.792</v>
      </c>
      <c r="H141">
        <v>0.30099999999999999</v>
      </c>
      <c r="I141">
        <v>0.23</v>
      </c>
      <c r="J141">
        <v>0.19700000000000001</v>
      </c>
      <c r="K141">
        <v>9.7000000000000003E-2</v>
      </c>
      <c r="L141">
        <v>-99.998999999999995</v>
      </c>
      <c r="M141">
        <v>-99.998999999999995</v>
      </c>
      <c r="Q141" s="2">
        <f t="shared" si="12"/>
        <v>-2.593761897128092</v>
      </c>
      <c r="T141" s="2">
        <f t="shared" si="13"/>
        <v>68597.166437160427</v>
      </c>
      <c r="W141" s="2">
        <f t="shared" si="14"/>
        <v>68597.166437160427</v>
      </c>
    </row>
    <row r="142" spans="1:23">
      <c r="A142">
        <v>1135</v>
      </c>
      <c r="B142">
        <v>4</v>
      </c>
      <c r="C142">
        <v>3</v>
      </c>
      <c r="D142">
        <v>1.431</v>
      </c>
      <c r="E142" s="2">
        <f t="shared" si="10"/>
        <v>1.5</v>
      </c>
      <c r="F142" s="2">
        <f t="shared" si="11"/>
        <v>792</v>
      </c>
      <c r="G142">
        <v>-1.6180000000000001</v>
      </c>
      <c r="H142">
        <v>0.35599999999999998</v>
      </c>
      <c r="I142">
        <v>0.28399999999999997</v>
      </c>
      <c r="J142">
        <v>0.24299999999999999</v>
      </c>
      <c r="K142">
        <v>0.14299999999999999</v>
      </c>
      <c r="L142">
        <v>-99.998999999999995</v>
      </c>
      <c r="M142">
        <v>-99.998999999999995</v>
      </c>
      <c r="Q142" s="2">
        <f t="shared" si="12"/>
        <v>-1.2488045167405928</v>
      </c>
      <c r="T142" s="2">
        <f t="shared" si="13"/>
        <v>182085.1490867477</v>
      </c>
      <c r="W142" s="2">
        <f t="shared" si="14"/>
        <v>182085.1490867477</v>
      </c>
    </row>
    <row r="143" spans="1:23">
      <c r="A143">
        <v>1136</v>
      </c>
      <c r="B143">
        <v>4</v>
      </c>
      <c r="C143">
        <v>3</v>
      </c>
      <c r="D143">
        <v>2.1320000000000001</v>
      </c>
      <c r="E143" s="2">
        <f t="shared" si="10"/>
        <v>2</v>
      </c>
      <c r="F143" s="2">
        <f t="shared" si="11"/>
        <v>865</v>
      </c>
      <c r="G143">
        <v>-1.4890000000000001</v>
      </c>
      <c r="H143">
        <v>0.35599999999999998</v>
      </c>
      <c r="I143">
        <v>0.28399999999999997</v>
      </c>
      <c r="J143">
        <v>0.24299999999999999</v>
      </c>
      <c r="K143">
        <v>0.14299999999999999</v>
      </c>
      <c r="L143">
        <v>-99.998999999999995</v>
      </c>
      <c r="M143">
        <v>-99.998999999999995</v>
      </c>
      <c r="Q143" s="2">
        <f t="shared" si="12"/>
        <v>-1.0601660366182166</v>
      </c>
      <c r="T143" s="2">
        <f t="shared" si="13"/>
        <v>198002.53120706795</v>
      </c>
      <c r="W143" s="2">
        <f t="shared" si="14"/>
        <v>198002.53120706795</v>
      </c>
    </row>
    <row r="144" spans="1:23">
      <c r="A144">
        <v>1137</v>
      </c>
      <c r="B144">
        <v>4</v>
      </c>
      <c r="C144">
        <v>3</v>
      </c>
      <c r="D144">
        <v>-3.073</v>
      </c>
      <c r="E144" s="2">
        <f t="shared" si="10"/>
        <v>-3</v>
      </c>
      <c r="F144" s="2">
        <f t="shared" si="11"/>
        <v>104</v>
      </c>
      <c r="G144">
        <v>-1.41</v>
      </c>
      <c r="H144">
        <v>0.35599999999999998</v>
      </c>
      <c r="I144">
        <v>0.28399999999999997</v>
      </c>
      <c r="J144">
        <v>0.24299999999999999</v>
      </c>
      <c r="K144">
        <v>0.14299999999999999</v>
      </c>
      <c r="L144">
        <v>-99.998999999999995</v>
      </c>
      <c r="M144">
        <v>-99.998999999999995</v>
      </c>
      <c r="Q144" s="2">
        <f t="shared" si="12"/>
        <v>-2.46082693396054</v>
      </c>
      <c r="T144" s="2">
        <f t="shared" si="13"/>
        <v>79814.265962749894</v>
      </c>
      <c r="W144" s="2">
        <f t="shared" si="14"/>
        <v>79814.265962749894</v>
      </c>
    </row>
    <row r="145" spans="1:23">
      <c r="A145">
        <v>1138</v>
      </c>
      <c r="B145">
        <v>4</v>
      </c>
      <c r="C145">
        <v>3</v>
      </c>
      <c r="D145">
        <v>-3.133</v>
      </c>
      <c r="E145" s="2">
        <f t="shared" si="10"/>
        <v>-3</v>
      </c>
      <c r="F145" s="2">
        <f t="shared" si="11"/>
        <v>97</v>
      </c>
      <c r="G145">
        <v>-1.361</v>
      </c>
      <c r="H145">
        <v>0.35599999999999998</v>
      </c>
      <c r="I145">
        <v>0.28399999999999997</v>
      </c>
      <c r="J145">
        <v>0.24299999999999999</v>
      </c>
      <c r="K145">
        <v>0.14299999999999999</v>
      </c>
      <c r="L145">
        <v>-99.998999999999995</v>
      </c>
      <c r="M145">
        <v>-99.998999999999995</v>
      </c>
      <c r="Q145" s="2">
        <f t="shared" si="12"/>
        <v>-2.4769728809039675</v>
      </c>
      <c r="T145" s="2">
        <f t="shared" si="13"/>
        <v>78451.865210653981</v>
      </c>
      <c r="W145" s="2">
        <f t="shared" si="14"/>
        <v>78451.865210653981</v>
      </c>
    </row>
    <row r="146" spans="1:23">
      <c r="A146">
        <v>1139</v>
      </c>
      <c r="B146">
        <v>4</v>
      </c>
      <c r="C146">
        <v>3</v>
      </c>
      <c r="D146">
        <v>-0.42399999999999999</v>
      </c>
      <c r="E146" s="2">
        <f t="shared" si="10"/>
        <v>-0.5</v>
      </c>
      <c r="F146" s="2">
        <f t="shared" si="11"/>
        <v>494</v>
      </c>
      <c r="G146">
        <v>-1.3320000000000001</v>
      </c>
      <c r="H146">
        <v>0.35599999999999998</v>
      </c>
      <c r="I146">
        <v>0.28399999999999997</v>
      </c>
      <c r="J146">
        <v>0.24299999999999999</v>
      </c>
      <c r="K146">
        <v>0.14299999999999999</v>
      </c>
      <c r="L146">
        <v>-99.998999999999995</v>
      </c>
      <c r="M146">
        <v>-99.998999999999995</v>
      </c>
      <c r="Q146" s="2">
        <f t="shared" si="12"/>
        <v>-1.747983376408222</v>
      </c>
      <c r="T146" s="2">
        <f t="shared" si="13"/>
        <v>139964.25916778322</v>
      </c>
      <c r="W146" s="2">
        <f t="shared" si="14"/>
        <v>139964.25916778322</v>
      </c>
    </row>
    <row r="147" spans="1:23">
      <c r="A147">
        <v>1140</v>
      </c>
      <c r="B147">
        <v>4</v>
      </c>
      <c r="C147">
        <v>3</v>
      </c>
      <c r="D147">
        <v>-1.5249999999999999</v>
      </c>
      <c r="E147" s="2">
        <f t="shared" si="10"/>
        <v>-1.5</v>
      </c>
      <c r="F147" s="2">
        <f t="shared" si="11"/>
        <v>325</v>
      </c>
      <c r="G147">
        <v>-1.323</v>
      </c>
      <c r="H147">
        <v>0.35599999999999998</v>
      </c>
      <c r="I147">
        <v>0.28399999999999997</v>
      </c>
      <c r="J147">
        <v>0.24299999999999999</v>
      </c>
      <c r="K147">
        <v>0.14299999999999999</v>
      </c>
      <c r="L147">
        <v>-99.998999999999995</v>
      </c>
      <c r="M147">
        <v>-99.998999999999995</v>
      </c>
      <c r="Q147" s="2">
        <f t="shared" si="12"/>
        <v>-2.0442615028201141</v>
      </c>
      <c r="T147" s="2">
        <f t="shared" si="13"/>
        <v>114964.20536682373</v>
      </c>
      <c r="W147" s="2">
        <f t="shared" si="14"/>
        <v>114964.20536682373</v>
      </c>
    </row>
    <row r="148" spans="1:23">
      <c r="A148">
        <v>1141</v>
      </c>
      <c r="B148">
        <v>4</v>
      </c>
      <c r="C148">
        <v>3</v>
      </c>
      <c r="D148">
        <v>-0.77500000000000002</v>
      </c>
      <c r="E148" s="2">
        <f t="shared" si="10"/>
        <v>-1</v>
      </c>
      <c r="F148" s="2">
        <f t="shared" si="11"/>
        <v>427</v>
      </c>
      <c r="G148">
        <v>-1.3320000000000001</v>
      </c>
      <c r="H148">
        <v>0.35599999999999998</v>
      </c>
      <c r="I148">
        <v>0.28399999999999997</v>
      </c>
      <c r="J148">
        <v>0.24299999999999999</v>
      </c>
      <c r="K148">
        <v>0.14299999999999999</v>
      </c>
      <c r="L148">
        <v>-99.998999999999995</v>
      </c>
      <c r="M148">
        <v>-99.998999999999995</v>
      </c>
      <c r="Q148" s="2">
        <f t="shared" si="12"/>
        <v>-1.842437166027272</v>
      </c>
      <c r="T148" s="2">
        <f t="shared" si="13"/>
        <v>131994.2147680223</v>
      </c>
      <c r="W148" s="2">
        <f t="shared" si="14"/>
        <v>131994.2147680223</v>
      </c>
    </row>
    <row r="149" spans="1:23">
      <c r="A149">
        <v>1142</v>
      </c>
      <c r="B149">
        <v>4</v>
      </c>
      <c r="C149">
        <v>3</v>
      </c>
      <c r="D149">
        <v>-1.976</v>
      </c>
      <c r="E149" s="2">
        <f t="shared" si="10"/>
        <v>-2</v>
      </c>
      <c r="F149" s="2">
        <f t="shared" si="11"/>
        <v>249</v>
      </c>
      <c r="G149">
        <v>-1.357</v>
      </c>
      <c r="H149">
        <v>0.35599999999999998</v>
      </c>
      <c r="I149">
        <v>0.28399999999999997</v>
      </c>
      <c r="J149">
        <v>0.24299999999999999</v>
      </c>
      <c r="K149">
        <v>0.14299999999999999</v>
      </c>
      <c r="L149">
        <v>-99.998999999999995</v>
      </c>
      <c r="M149">
        <v>-99.998999999999995</v>
      </c>
      <c r="Q149" s="2">
        <f t="shared" si="12"/>
        <v>-2.1656252040115431</v>
      </c>
      <c r="T149" s="2">
        <f t="shared" si="13"/>
        <v>104723.49304690299</v>
      </c>
      <c r="W149" s="2">
        <f t="shared" si="14"/>
        <v>104723.49304690299</v>
      </c>
    </row>
    <row r="150" spans="1:23">
      <c r="A150">
        <v>1143</v>
      </c>
      <c r="B150">
        <v>4</v>
      </c>
      <c r="C150">
        <v>3</v>
      </c>
      <c r="D150">
        <v>-1.891</v>
      </c>
      <c r="E150" s="2">
        <f t="shared" si="10"/>
        <v>-2</v>
      </c>
      <c r="F150" s="2">
        <f t="shared" si="11"/>
        <v>258</v>
      </c>
      <c r="G150">
        <v>-1.3919999999999999</v>
      </c>
      <c r="H150">
        <v>0.35599999999999998</v>
      </c>
      <c r="I150">
        <v>0.28399999999999997</v>
      </c>
      <c r="J150">
        <v>0.24299999999999999</v>
      </c>
      <c r="K150">
        <v>0.14299999999999999</v>
      </c>
      <c r="L150">
        <v>-99.998999999999995</v>
      </c>
      <c r="M150">
        <v>-99.998999999999995</v>
      </c>
      <c r="Q150" s="2">
        <f t="shared" si="12"/>
        <v>-2.142751779175021</v>
      </c>
      <c r="T150" s="2">
        <f t="shared" si="13"/>
        <v>106653.56077903882</v>
      </c>
      <c r="W150" s="2">
        <f t="shared" si="14"/>
        <v>106653.56077903882</v>
      </c>
    </row>
    <row r="151" spans="1:23">
      <c r="A151">
        <v>1144</v>
      </c>
      <c r="B151">
        <v>4</v>
      </c>
      <c r="C151">
        <v>3</v>
      </c>
      <c r="D151">
        <v>-1.788</v>
      </c>
      <c r="E151" s="2">
        <f t="shared" si="10"/>
        <v>-2</v>
      </c>
      <c r="F151" s="2">
        <f t="shared" si="11"/>
        <v>273</v>
      </c>
      <c r="G151">
        <v>-1.4350000000000001</v>
      </c>
      <c r="H151">
        <v>0.35599999999999998</v>
      </c>
      <c r="I151">
        <v>0.28399999999999997</v>
      </c>
      <c r="J151">
        <v>0.24299999999999999</v>
      </c>
      <c r="K151">
        <v>0.14299999999999999</v>
      </c>
      <c r="L151">
        <v>-99.998999999999995</v>
      </c>
      <c r="M151">
        <v>-99.998999999999995</v>
      </c>
      <c r="Q151" s="2">
        <f t="shared" si="12"/>
        <v>-2.1150345702554709</v>
      </c>
      <c r="T151" s="2">
        <f t="shared" si="13"/>
        <v>108992.34873680343</v>
      </c>
      <c r="W151" s="2">
        <f t="shared" si="14"/>
        <v>108992.34873680343</v>
      </c>
    </row>
    <row r="152" spans="1:23">
      <c r="A152">
        <v>1145</v>
      </c>
      <c r="B152">
        <v>4</v>
      </c>
      <c r="C152">
        <v>3</v>
      </c>
      <c r="D152">
        <v>-0.121</v>
      </c>
      <c r="E152" s="2">
        <f t="shared" si="10"/>
        <v>0</v>
      </c>
      <c r="F152" s="2">
        <f t="shared" si="11"/>
        <v>551</v>
      </c>
      <c r="G152">
        <v>-1.492</v>
      </c>
      <c r="H152">
        <v>0.35599999999999998</v>
      </c>
      <c r="I152">
        <v>0.28399999999999997</v>
      </c>
      <c r="J152">
        <v>0.24299999999999999</v>
      </c>
      <c r="K152">
        <v>0.14299999999999999</v>
      </c>
      <c r="L152">
        <v>-99.998999999999995</v>
      </c>
      <c r="M152">
        <v>-99.998999999999995</v>
      </c>
      <c r="Q152" s="2">
        <f t="shared" si="12"/>
        <v>-1.6664463443439139</v>
      </c>
      <c r="T152" s="2">
        <f t="shared" si="13"/>
        <v>146844.38296586744</v>
      </c>
      <c r="W152" s="2">
        <f t="shared" si="14"/>
        <v>146844.38296586744</v>
      </c>
    </row>
    <row r="153" spans="1:23">
      <c r="A153">
        <v>1146</v>
      </c>
      <c r="B153">
        <v>4</v>
      </c>
      <c r="C153">
        <v>3</v>
      </c>
      <c r="D153">
        <v>-1.677</v>
      </c>
      <c r="E153" s="2">
        <f t="shared" si="10"/>
        <v>-1.5</v>
      </c>
      <c r="F153" s="2">
        <f t="shared" si="11"/>
        <v>294</v>
      </c>
      <c r="G153">
        <v>-1.5660000000000001</v>
      </c>
      <c r="H153">
        <v>0.35599999999999998</v>
      </c>
      <c r="I153">
        <v>0.28399999999999997</v>
      </c>
      <c r="J153">
        <v>0.24299999999999999</v>
      </c>
      <c r="K153">
        <v>0.14299999999999999</v>
      </c>
      <c r="L153">
        <v>-99.998999999999995</v>
      </c>
      <c r="M153">
        <v>-99.998999999999995</v>
      </c>
      <c r="Q153" s="2">
        <f t="shared" si="12"/>
        <v>-2.0851645684101303</v>
      </c>
      <c r="T153" s="2">
        <f t="shared" si="13"/>
        <v>111512.79012818082</v>
      </c>
      <c r="W153" s="2">
        <f t="shared" si="14"/>
        <v>111512.79012818082</v>
      </c>
    </row>
    <row r="154" spans="1:23">
      <c r="A154">
        <v>1147</v>
      </c>
      <c r="B154">
        <v>4</v>
      </c>
      <c r="C154">
        <v>3</v>
      </c>
      <c r="D154">
        <v>0.113</v>
      </c>
      <c r="E154" s="2">
        <f t="shared" si="10"/>
        <v>0</v>
      </c>
      <c r="F154" s="2">
        <f t="shared" si="11"/>
        <v>583</v>
      </c>
      <c r="G154">
        <v>-1.653</v>
      </c>
      <c r="H154">
        <v>0.35599999999999998</v>
      </c>
      <c r="I154">
        <v>0.28399999999999997</v>
      </c>
      <c r="J154">
        <v>0.24299999999999999</v>
      </c>
      <c r="K154">
        <v>0.14299999999999999</v>
      </c>
      <c r="L154">
        <v>-99.998999999999995</v>
      </c>
      <c r="M154">
        <v>-99.998999999999995</v>
      </c>
      <c r="Q154" s="2">
        <f t="shared" si="12"/>
        <v>-1.6034771512645472</v>
      </c>
      <c r="T154" s="2">
        <f t="shared" si="13"/>
        <v>152157.74589904142</v>
      </c>
      <c r="W154" s="2">
        <f t="shared" si="14"/>
        <v>152157.74589904142</v>
      </c>
    </row>
    <row r="155" spans="1:23">
      <c r="A155">
        <v>1148</v>
      </c>
      <c r="B155">
        <v>4</v>
      </c>
      <c r="C155">
        <v>3</v>
      </c>
      <c r="D155">
        <v>-3.1890000000000001</v>
      </c>
      <c r="E155" s="2">
        <f t="shared" si="10"/>
        <v>-3</v>
      </c>
      <c r="F155" s="2">
        <f t="shared" si="11"/>
        <v>94</v>
      </c>
      <c r="G155">
        <v>-1.746</v>
      </c>
      <c r="H155">
        <v>0.35599999999999998</v>
      </c>
      <c r="I155">
        <v>0.28399999999999997</v>
      </c>
      <c r="J155">
        <v>0.24299999999999999</v>
      </c>
      <c r="K155">
        <v>0.14299999999999999</v>
      </c>
      <c r="L155">
        <v>-99.998999999999995</v>
      </c>
      <c r="M155">
        <v>-99.998999999999995</v>
      </c>
      <c r="Q155" s="2">
        <f t="shared" si="12"/>
        <v>-2.4920424313844993</v>
      </c>
      <c r="T155" s="2">
        <f t="shared" si="13"/>
        <v>77180.291175364517</v>
      </c>
      <c r="W155" s="2">
        <f t="shared" si="14"/>
        <v>77180.291175364517</v>
      </c>
    </row>
    <row r="156" spans="1:23">
      <c r="A156">
        <v>1149</v>
      </c>
      <c r="B156">
        <v>4</v>
      </c>
      <c r="C156">
        <v>3</v>
      </c>
      <c r="D156">
        <v>-4.319</v>
      </c>
      <c r="E156" s="2">
        <f t="shared" si="10"/>
        <v>-4.5</v>
      </c>
      <c r="F156" s="2">
        <f t="shared" si="11"/>
        <v>18</v>
      </c>
      <c r="G156">
        <v>-1.8280000000000001</v>
      </c>
      <c r="H156">
        <v>0.35599999999999998</v>
      </c>
      <c r="I156">
        <v>0.28399999999999997</v>
      </c>
      <c r="J156">
        <v>0.24299999999999999</v>
      </c>
      <c r="K156">
        <v>0.14299999999999999</v>
      </c>
      <c r="L156">
        <v>-99.998999999999995</v>
      </c>
      <c r="M156">
        <v>-99.998999999999995</v>
      </c>
      <c r="Q156" s="2">
        <f t="shared" si="12"/>
        <v>-2.7961244321523813</v>
      </c>
      <c r="T156" s="2">
        <f t="shared" si="13"/>
        <v>51521.743677558698</v>
      </c>
      <c r="W156" s="2">
        <f t="shared" si="14"/>
        <v>51521.743677558698</v>
      </c>
    </row>
    <row r="157" spans="1:23">
      <c r="A157">
        <v>1150</v>
      </c>
      <c r="B157">
        <v>4</v>
      </c>
      <c r="C157">
        <v>3</v>
      </c>
      <c r="D157">
        <v>-0.40500000000000003</v>
      </c>
      <c r="E157" s="2">
        <f t="shared" si="10"/>
        <v>-0.5</v>
      </c>
      <c r="F157" s="2">
        <f t="shared" si="11"/>
        <v>499</v>
      </c>
      <c r="G157">
        <v>-1.8919999999999999</v>
      </c>
      <c r="H157">
        <v>0.35599999999999998</v>
      </c>
      <c r="I157">
        <v>0.28399999999999997</v>
      </c>
      <c r="J157">
        <v>0.24299999999999999</v>
      </c>
      <c r="K157">
        <v>0.14299999999999999</v>
      </c>
      <c r="L157">
        <v>-99.998999999999995</v>
      </c>
      <c r="M157">
        <v>-99.998999999999995</v>
      </c>
      <c r="Q157" s="2">
        <f t="shared" si="12"/>
        <v>-1.7428704932094701</v>
      </c>
      <c r="T157" s="2">
        <f t="shared" si="13"/>
        <v>140395.68607261358</v>
      </c>
      <c r="W157" s="2">
        <f t="shared" si="14"/>
        <v>140395.68607261358</v>
      </c>
    </row>
    <row r="158" spans="1:23">
      <c r="A158">
        <v>1151</v>
      </c>
      <c r="B158">
        <v>4</v>
      </c>
      <c r="C158">
        <v>3</v>
      </c>
      <c r="D158">
        <v>-1.1719999999999999</v>
      </c>
      <c r="E158" s="2">
        <f t="shared" si="10"/>
        <v>-1</v>
      </c>
      <c r="F158" s="2">
        <f t="shared" si="11"/>
        <v>372</v>
      </c>
      <c r="G158">
        <v>-1.9470000000000001</v>
      </c>
      <c r="H158">
        <v>0.35599999999999998</v>
      </c>
      <c r="I158">
        <v>0.28399999999999997</v>
      </c>
      <c r="J158">
        <v>0.24299999999999999</v>
      </c>
      <c r="K158">
        <v>0.14299999999999999</v>
      </c>
      <c r="L158">
        <v>-99.998999999999995</v>
      </c>
      <c r="M158">
        <v>-99.998999999999995</v>
      </c>
      <c r="Q158" s="2">
        <f t="shared" si="12"/>
        <v>-1.9492695149696164</v>
      </c>
      <c r="T158" s="2">
        <f t="shared" si="13"/>
        <v>122979.66312498786</v>
      </c>
      <c r="W158" s="2">
        <f t="shared" si="14"/>
        <v>122979.66312498786</v>
      </c>
    </row>
    <row r="159" spans="1:23">
      <c r="A159">
        <v>1152</v>
      </c>
      <c r="B159">
        <v>4</v>
      </c>
      <c r="C159">
        <v>3</v>
      </c>
      <c r="D159">
        <v>-2.8290000000000002</v>
      </c>
      <c r="E159" s="2">
        <f t="shared" si="10"/>
        <v>-3</v>
      </c>
      <c r="F159" s="2">
        <f t="shared" si="11"/>
        <v>132</v>
      </c>
      <c r="G159">
        <v>-1.998</v>
      </c>
      <c r="H159">
        <v>0.35599999999999998</v>
      </c>
      <c r="I159">
        <v>0.28399999999999997</v>
      </c>
      <c r="J159">
        <v>0.24299999999999999</v>
      </c>
      <c r="K159">
        <v>0.14299999999999999</v>
      </c>
      <c r="L159">
        <v>-99.998999999999995</v>
      </c>
      <c r="M159">
        <v>-99.998999999999995</v>
      </c>
      <c r="Q159" s="2">
        <f t="shared" si="12"/>
        <v>-2.3951667497239355</v>
      </c>
      <c r="T159" s="2">
        <f t="shared" si="13"/>
        <v>85354.69568793982</v>
      </c>
      <c r="W159" s="2">
        <f t="shared" si="14"/>
        <v>85354.69568793982</v>
      </c>
    </row>
    <row r="160" spans="1:23">
      <c r="A160">
        <v>1153</v>
      </c>
      <c r="B160">
        <v>4</v>
      </c>
      <c r="C160">
        <v>3</v>
      </c>
      <c r="D160">
        <v>-0.89500000000000002</v>
      </c>
      <c r="E160" s="2">
        <f t="shared" si="10"/>
        <v>-1</v>
      </c>
      <c r="F160" s="2">
        <f t="shared" si="11"/>
        <v>408</v>
      </c>
      <c r="G160">
        <v>-2.0390000000000001</v>
      </c>
      <c r="H160">
        <v>0.35599999999999998</v>
      </c>
      <c r="I160">
        <v>0.28399999999999997</v>
      </c>
      <c r="J160">
        <v>0.24299999999999999</v>
      </c>
      <c r="K160">
        <v>0.14299999999999999</v>
      </c>
      <c r="L160">
        <v>-99.998999999999995</v>
      </c>
      <c r="M160">
        <v>-99.998999999999995</v>
      </c>
      <c r="Q160" s="2">
        <f t="shared" si="12"/>
        <v>-1.8747290599141269</v>
      </c>
      <c r="T160" s="2">
        <f t="shared" si="13"/>
        <v>129269.41326383053</v>
      </c>
      <c r="W160" s="2">
        <f t="shared" si="14"/>
        <v>129269.41326383053</v>
      </c>
    </row>
    <row r="161" spans="1:23">
      <c r="A161">
        <v>1154</v>
      </c>
      <c r="B161">
        <v>4</v>
      </c>
      <c r="C161">
        <v>3</v>
      </c>
      <c r="D161">
        <v>-2.39</v>
      </c>
      <c r="E161" s="2">
        <f t="shared" si="10"/>
        <v>-2.5</v>
      </c>
      <c r="F161" s="2">
        <f t="shared" si="11"/>
        <v>189</v>
      </c>
      <c r="G161">
        <v>-2.0720000000000001</v>
      </c>
      <c r="H161">
        <v>0.35599999999999998</v>
      </c>
      <c r="I161">
        <v>0.28399999999999997</v>
      </c>
      <c r="J161">
        <v>0.24299999999999999</v>
      </c>
      <c r="K161">
        <v>0.14299999999999999</v>
      </c>
      <c r="L161">
        <v>-99.998999999999995</v>
      </c>
      <c r="M161">
        <v>-99.998999999999995</v>
      </c>
      <c r="Q161" s="2">
        <f t="shared" si="12"/>
        <v>-2.2770322379211918</v>
      </c>
      <c r="T161" s="2">
        <f t="shared" si="13"/>
        <v>95322.927857441391</v>
      </c>
      <c r="W161" s="2">
        <f t="shared" si="14"/>
        <v>95322.927857441391</v>
      </c>
    </row>
    <row r="162" spans="1:23">
      <c r="A162">
        <v>1155</v>
      </c>
      <c r="B162">
        <v>4</v>
      </c>
      <c r="C162">
        <v>3</v>
      </c>
      <c r="D162">
        <v>-2.0870000000000002</v>
      </c>
      <c r="E162" s="2">
        <f t="shared" si="10"/>
        <v>-2</v>
      </c>
      <c r="F162" s="2">
        <f t="shared" si="11"/>
        <v>232</v>
      </c>
      <c r="G162">
        <v>-2.0870000000000002</v>
      </c>
      <c r="H162">
        <v>0.35599999999999998</v>
      </c>
      <c r="I162">
        <v>0.28399999999999997</v>
      </c>
      <c r="J162">
        <v>0.24299999999999999</v>
      </c>
      <c r="K162">
        <v>0.14299999999999999</v>
      </c>
      <c r="L162">
        <v>-99.998999999999995</v>
      </c>
      <c r="M162">
        <v>-99.998999999999995</v>
      </c>
      <c r="Q162" s="2">
        <f t="shared" si="12"/>
        <v>-2.1954952058568837</v>
      </c>
      <c r="T162" s="2">
        <f t="shared" si="13"/>
        <v>102203.0516555256</v>
      </c>
      <c r="W162" s="2">
        <f t="shared" si="14"/>
        <v>102203.0516555256</v>
      </c>
    </row>
    <row r="163" spans="1:23">
      <c r="A163">
        <v>1156</v>
      </c>
      <c r="B163">
        <v>4</v>
      </c>
      <c r="C163">
        <v>3</v>
      </c>
      <c r="D163">
        <v>-1.5449999999999999</v>
      </c>
      <c r="E163" s="2">
        <f t="shared" si="10"/>
        <v>-1.5</v>
      </c>
      <c r="F163" s="2">
        <f t="shared" si="11"/>
        <v>318</v>
      </c>
      <c r="G163">
        <v>-2.081</v>
      </c>
      <c r="H163">
        <v>0.35599999999999998</v>
      </c>
      <c r="I163">
        <v>0.28399999999999997</v>
      </c>
      <c r="J163">
        <v>0.24299999999999999</v>
      </c>
      <c r="K163">
        <v>0.14299999999999999</v>
      </c>
      <c r="L163">
        <v>-99.998999999999995</v>
      </c>
      <c r="M163">
        <v>-99.998999999999995</v>
      </c>
      <c r="Q163" s="2">
        <f t="shared" si="12"/>
        <v>-2.0496434851345899</v>
      </c>
      <c r="T163" s="2">
        <f t="shared" si="13"/>
        <v>114510.07178279175</v>
      </c>
      <c r="W163" s="2">
        <f t="shared" si="14"/>
        <v>114510.07178279175</v>
      </c>
    </row>
    <row r="164" spans="1:23">
      <c r="A164">
        <v>1157</v>
      </c>
      <c r="B164">
        <v>4</v>
      </c>
      <c r="C164">
        <v>3</v>
      </c>
      <c r="D164">
        <v>-2.0089999999999999</v>
      </c>
      <c r="E164" s="2">
        <f t="shared" si="10"/>
        <v>-2</v>
      </c>
      <c r="F164" s="2">
        <f t="shared" si="11"/>
        <v>242</v>
      </c>
      <c r="G164">
        <v>-2.0449999999999999</v>
      </c>
      <c r="H164">
        <v>0.35599999999999998</v>
      </c>
      <c r="I164">
        <v>0.28399999999999997</v>
      </c>
      <c r="J164">
        <v>0.24299999999999999</v>
      </c>
      <c r="K164">
        <v>0.14299999999999999</v>
      </c>
      <c r="L164">
        <v>-99.998999999999995</v>
      </c>
      <c r="M164">
        <v>-99.998999999999995</v>
      </c>
      <c r="Q164" s="2">
        <f t="shared" si="12"/>
        <v>-2.1745054748304282</v>
      </c>
      <c r="T164" s="2">
        <f t="shared" si="13"/>
        <v>103974.17263325024</v>
      </c>
      <c r="W164" s="2">
        <f t="shared" si="14"/>
        <v>103974.17263325024</v>
      </c>
    </row>
    <row r="165" spans="1:23">
      <c r="A165">
        <v>1158</v>
      </c>
      <c r="B165">
        <v>4</v>
      </c>
      <c r="C165">
        <v>3</v>
      </c>
      <c r="D165">
        <v>-3.68</v>
      </c>
      <c r="E165" s="2">
        <f t="shared" si="10"/>
        <v>-3.5</v>
      </c>
      <c r="F165" s="2">
        <f t="shared" si="11"/>
        <v>58</v>
      </c>
      <c r="G165">
        <v>-1.9690000000000001</v>
      </c>
      <c r="H165">
        <v>0.35599999999999998</v>
      </c>
      <c r="I165">
        <v>0.28399999999999997</v>
      </c>
      <c r="J165">
        <v>0.24299999999999999</v>
      </c>
      <c r="K165">
        <v>0.14299999999999999</v>
      </c>
      <c r="L165">
        <v>-99.998999999999995</v>
      </c>
      <c r="M165">
        <v>-99.998999999999995</v>
      </c>
      <c r="Q165" s="2">
        <f t="shared" si="12"/>
        <v>-2.62417009720488</v>
      </c>
      <c r="T165" s="2">
        <f t="shared" si="13"/>
        <v>66031.311687379843</v>
      </c>
      <c r="W165" s="2">
        <f t="shared" si="14"/>
        <v>66031.311687379843</v>
      </c>
    </row>
    <row r="166" spans="1:23">
      <c r="A166">
        <v>1159</v>
      </c>
      <c r="B166">
        <v>4</v>
      </c>
      <c r="C166">
        <v>3</v>
      </c>
      <c r="D166">
        <v>-1.44</v>
      </c>
      <c r="E166" s="2">
        <f t="shared" si="10"/>
        <v>-1.5</v>
      </c>
      <c r="F166" s="2">
        <f t="shared" si="11"/>
        <v>338</v>
      </c>
      <c r="G166">
        <v>-1.845</v>
      </c>
      <c r="H166">
        <v>0.35599999999999998</v>
      </c>
      <c r="I166">
        <v>0.28399999999999997</v>
      </c>
      <c r="J166">
        <v>0.24299999999999999</v>
      </c>
      <c r="K166">
        <v>0.14299999999999999</v>
      </c>
      <c r="L166">
        <v>-99.998999999999995</v>
      </c>
      <c r="M166">
        <v>-99.998999999999995</v>
      </c>
      <c r="Q166" s="2">
        <f t="shared" si="12"/>
        <v>-2.021388077983592</v>
      </c>
      <c r="T166" s="2">
        <f t="shared" si="13"/>
        <v>116894.27309895956</v>
      </c>
      <c r="W166" s="2">
        <f t="shared" si="14"/>
        <v>116894.27309895956</v>
      </c>
    </row>
    <row r="167" spans="1:23">
      <c r="A167">
        <v>1160</v>
      </c>
      <c r="B167">
        <v>4</v>
      </c>
      <c r="C167">
        <v>3</v>
      </c>
      <c r="D167">
        <v>-1.0629999999999999</v>
      </c>
      <c r="E167" s="2">
        <f t="shared" si="10"/>
        <v>-1</v>
      </c>
      <c r="F167" s="2">
        <f t="shared" si="11"/>
        <v>385</v>
      </c>
      <c r="G167">
        <v>-1.675</v>
      </c>
      <c r="H167">
        <v>0.35599999999999998</v>
      </c>
      <c r="I167">
        <v>0.28399999999999997</v>
      </c>
      <c r="J167">
        <v>0.24299999999999999</v>
      </c>
      <c r="K167">
        <v>0.14299999999999999</v>
      </c>
      <c r="L167">
        <v>-99.998999999999995</v>
      </c>
      <c r="M167">
        <v>-99.998999999999995</v>
      </c>
      <c r="Q167" s="2">
        <f t="shared" si="12"/>
        <v>-1.9199377113557234</v>
      </c>
      <c r="T167" s="2">
        <f t="shared" si="13"/>
        <v>125454.69115796205</v>
      </c>
      <c r="W167" s="2">
        <f t="shared" si="14"/>
        <v>125454.69115796205</v>
      </c>
    </row>
    <row r="168" spans="1:23">
      <c r="A168">
        <v>1161</v>
      </c>
      <c r="B168">
        <v>4</v>
      </c>
      <c r="C168">
        <v>3</v>
      </c>
      <c r="D168">
        <v>-0.79400000000000004</v>
      </c>
      <c r="E168" s="2">
        <f t="shared" si="10"/>
        <v>-1</v>
      </c>
      <c r="F168" s="2">
        <f t="shared" si="11"/>
        <v>422</v>
      </c>
      <c r="G168">
        <v>-1.46</v>
      </c>
      <c r="H168">
        <v>0.35599999999999998</v>
      </c>
      <c r="I168">
        <v>0.28399999999999997</v>
      </c>
      <c r="J168">
        <v>0.24299999999999999</v>
      </c>
      <c r="K168">
        <v>0.14299999999999999</v>
      </c>
      <c r="L168">
        <v>-99.998999999999995</v>
      </c>
      <c r="M168">
        <v>-99.998999999999995</v>
      </c>
      <c r="Q168" s="2">
        <f t="shared" si="12"/>
        <v>-1.8475500492260242</v>
      </c>
      <c r="T168" s="2">
        <f t="shared" si="13"/>
        <v>131562.78786319192</v>
      </c>
      <c r="W168" s="2">
        <f t="shared" si="14"/>
        <v>131562.78786319192</v>
      </c>
    </row>
    <row r="169" spans="1:23">
      <c r="A169">
        <v>1162</v>
      </c>
      <c r="B169">
        <v>4</v>
      </c>
      <c r="C169">
        <v>3</v>
      </c>
      <c r="D169">
        <v>-1.861</v>
      </c>
      <c r="E169" s="2">
        <f t="shared" si="10"/>
        <v>-2</v>
      </c>
      <c r="F169" s="2">
        <f t="shared" si="11"/>
        <v>261</v>
      </c>
      <c r="G169">
        <v>-1.194</v>
      </c>
      <c r="H169">
        <v>0.35599999999999998</v>
      </c>
      <c r="I169">
        <v>0.28399999999999997</v>
      </c>
      <c r="J169">
        <v>0.24299999999999999</v>
      </c>
      <c r="K169">
        <v>0.14299999999999999</v>
      </c>
      <c r="L169">
        <v>-99.998999999999995</v>
      </c>
      <c r="M169">
        <v>-99.998999999999995</v>
      </c>
      <c r="Q169" s="2">
        <f t="shared" si="12"/>
        <v>-2.1346788057033073</v>
      </c>
      <c r="T169" s="2">
        <f t="shared" si="13"/>
        <v>107334.76115508677</v>
      </c>
      <c r="W169" s="2">
        <f t="shared" si="14"/>
        <v>107334.76115508677</v>
      </c>
    </row>
    <row r="170" spans="1:23">
      <c r="A170">
        <v>1163</v>
      </c>
      <c r="B170">
        <v>4</v>
      </c>
      <c r="C170">
        <v>3</v>
      </c>
      <c r="D170">
        <v>-2.5179999999999998</v>
      </c>
      <c r="E170" s="2">
        <f t="shared" si="10"/>
        <v>-2.5</v>
      </c>
      <c r="F170" s="2">
        <f t="shared" si="11"/>
        <v>176</v>
      </c>
      <c r="G170">
        <v>-0.87</v>
      </c>
      <c r="H170">
        <v>0.35599999999999998</v>
      </c>
      <c r="I170">
        <v>0.28399999999999997</v>
      </c>
      <c r="J170">
        <v>0.24299999999999999</v>
      </c>
      <c r="K170">
        <v>0.14299999999999999</v>
      </c>
      <c r="L170">
        <v>-99.998999999999995</v>
      </c>
      <c r="M170">
        <v>-99.998999999999995</v>
      </c>
      <c r="Q170" s="2">
        <f t="shared" si="12"/>
        <v>-2.3114769247338369</v>
      </c>
      <c r="T170" s="2">
        <f t="shared" si="13"/>
        <v>92416.472919636813</v>
      </c>
      <c r="W170" s="2">
        <f t="shared" si="14"/>
        <v>92416.472919636813</v>
      </c>
    </row>
    <row r="171" spans="1:23">
      <c r="A171">
        <v>1164</v>
      </c>
      <c r="B171">
        <v>4</v>
      </c>
      <c r="C171">
        <v>3</v>
      </c>
      <c r="D171">
        <v>-1.847</v>
      </c>
      <c r="E171" s="2">
        <f t="shared" si="10"/>
        <v>-2</v>
      </c>
      <c r="F171" s="2">
        <f t="shared" si="11"/>
        <v>264</v>
      </c>
      <c r="G171">
        <v>-0.48299999999999998</v>
      </c>
      <c r="H171">
        <v>0.35599999999999998</v>
      </c>
      <c r="I171">
        <v>0.28399999999999997</v>
      </c>
      <c r="J171">
        <v>0.24299999999999999</v>
      </c>
      <c r="K171">
        <v>0.14299999999999999</v>
      </c>
      <c r="L171">
        <v>-99.998999999999995</v>
      </c>
      <c r="M171">
        <v>-99.998999999999995</v>
      </c>
      <c r="Q171" s="2">
        <f t="shared" si="12"/>
        <v>-2.1309114180831741</v>
      </c>
      <c r="T171" s="2">
        <f t="shared" si="13"/>
        <v>107652.65466390917</v>
      </c>
      <c r="W171" s="2">
        <f t="shared" si="14"/>
        <v>107652.65466390917</v>
      </c>
    </row>
    <row r="172" spans="1:23">
      <c r="A172">
        <v>1165</v>
      </c>
      <c r="B172">
        <v>4</v>
      </c>
      <c r="C172">
        <v>3</v>
      </c>
      <c r="D172">
        <v>0.55700000000000005</v>
      </c>
      <c r="E172" s="2">
        <f t="shared" si="10"/>
        <v>0.5</v>
      </c>
      <c r="F172" s="2">
        <f t="shared" si="11"/>
        <v>662</v>
      </c>
      <c r="G172">
        <v>-4.4999999999999998E-2</v>
      </c>
      <c r="H172">
        <v>0.35599999999999998</v>
      </c>
      <c r="I172">
        <v>0.28399999999999997</v>
      </c>
      <c r="J172">
        <v>0.24299999999999999</v>
      </c>
      <c r="K172">
        <v>0.14299999999999999</v>
      </c>
      <c r="L172">
        <v>-99.998999999999995</v>
      </c>
      <c r="M172">
        <v>-99.998999999999995</v>
      </c>
      <c r="Q172" s="2">
        <f t="shared" si="12"/>
        <v>-1.4839971438831847</v>
      </c>
      <c r="T172" s="2">
        <f t="shared" si="13"/>
        <v>162239.51146455097</v>
      </c>
      <c r="W172" s="2">
        <f t="shared" si="14"/>
        <v>162239.51146455097</v>
      </c>
    </row>
    <row r="173" spans="1:23">
      <c r="A173">
        <v>1166</v>
      </c>
      <c r="B173">
        <v>4</v>
      </c>
      <c r="C173">
        <v>3</v>
      </c>
      <c r="D173">
        <v>0.27300000000000002</v>
      </c>
      <c r="E173" s="2">
        <f t="shared" si="10"/>
        <v>0.5</v>
      </c>
      <c r="F173" s="2">
        <f t="shared" si="11"/>
        <v>615</v>
      </c>
      <c r="G173">
        <v>0.42299999999999999</v>
      </c>
      <c r="H173">
        <v>0.35599999999999998</v>
      </c>
      <c r="I173">
        <v>0.28399999999999997</v>
      </c>
      <c r="J173">
        <v>0.24299999999999999</v>
      </c>
      <c r="K173">
        <v>0.14299999999999999</v>
      </c>
      <c r="L173">
        <v>-99.998999999999995</v>
      </c>
      <c r="M173">
        <v>-99.998999999999995</v>
      </c>
      <c r="Q173" s="2">
        <f t="shared" si="12"/>
        <v>-1.5604212927487409</v>
      </c>
      <c r="T173" s="2">
        <f t="shared" si="13"/>
        <v>155790.81457129709</v>
      </c>
      <c r="W173" s="2">
        <f t="shared" si="14"/>
        <v>155790.81457129709</v>
      </c>
    </row>
    <row r="174" spans="1:23">
      <c r="A174">
        <v>1167</v>
      </c>
      <c r="B174">
        <v>4</v>
      </c>
      <c r="C174">
        <v>3</v>
      </c>
      <c r="D174">
        <v>-0.755</v>
      </c>
      <c r="E174" s="2">
        <f t="shared" si="10"/>
        <v>-1</v>
      </c>
      <c r="F174" s="2">
        <f t="shared" si="11"/>
        <v>429</v>
      </c>
      <c r="G174">
        <v>0.9</v>
      </c>
      <c r="H174">
        <v>0.35599999999999998</v>
      </c>
      <c r="I174">
        <v>0.28399999999999997</v>
      </c>
      <c r="J174">
        <v>0.24299999999999999</v>
      </c>
      <c r="K174">
        <v>0.14299999999999999</v>
      </c>
      <c r="L174">
        <v>-99.998999999999995</v>
      </c>
      <c r="M174">
        <v>-99.998999999999995</v>
      </c>
      <c r="Q174" s="2">
        <f t="shared" si="12"/>
        <v>-1.8370551837127964</v>
      </c>
      <c r="T174" s="2">
        <f t="shared" si="13"/>
        <v>132448.34835205425</v>
      </c>
      <c r="W174" s="2">
        <f t="shared" si="14"/>
        <v>132448.34835205425</v>
      </c>
    </row>
    <row r="175" spans="1:23">
      <c r="A175">
        <v>1168</v>
      </c>
      <c r="B175">
        <v>4</v>
      </c>
      <c r="C175">
        <v>3</v>
      </c>
      <c r="D175">
        <v>3.13</v>
      </c>
      <c r="E175" s="2">
        <f t="shared" si="10"/>
        <v>3</v>
      </c>
      <c r="F175" s="2">
        <f t="shared" si="11"/>
        <v>943</v>
      </c>
      <c r="G175">
        <v>1.365</v>
      </c>
      <c r="H175">
        <v>0.35599999999999998</v>
      </c>
      <c r="I175">
        <v>0.28399999999999997</v>
      </c>
      <c r="J175">
        <v>0.24299999999999999</v>
      </c>
      <c r="K175">
        <v>0.14299999999999999</v>
      </c>
      <c r="L175">
        <v>-99.998999999999995</v>
      </c>
      <c r="M175">
        <v>-99.998999999999995</v>
      </c>
      <c r="Q175" s="2">
        <f t="shared" si="12"/>
        <v>-0.79160511912587495</v>
      </c>
      <c r="T175" s="2">
        <f t="shared" si="13"/>
        <v>220663.79705026283</v>
      </c>
      <c r="W175" s="2">
        <f t="shared" si="14"/>
        <v>220663.79705026283</v>
      </c>
    </row>
    <row r="176" spans="1:23">
      <c r="A176">
        <v>1169</v>
      </c>
      <c r="B176">
        <v>4</v>
      </c>
      <c r="C176">
        <v>3</v>
      </c>
      <c r="D176">
        <v>2.133</v>
      </c>
      <c r="E176" s="2">
        <f t="shared" si="10"/>
        <v>2</v>
      </c>
      <c r="F176" s="2">
        <f t="shared" si="11"/>
        <v>867</v>
      </c>
      <c r="G176">
        <v>1.7849999999999999</v>
      </c>
      <c r="H176">
        <v>0.35599999999999998</v>
      </c>
      <c r="I176">
        <v>0.28399999999999997</v>
      </c>
      <c r="J176">
        <v>0.24299999999999999</v>
      </c>
      <c r="K176">
        <v>0.14299999999999999</v>
      </c>
      <c r="L176">
        <v>-99.998999999999995</v>
      </c>
      <c r="M176">
        <v>-99.998999999999995</v>
      </c>
      <c r="Q176" s="2">
        <f t="shared" si="12"/>
        <v>-1.0598969375024927</v>
      </c>
      <c r="T176" s="2">
        <f t="shared" si="13"/>
        <v>198025.23788626955</v>
      </c>
      <c r="W176" s="2">
        <f t="shared" si="14"/>
        <v>198025.23788626955</v>
      </c>
    </row>
    <row r="177" spans="1:23">
      <c r="A177">
        <v>1170</v>
      </c>
      <c r="B177">
        <v>4</v>
      </c>
      <c r="C177">
        <v>3</v>
      </c>
      <c r="D177">
        <v>2.4009999999999998</v>
      </c>
      <c r="E177" s="2">
        <f t="shared" si="10"/>
        <v>2.5</v>
      </c>
      <c r="F177" s="2">
        <f t="shared" si="11"/>
        <v>896</v>
      </c>
      <c r="G177">
        <v>2.141</v>
      </c>
      <c r="H177">
        <v>0.35599999999999998</v>
      </c>
      <c r="I177">
        <v>0.28399999999999997</v>
      </c>
      <c r="J177">
        <v>0.24299999999999999</v>
      </c>
      <c r="K177">
        <v>0.14299999999999999</v>
      </c>
      <c r="L177">
        <v>-99.998999999999995</v>
      </c>
      <c r="M177">
        <v>-99.998999999999995</v>
      </c>
      <c r="Q177" s="2">
        <f t="shared" si="12"/>
        <v>-0.98777837448851735</v>
      </c>
      <c r="T177" s="2">
        <f t="shared" si="13"/>
        <v>204110.62791229782</v>
      </c>
      <c r="W177" s="2">
        <f t="shared" si="14"/>
        <v>204110.62791229782</v>
      </c>
    </row>
    <row r="178" spans="1:23">
      <c r="A178">
        <v>1171</v>
      </c>
      <c r="B178">
        <v>4</v>
      </c>
      <c r="C178">
        <v>3</v>
      </c>
      <c r="D178">
        <v>2.4119999999999999</v>
      </c>
      <c r="E178" s="2">
        <f t="shared" si="10"/>
        <v>2.5</v>
      </c>
      <c r="F178" s="2">
        <f t="shared" si="11"/>
        <v>898</v>
      </c>
      <c r="G178">
        <v>2.4140000000000001</v>
      </c>
      <c r="H178">
        <v>0.35599999999999998</v>
      </c>
      <c r="I178">
        <v>0.28399999999999997</v>
      </c>
      <c r="J178">
        <v>0.24299999999999999</v>
      </c>
      <c r="K178">
        <v>0.14299999999999999</v>
      </c>
      <c r="L178">
        <v>-99.998999999999995</v>
      </c>
      <c r="M178">
        <v>-99.998999999999995</v>
      </c>
      <c r="Q178" s="2">
        <f t="shared" si="12"/>
        <v>-0.98481828421555562</v>
      </c>
      <c r="T178" s="2">
        <f t="shared" si="13"/>
        <v>204360.40138351539</v>
      </c>
      <c r="W178" s="2">
        <f t="shared" si="14"/>
        <v>204360.40138351539</v>
      </c>
    </row>
    <row r="179" spans="1:23">
      <c r="A179">
        <v>1172</v>
      </c>
      <c r="B179">
        <v>4</v>
      </c>
      <c r="C179">
        <v>3</v>
      </c>
      <c r="D179">
        <v>2.4529999999999998</v>
      </c>
      <c r="E179" s="2">
        <f t="shared" si="10"/>
        <v>2.5</v>
      </c>
      <c r="F179" s="2">
        <f t="shared" si="11"/>
        <v>900</v>
      </c>
      <c r="G179">
        <v>2.593</v>
      </c>
      <c r="H179">
        <v>0.35599999999999998</v>
      </c>
      <c r="I179">
        <v>0.28399999999999997</v>
      </c>
      <c r="J179">
        <v>0.24299999999999999</v>
      </c>
      <c r="K179">
        <v>0.14299999999999999</v>
      </c>
      <c r="L179">
        <v>-99.998999999999995</v>
      </c>
      <c r="M179">
        <v>-99.998999999999995</v>
      </c>
      <c r="Q179" s="2">
        <f t="shared" si="12"/>
        <v>-0.97378522047088023</v>
      </c>
      <c r="T179" s="2">
        <f t="shared" si="13"/>
        <v>205291.37523078092</v>
      </c>
      <c r="W179" s="2">
        <f t="shared" si="14"/>
        <v>205291.37523078092</v>
      </c>
    </row>
    <row r="180" spans="1:23">
      <c r="A180">
        <v>1173</v>
      </c>
      <c r="B180">
        <v>4</v>
      </c>
      <c r="C180">
        <v>3</v>
      </c>
      <c r="D180">
        <v>3.5539999999999998</v>
      </c>
      <c r="E180" s="2">
        <f t="shared" si="10"/>
        <v>3.5</v>
      </c>
      <c r="F180" s="2">
        <f t="shared" si="11"/>
        <v>963</v>
      </c>
      <c r="G180">
        <v>2.6629999999999998</v>
      </c>
      <c r="H180">
        <v>0.35599999999999998</v>
      </c>
      <c r="I180">
        <v>0.28399999999999997</v>
      </c>
      <c r="J180">
        <v>0.24299999999999999</v>
      </c>
      <c r="K180">
        <v>0.14299999999999999</v>
      </c>
      <c r="L180">
        <v>-99.998999999999995</v>
      </c>
      <c r="M180">
        <v>-99.998999999999995</v>
      </c>
      <c r="Q180" s="2">
        <f t="shared" si="12"/>
        <v>-0.67750709405898824</v>
      </c>
      <c r="T180" s="2">
        <f t="shared" si="13"/>
        <v>230291.42903174041</v>
      </c>
      <c r="W180" s="2">
        <f t="shared" si="14"/>
        <v>230291.42903174041</v>
      </c>
    </row>
    <row r="181" spans="1:23">
      <c r="A181">
        <v>1174</v>
      </c>
      <c r="B181">
        <v>4</v>
      </c>
      <c r="C181">
        <v>3</v>
      </c>
      <c r="D181">
        <v>5.2169999999999996</v>
      </c>
      <c r="E181" s="2">
        <f t="shared" si="10"/>
        <v>5</v>
      </c>
      <c r="F181" s="2">
        <f t="shared" si="11"/>
        <v>1000</v>
      </c>
      <c r="G181">
        <v>2.6120000000000001</v>
      </c>
      <c r="H181">
        <v>0.35599999999999998</v>
      </c>
      <c r="I181">
        <v>0.28399999999999997</v>
      </c>
      <c r="J181">
        <v>0.24299999999999999</v>
      </c>
      <c r="K181">
        <v>0.14299999999999999</v>
      </c>
      <c r="L181">
        <v>-99.998999999999995</v>
      </c>
      <c r="M181">
        <v>-99.998999999999995</v>
      </c>
      <c r="Q181" s="2">
        <f t="shared" si="12"/>
        <v>-0.22999526461032671</v>
      </c>
      <c r="T181" s="2">
        <f t="shared" si="13"/>
        <v>268052.63654399803</v>
      </c>
      <c r="W181" s="2">
        <f t="shared" si="14"/>
        <v>268052.63654399803</v>
      </c>
    </row>
    <row r="182" spans="1:23">
      <c r="A182">
        <v>1175</v>
      </c>
      <c r="B182">
        <v>4</v>
      </c>
      <c r="C182">
        <v>3</v>
      </c>
      <c r="D182">
        <v>4.8460000000000001</v>
      </c>
      <c r="E182" s="2">
        <f t="shared" si="10"/>
        <v>5</v>
      </c>
      <c r="F182" s="2">
        <f t="shared" si="11"/>
        <v>996</v>
      </c>
      <c r="G182">
        <v>2.4359999999999999</v>
      </c>
      <c r="H182">
        <v>0.35599999999999998</v>
      </c>
      <c r="I182">
        <v>0.28399999999999997</v>
      </c>
      <c r="J182">
        <v>0.24299999999999999</v>
      </c>
      <c r="K182">
        <v>0.14299999999999999</v>
      </c>
      <c r="L182">
        <v>-99.998999999999995</v>
      </c>
      <c r="M182">
        <v>-99.998999999999995</v>
      </c>
      <c r="Q182" s="2">
        <f t="shared" si="12"/>
        <v>-0.32983103654385237</v>
      </c>
      <c r="T182" s="2">
        <f t="shared" si="13"/>
        <v>259628.45856020515</v>
      </c>
      <c r="W182" s="2">
        <f t="shared" si="14"/>
        <v>259628.45856020515</v>
      </c>
    </row>
    <row r="183" spans="1:23">
      <c r="A183">
        <v>1176</v>
      </c>
      <c r="B183">
        <v>4</v>
      </c>
      <c r="C183">
        <v>3</v>
      </c>
      <c r="D183">
        <v>1.022</v>
      </c>
      <c r="E183" s="2">
        <f t="shared" si="10"/>
        <v>1</v>
      </c>
      <c r="F183" s="2">
        <f t="shared" si="11"/>
        <v>733</v>
      </c>
      <c r="G183">
        <v>2.1539999999999999</v>
      </c>
      <c r="H183">
        <v>0.35599999999999998</v>
      </c>
      <c r="I183">
        <v>0.28399999999999997</v>
      </c>
      <c r="J183">
        <v>0.24299999999999999</v>
      </c>
      <c r="K183">
        <v>0.14299999999999999</v>
      </c>
      <c r="L183">
        <v>-99.998999999999995</v>
      </c>
      <c r="M183">
        <v>-99.998999999999995</v>
      </c>
      <c r="Q183" s="2">
        <f t="shared" si="12"/>
        <v>-1.3588660550716227</v>
      </c>
      <c r="T183" s="2">
        <f t="shared" si="13"/>
        <v>172798.11729329405</v>
      </c>
      <c r="W183" s="2">
        <f t="shared" si="14"/>
        <v>172798.11729329405</v>
      </c>
    </row>
    <row r="184" spans="1:23">
      <c r="A184">
        <v>1177</v>
      </c>
      <c r="B184">
        <v>4</v>
      </c>
      <c r="C184">
        <v>3</v>
      </c>
      <c r="D184">
        <v>0.72499999999999998</v>
      </c>
      <c r="E184" s="2">
        <f t="shared" si="10"/>
        <v>0.5</v>
      </c>
      <c r="F184" s="2">
        <f t="shared" si="11"/>
        <v>686</v>
      </c>
      <c r="G184">
        <v>1.8029999999999999</v>
      </c>
      <c r="H184">
        <v>0.35599999999999998</v>
      </c>
      <c r="I184">
        <v>0.28399999999999997</v>
      </c>
      <c r="J184">
        <v>0.24299999999999999</v>
      </c>
      <c r="K184">
        <v>0.14299999999999999</v>
      </c>
      <c r="L184">
        <v>-99.998999999999995</v>
      </c>
      <c r="M184">
        <v>-99.998999999999995</v>
      </c>
      <c r="Q184" s="2">
        <f t="shared" si="12"/>
        <v>-1.4387884924415881</v>
      </c>
      <c r="T184" s="2">
        <f t="shared" si="13"/>
        <v>166054.23357041943</v>
      </c>
      <c r="W184" s="2">
        <f t="shared" si="14"/>
        <v>166054.23357041943</v>
      </c>
    </row>
    <row r="185" spans="1:23">
      <c r="A185">
        <v>1178</v>
      </c>
      <c r="B185">
        <v>4</v>
      </c>
      <c r="C185">
        <v>3</v>
      </c>
      <c r="D185">
        <v>2.0990000000000002</v>
      </c>
      <c r="E185" s="2">
        <f t="shared" si="10"/>
        <v>2</v>
      </c>
      <c r="F185" s="2">
        <f t="shared" si="11"/>
        <v>861</v>
      </c>
      <c r="G185">
        <v>1.4159999999999999</v>
      </c>
      <c r="H185">
        <v>0.35599999999999998</v>
      </c>
      <c r="I185">
        <v>0.28399999999999997</v>
      </c>
      <c r="J185">
        <v>0.24299999999999999</v>
      </c>
      <c r="K185">
        <v>0.14299999999999999</v>
      </c>
      <c r="L185">
        <v>-99.998999999999995</v>
      </c>
      <c r="M185">
        <v>-99.998999999999995</v>
      </c>
      <c r="Q185" s="2">
        <f t="shared" si="12"/>
        <v>-1.0690463074371017</v>
      </c>
      <c r="T185" s="2">
        <f t="shared" si="13"/>
        <v>197253.2107934152</v>
      </c>
      <c r="W185" s="2">
        <f t="shared" si="14"/>
        <v>197253.2107934152</v>
      </c>
    </row>
    <row r="186" spans="1:23">
      <c r="A186">
        <v>1179</v>
      </c>
      <c r="B186">
        <v>4</v>
      </c>
      <c r="C186">
        <v>3</v>
      </c>
      <c r="D186">
        <v>0.36499999999999999</v>
      </c>
      <c r="E186" s="2">
        <f t="shared" si="10"/>
        <v>0.5</v>
      </c>
      <c r="F186" s="2">
        <f t="shared" si="11"/>
        <v>630</v>
      </c>
      <c r="G186">
        <v>1.016</v>
      </c>
      <c r="H186">
        <v>0.35599999999999998</v>
      </c>
      <c r="I186">
        <v>0.28399999999999997</v>
      </c>
      <c r="J186">
        <v>0.24299999999999999</v>
      </c>
      <c r="K186">
        <v>0.14299999999999999</v>
      </c>
      <c r="L186">
        <v>-99.998999999999995</v>
      </c>
      <c r="M186">
        <v>-99.998999999999995</v>
      </c>
      <c r="Q186" s="2">
        <f t="shared" si="12"/>
        <v>-1.5356641741021524</v>
      </c>
      <c r="T186" s="2">
        <f t="shared" si="13"/>
        <v>157879.82905784412</v>
      </c>
      <c r="W186" s="2">
        <f t="shared" si="14"/>
        <v>157879.82905784412</v>
      </c>
    </row>
    <row r="187" spans="1:23">
      <c r="A187">
        <v>1180</v>
      </c>
      <c r="B187">
        <v>4</v>
      </c>
      <c r="C187">
        <v>3</v>
      </c>
      <c r="D187">
        <v>0.13800000000000001</v>
      </c>
      <c r="E187" s="2">
        <f t="shared" si="10"/>
        <v>0</v>
      </c>
      <c r="F187" s="2">
        <f t="shared" si="11"/>
        <v>587</v>
      </c>
      <c r="G187">
        <v>0.63</v>
      </c>
      <c r="H187">
        <v>0.35599999999999998</v>
      </c>
      <c r="I187">
        <v>0.28399999999999997</v>
      </c>
      <c r="J187">
        <v>0.24299999999999999</v>
      </c>
      <c r="K187">
        <v>0.14299999999999999</v>
      </c>
      <c r="L187">
        <v>-99.998999999999995</v>
      </c>
      <c r="M187">
        <v>-99.998999999999995</v>
      </c>
      <c r="Q187" s="2">
        <f t="shared" si="12"/>
        <v>-1.5967496733714523</v>
      </c>
      <c r="T187" s="2">
        <f t="shared" si="13"/>
        <v>152725.41287908136</v>
      </c>
      <c r="W187" s="2">
        <f t="shared" si="14"/>
        <v>152725.41287908136</v>
      </c>
    </row>
    <row r="188" spans="1:23">
      <c r="A188">
        <v>1181</v>
      </c>
      <c r="B188">
        <v>4</v>
      </c>
      <c r="C188">
        <v>3</v>
      </c>
      <c r="D188">
        <v>-0.67600000000000005</v>
      </c>
      <c r="E188" s="2">
        <f t="shared" si="10"/>
        <v>-0.5</v>
      </c>
      <c r="F188" s="2">
        <f t="shared" si="11"/>
        <v>454</v>
      </c>
      <c r="G188">
        <v>0.27900000000000003</v>
      </c>
      <c r="H188">
        <v>0.35599999999999998</v>
      </c>
      <c r="I188">
        <v>0.28399999999999997</v>
      </c>
      <c r="J188">
        <v>0.24299999999999999</v>
      </c>
      <c r="K188">
        <v>0.14299999999999999</v>
      </c>
      <c r="L188">
        <v>-99.998999999999995</v>
      </c>
      <c r="M188">
        <v>-99.998999999999995</v>
      </c>
      <c r="Q188" s="2">
        <f t="shared" si="12"/>
        <v>-1.815796353570617</v>
      </c>
      <c r="T188" s="2">
        <f t="shared" si="13"/>
        <v>134242.17600898052</v>
      </c>
      <c r="W188" s="2">
        <f t="shared" si="14"/>
        <v>134242.17600898052</v>
      </c>
    </row>
    <row r="189" spans="1:23">
      <c r="A189">
        <v>1182</v>
      </c>
      <c r="B189">
        <v>4</v>
      </c>
      <c r="C189">
        <v>3</v>
      </c>
      <c r="D189">
        <v>0.84599999999999997</v>
      </c>
      <c r="E189" s="2">
        <f t="shared" si="10"/>
        <v>1</v>
      </c>
      <c r="F189" s="2">
        <f t="shared" si="11"/>
        <v>704</v>
      </c>
      <c r="G189">
        <v>-2.1000000000000001E-2</v>
      </c>
      <c r="H189">
        <v>0.35599999999999998</v>
      </c>
      <c r="I189">
        <v>0.28399999999999997</v>
      </c>
      <c r="J189">
        <v>0.24299999999999999</v>
      </c>
      <c r="K189">
        <v>0.14299999999999999</v>
      </c>
      <c r="L189">
        <v>-99.998999999999995</v>
      </c>
      <c r="M189">
        <v>-99.998999999999995</v>
      </c>
      <c r="Q189" s="2">
        <f t="shared" si="12"/>
        <v>-1.4062274994390096</v>
      </c>
      <c r="T189" s="2">
        <f t="shared" si="13"/>
        <v>168801.74175381282</v>
      </c>
      <c r="W189" s="2">
        <f t="shared" si="14"/>
        <v>168801.74175381282</v>
      </c>
    </row>
    <row r="190" spans="1:23">
      <c r="A190">
        <v>1183</v>
      </c>
      <c r="B190">
        <v>4</v>
      </c>
      <c r="C190">
        <v>3</v>
      </c>
      <c r="D190">
        <v>-0.90600000000000003</v>
      </c>
      <c r="E190" s="2">
        <f t="shared" si="10"/>
        <v>-1</v>
      </c>
      <c r="F190" s="2">
        <f t="shared" si="11"/>
        <v>403</v>
      </c>
      <c r="G190">
        <v>-0.25900000000000001</v>
      </c>
      <c r="H190">
        <v>0.35599999999999998</v>
      </c>
      <c r="I190">
        <v>0.28399999999999997</v>
      </c>
      <c r="J190">
        <v>0.24299999999999999</v>
      </c>
      <c r="K190">
        <v>0.14299999999999999</v>
      </c>
      <c r="L190">
        <v>-99.998999999999995</v>
      </c>
      <c r="M190">
        <v>-99.998999999999995</v>
      </c>
      <c r="Q190" s="2">
        <f t="shared" si="12"/>
        <v>-1.8776891501870885</v>
      </c>
      <c r="T190" s="2">
        <f t="shared" si="13"/>
        <v>129019.63979261296</v>
      </c>
      <c r="W190" s="2">
        <f t="shared" si="14"/>
        <v>129019.63979261296</v>
      </c>
    </row>
    <row r="191" spans="1:23">
      <c r="A191">
        <v>1184</v>
      </c>
      <c r="B191">
        <v>4</v>
      </c>
      <c r="C191">
        <v>3</v>
      </c>
      <c r="D191">
        <v>-2.504</v>
      </c>
      <c r="E191" s="2">
        <f t="shared" si="10"/>
        <v>-2.5</v>
      </c>
      <c r="F191" s="2">
        <f t="shared" si="11"/>
        <v>178</v>
      </c>
      <c r="G191">
        <v>-0.42099999999999999</v>
      </c>
      <c r="H191">
        <v>0.35599999999999998</v>
      </c>
      <c r="I191">
        <v>0.28399999999999997</v>
      </c>
      <c r="J191">
        <v>0.24299999999999999</v>
      </c>
      <c r="K191">
        <v>0.14299999999999999</v>
      </c>
      <c r="L191">
        <v>-99.998999999999995</v>
      </c>
      <c r="M191">
        <v>-99.998999999999995</v>
      </c>
      <c r="Q191" s="2">
        <f t="shared" si="12"/>
        <v>-2.3077095371137037</v>
      </c>
      <c r="T191" s="2">
        <f t="shared" si="13"/>
        <v>92734.366428459209</v>
      </c>
      <c r="W191" s="2">
        <f t="shared" si="14"/>
        <v>92734.366428459209</v>
      </c>
    </row>
    <row r="192" spans="1:23">
      <c r="A192">
        <v>1185</v>
      </c>
      <c r="B192">
        <v>4</v>
      </c>
      <c r="C192">
        <v>3</v>
      </c>
      <c r="D192">
        <v>-1.4970000000000001</v>
      </c>
      <c r="E192" s="2">
        <f t="shared" si="10"/>
        <v>-1.5</v>
      </c>
      <c r="F192" s="2">
        <f t="shared" si="11"/>
        <v>330</v>
      </c>
      <c r="G192">
        <v>-0.5</v>
      </c>
      <c r="H192">
        <v>0.35599999999999998</v>
      </c>
      <c r="I192">
        <v>0.28399999999999997</v>
      </c>
      <c r="J192">
        <v>0.24299999999999999</v>
      </c>
      <c r="K192">
        <v>0.14299999999999999</v>
      </c>
      <c r="L192">
        <v>-99.998999999999995</v>
      </c>
      <c r="M192">
        <v>-99.998999999999995</v>
      </c>
      <c r="Q192" s="2">
        <f t="shared" si="12"/>
        <v>-2.0367267275798482</v>
      </c>
      <c r="T192" s="2">
        <f t="shared" si="13"/>
        <v>115599.99238446847</v>
      </c>
      <c r="W192" s="2">
        <f t="shared" si="14"/>
        <v>115599.99238446847</v>
      </c>
    </row>
    <row r="193" spans="1:23">
      <c r="A193">
        <v>1186</v>
      </c>
      <c r="B193">
        <v>4</v>
      </c>
      <c r="C193">
        <v>3</v>
      </c>
      <c r="D193">
        <v>-1.2070000000000001</v>
      </c>
      <c r="E193" s="2">
        <f t="shared" si="10"/>
        <v>-1</v>
      </c>
      <c r="F193" s="2">
        <f t="shared" si="11"/>
        <v>369</v>
      </c>
      <c r="G193">
        <v>-0.50600000000000001</v>
      </c>
      <c r="H193">
        <v>0.36499999999999999</v>
      </c>
      <c r="I193">
        <v>0.28599999999999998</v>
      </c>
      <c r="J193">
        <v>0.23400000000000001</v>
      </c>
      <c r="K193">
        <v>0.13400000000000001</v>
      </c>
      <c r="L193">
        <v>-99.998999999999995</v>
      </c>
      <c r="M193">
        <v>-99.998999999999995</v>
      </c>
      <c r="Q193" s="2">
        <f t="shared" si="12"/>
        <v>-1.9586879840199491</v>
      </c>
      <c r="T193" s="2">
        <f t="shared" si="13"/>
        <v>122184.92935293191</v>
      </c>
      <c r="W193" s="2">
        <f t="shared" si="14"/>
        <v>122184.92935293191</v>
      </c>
    </row>
    <row r="194" spans="1:23">
      <c r="A194">
        <v>1187</v>
      </c>
      <c r="B194">
        <v>4</v>
      </c>
      <c r="C194">
        <v>3</v>
      </c>
      <c r="D194">
        <v>-1.538</v>
      </c>
      <c r="E194" s="2">
        <f t="shared" si="10"/>
        <v>-1.5</v>
      </c>
      <c r="F194" s="2">
        <f t="shared" si="11"/>
        <v>321</v>
      </c>
      <c r="G194">
        <v>-0.45700000000000002</v>
      </c>
      <c r="H194">
        <v>0.36499999999999999</v>
      </c>
      <c r="I194">
        <v>0.28599999999999998</v>
      </c>
      <c r="J194">
        <v>0.23400000000000001</v>
      </c>
      <c r="K194">
        <v>0.13400000000000001</v>
      </c>
      <c r="L194">
        <v>-99.998999999999995</v>
      </c>
      <c r="M194">
        <v>-99.998999999999995</v>
      </c>
      <c r="Q194" s="2">
        <f t="shared" si="12"/>
        <v>-2.0477597913245233</v>
      </c>
      <c r="T194" s="2">
        <f t="shared" si="13"/>
        <v>114669.01853720297</v>
      </c>
      <c r="W194" s="2">
        <f t="shared" si="14"/>
        <v>114669.01853720297</v>
      </c>
    </row>
    <row r="195" spans="1:23">
      <c r="A195">
        <v>1188</v>
      </c>
      <c r="B195">
        <v>4</v>
      </c>
      <c r="C195">
        <v>3</v>
      </c>
      <c r="D195">
        <v>1.103</v>
      </c>
      <c r="E195" s="2">
        <f t="shared" ref="E195:E258" si="15">IF(D195&gt;0,MROUND(D195,0.5),MROUND(D195,-0.5))</f>
        <v>1</v>
      </c>
      <c r="F195" s="2">
        <f t="shared" ref="F195:F258" si="16">RANK(D195,$D$3:$D$1011,1)</f>
        <v>746</v>
      </c>
      <c r="G195">
        <v>-0.38200000000000001</v>
      </c>
      <c r="H195">
        <v>0.36499999999999999</v>
      </c>
      <c r="I195">
        <v>0.28599999999999998</v>
      </c>
      <c r="J195">
        <v>0.23400000000000001</v>
      </c>
      <c r="K195">
        <v>0.13400000000000001</v>
      </c>
      <c r="L195">
        <v>-99.998999999999995</v>
      </c>
      <c r="M195">
        <v>-99.998999999999995</v>
      </c>
      <c r="Q195" s="2">
        <f t="shared" ref="Q195:Q258" si="17">$Q$1022+($Q$1021*D195)</f>
        <v>-1.3370690266979959</v>
      </c>
      <c r="T195" s="2">
        <f t="shared" ref="T195:T258" si="18">$T$1025+(Q195*$T$1024)</f>
        <v>174637.35830862349</v>
      </c>
      <c r="W195" s="2">
        <f t="shared" ref="W195:W258" si="19">$T$1025+(Q195*$T$1024)</f>
        <v>174637.35830862349</v>
      </c>
    </row>
    <row r="196" spans="1:23">
      <c r="A196">
        <v>1189</v>
      </c>
      <c r="B196">
        <v>4</v>
      </c>
      <c r="C196">
        <v>3</v>
      </c>
      <c r="D196">
        <v>0.27</v>
      </c>
      <c r="E196" s="2">
        <f t="shared" si="15"/>
        <v>0.5</v>
      </c>
      <c r="F196" s="2">
        <f t="shared" si="16"/>
        <v>612</v>
      </c>
      <c r="G196">
        <v>-0.315</v>
      </c>
      <c r="H196">
        <v>0.36499999999999999</v>
      </c>
      <c r="I196">
        <v>0.28599999999999998</v>
      </c>
      <c r="J196">
        <v>0.23400000000000001</v>
      </c>
      <c r="K196">
        <v>0.13400000000000001</v>
      </c>
      <c r="L196">
        <v>-99.998999999999995</v>
      </c>
      <c r="M196">
        <v>-99.998999999999995</v>
      </c>
      <c r="Q196" s="2">
        <f t="shared" si="17"/>
        <v>-1.5612285900959122</v>
      </c>
      <c r="T196" s="2">
        <f t="shared" si="18"/>
        <v>155722.69453369229</v>
      </c>
      <c r="W196" s="2">
        <f t="shared" si="19"/>
        <v>155722.69453369229</v>
      </c>
    </row>
    <row r="197" spans="1:23">
      <c r="A197">
        <v>1190</v>
      </c>
      <c r="B197">
        <v>4</v>
      </c>
      <c r="C197">
        <v>3</v>
      </c>
      <c r="D197">
        <v>2.0840000000000001</v>
      </c>
      <c r="E197" s="2">
        <f t="shared" si="15"/>
        <v>2</v>
      </c>
      <c r="F197" s="2">
        <f t="shared" si="16"/>
        <v>859</v>
      </c>
      <c r="G197">
        <v>-0.27800000000000002</v>
      </c>
      <c r="H197">
        <v>0.36499999999999999</v>
      </c>
      <c r="I197">
        <v>0.28599999999999998</v>
      </c>
      <c r="J197">
        <v>0.23400000000000001</v>
      </c>
      <c r="K197">
        <v>0.13400000000000001</v>
      </c>
      <c r="L197">
        <v>-99.998999999999995</v>
      </c>
      <c r="M197">
        <v>-99.998999999999995</v>
      </c>
      <c r="Q197" s="2">
        <f t="shared" si="17"/>
        <v>-1.0730827941729584</v>
      </c>
      <c r="T197" s="2">
        <f t="shared" si="18"/>
        <v>196912.61060539124</v>
      </c>
      <c r="W197" s="2">
        <f t="shared" si="19"/>
        <v>196912.61060539124</v>
      </c>
    </row>
    <row r="198" spans="1:23">
      <c r="A198">
        <v>1191</v>
      </c>
      <c r="B198">
        <v>4</v>
      </c>
      <c r="C198">
        <v>3</v>
      </c>
      <c r="D198">
        <v>0.80100000000000005</v>
      </c>
      <c r="E198" s="2">
        <f t="shared" si="15"/>
        <v>1</v>
      </c>
      <c r="F198" s="2">
        <f t="shared" si="16"/>
        <v>699</v>
      </c>
      <c r="G198">
        <v>-0.28899999999999998</v>
      </c>
      <c r="H198">
        <v>0.36499999999999999</v>
      </c>
      <c r="I198">
        <v>0.28599999999999998</v>
      </c>
      <c r="J198">
        <v>0.23400000000000001</v>
      </c>
      <c r="K198">
        <v>0.13400000000000001</v>
      </c>
      <c r="L198">
        <v>-99.998999999999995</v>
      </c>
      <c r="M198">
        <v>-99.998999999999995</v>
      </c>
      <c r="Q198" s="2">
        <f t="shared" si="17"/>
        <v>-1.41833695964658</v>
      </c>
      <c r="T198" s="2">
        <f t="shared" si="18"/>
        <v>167779.9411897409</v>
      </c>
      <c r="W198" s="2">
        <f t="shared" si="19"/>
        <v>167779.9411897409</v>
      </c>
    </row>
    <row r="199" spans="1:23">
      <c r="A199">
        <v>1192</v>
      </c>
      <c r="B199">
        <v>4</v>
      </c>
      <c r="C199">
        <v>3</v>
      </c>
      <c r="D199">
        <v>-0.36899999999999999</v>
      </c>
      <c r="E199" s="2">
        <f t="shared" si="15"/>
        <v>-0.5</v>
      </c>
      <c r="F199" s="2">
        <f t="shared" si="16"/>
        <v>507</v>
      </c>
      <c r="G199">
        <v>-0.34200000000000003</v>
      </c>
      <c r="H199">
        <v>0.36499999999999999</v>
      </c>
      <c r="I199">
        <v>0.28599999999999998</v>
      </c>
      <c r="J199">
        <v>0.23400000000000001</v>
      </c>
      <c r="K199">
        <v>0.13400000000000001</v>
      </c>
      <c r="L199">
        <v>-99.998999999999995</v>
      </c>
      <c r="M199">
        <v>-99.998999999999995</v>
      </c>
      <c r="Q199" s="2">
        <f t="shared" si="17"/>
        <v>-1.7331829250434136</v>
      </c>
      <c r="T199" s="2">
        <f t="shared" si="18"/>
        <v>141213.12652387112</v>
      </c>
      <c r="W199" s="2">
        <f t="shared" si="19"/>
        <v>141213.12652387112</v>
      </c>
    </row>
    <row r="200" spans="1:23">
      <c r="A200">
        <v>1193</v>
      </c>
      <c r="B200">
        <v>4</v>
      </c>
      <c r="C200">
        <v>3</v>
      </c>
      <c r="D200">
        <v>-2.6930000000000001</v>
      </c>
      <c r="E200" s="2">
        <f t="shared" si="15"/>
        <v>-2.5</v>
      </c>
      <c r="F200" s="2">
        <f t="shared" si="16"/>
        <v>149</v>
      </c>
      <c r="G200">
        <v>-0.42399999999999999</v>
      </c>
      <c r="H200">
        <v>0.36499999999999999</v>
      </c>
      <c r="I200">
        <v>0.28599999999999998</v>
      </c>
      <c r="J200">
        <v>0.23400000000000001</v>
      </c>
      <c r="K200">
        <v>0.13400000000000001</v>
      </c>
      <c r="L200">
        <v>-99.998999999999995</v>
      </c>
      <c r="M200">
        <v>-99.998999999999995</v>
      </c>
      <c r="Q200" s="2">
        <f t="shared" si="17"/>
        <v>-2.3585692699854999</v>
      </c>
      <c r="T200" s="2">
        <f t="shared" si="18"/>
        <v>88442.804059357179</v>
      </c>
      <c r="W200" s="2">
        <f t="shared" si="19"/>
        <v>88442.804059357179</v>
      </c>
    </row>
    <row r="201" spans="1:23">
      <c r="A201">
        <v>1194</v>
      </c>
      <c r="B201">
        <v>4</v>
      </c>
      <c r="C201">
        <v>3</v>
      </c>
      <c r="D201">
        <v>-1.268</v>
      </c>
      <c r="E201" s="2">
        <f t="shared" si="15"/>
        <v>-1.5</v>
      </c>
      <c r="F201" s="2">
        <f t="shared" si="16"/>
        <v>359</v>
      </c>
      <c r="G201">
        <v>-0.52200000000000002</v>
      </c>
      <c r="H201">
        <v>0.36499999999999999</v>
      </c>
      <c r="I201">
        <v>0.28599999999999998</v>
      </c>
      <c r="J201">
        <v>0.23400000000000001</v>
      </c>
      <c r="K201">
        <v>0.13400000000000001</v>
      </c>
      <c r="L201">
        <v>-99.998999999999995</v>
      </c>
      <c r="M201">
        <v>-99.998999999999995</v>
      </c>
      <c r="Q201" s="2">
        <f t="shared" si="17"/>
        <v>-1.9751030300791002</v>
      </c>
      <c r="T201" s="2">
        <f t="shared" si="18"/>
        <v>120799.82192163446</v>
      </c>
      <c r="W201" s="2">
        <f t="shared" si="19"/>
        <v>120799.82192163446</v>
      </c>
    </row>
    <row r="202" spans="1:23">
      <c r="A202">
        <v>1195</v>
      </c>
      <c r="B202">
        <v>4</v>
      </c>
      <c r="C202">
        <v>3</v>
      </c>
      <c r="D202">
        <v>-0.216</v>
      </c>
      <c r="E202" s="2">
        <f t="shared" si="15"/>
        <v>0</v>
      </c>
      <c r="F202" s="2">
        <f t="shared" si="16"/>
        <v>534</v>
      </c>
      <c r="G202">
        <v>-0.64100000000000001</v>
      </c>
      <c r="H202">
        <v>0.36499999999999999</v>
      </c>
      <c r="I202">
        <v>0.28599999999999998</v>
      </c>
      <c r="J202">
        <v>0.23400000000000001</v>
      </c>
      <c r="K202">
        <v>0.13400000000000001</v>
      </c>
      <c r="L202">
        <v>-99.998999999999995</v>
      </c>
      <c r="M202">
        <v>-99.998999999999995</v>
      </c>
      <c r="Q202" s="2">
        <f t="shared" si="17"/>
        <v>-1.6920107603376739</v>
      </c>
      <c r="T202" s="2">
        <f t="shared" si="18"/>
        <v>144687.24844171564</v>
      </c>
      <c r="W202" s="2">
        <f t="shared" si="19"/>
        <v>144687.24844171564</v>
      </c>
    </row>
    <row r="203" spans="1:23">
      <c r="A203">
        <v>1196</v>
      </c>
      <c r="B203">
        <v>4</v>
      </c>
      <c r="C203">
        <v>3</v>
      </c>
      <c r="D203">
        <v>2.98</v>
      </c>
      <c r="E203" s="2">
        <f t="shared" si="15"/>
        <v>3</v>
      </c>
      <c r="F203" s="2">
        <f t="shared" si="16"/>
        <v>935</v>
      </c>
      <c r="G203">
        <v>-0.79100000000000004</v>
      </c>
      <c r="H203">
        <v>0.36499999999999999</v>
      </c>
      <c r="I203">
        <v>0.28599999999999998</v>
      </c>
      <c r="J203">
        <v>0.23400000000000001</v>
      </c>
      <c r="K203">
        <v>0.13400000000000001</v>
      </c>
      <c r="L203">
        <v>-99.998999999999995</v>
      </c>
      <c r="M203">
        <v>-99.998999999999995</v>
      </c>
      <c r="Q203" s="2">
        <f t="shared" si="17"/>
        <v>-0.83196998648444331</v>
      </c>
      <c r="T203" s="2">
        <f t="shared" si="18"/>
        <v>217257.79517002311</v>
      </c>
      <c r="W203" s="2">
        <f t="shared" si="19"/>
        <v>217257.79517002311</v>
      </c>
    </row>
    <row r="204" spans="1:23">
      <c r="A204">
        <v>1197</v>
      </c>
      <c r="B204">
        <v>4</v>
      </c>
      <c r="C204">
        <v>3</v>
      </c>
      <c r="D204">
        <v>0.64300000000000002</v>
      </c>
      <c r="E204" s="2">
        <f t="shared" si="15"/>
        <v>0.5</v>
      </c>
      <c r="F204" s="2">
        <f t="shared" si="16"/>
        <v>676</v>
      </c>
      <c r="G204">
        <v>-0.97699999999999998</v>
      </c>
      <c r="H204">
        <v>0.36499999999999999</v>
      </c>
      <c r="I204">
        <v>0.28599999999999998</v>
      </c>
      <c r="J204">
        <v>0.23400000000000001</v>
      </c>
      <c r="K204">
        <v>0.13400000000000001</v>
      </c>
      <c r="L204">
        <v>-99.998999999999995</v>
      </c>
      <c r="M204">
        <v>-99.998999999999995</v>
      </c>
      <c r="Q204" s="2">
        <f t="shared" si="17"/>
        <v>-1.4608546199309389</v>
      </c>
      <c r="T204" s="2">
        <f t="shared" si="18"/>
        <v>164192.28587588837</v>
      </c>
      <c r="W204" s="2">
        <f t="shared" si="19"/>
        <v>164192.28587588837</v>
      </c>
    </row>
    <row r="205" spans="1:23">
      <c r="A205">
        <v>1198</v>
      </c>
      <c r="B205">
        <v>4</v>
      </c>
      <c r="C205">
        <v>3</v>
      </c>
      <c r="D205">
        <v>-4.0640000000000001</v>
      </c>
      <c r="E205" s="2">
        <f t="shared" si="15"/>
        <v>-4</v>
      </c>
      <c r="F205" s="2">
        <f t="shared" si="16"/>
        <v>35</v>
      </c>
      <c r="G205">
        <v>-1.175</v>
      </c>
      <c r="H205">
        <v>0.36499999999999999</v>
      </c>
      <c r="I205">
        <v>0.28599999999999998</v>
      </c>
      <c r="J205">
        <v>0.23400000000000001</v>
      </c>
      <c r="K205">
        <v>0.13400000000000001</v>
      </c>
      <c r="L205">
        <v>-99.998999999999995</v>
      </c>
      <c r="M205">
        <v>-99.998999999999995</v>
      </c>
      <c r="Q205" s="2">
        <f t="shared" si="17"/>
        <v>-2.727504157642815</v>
      </c>
      <c r="T205" s="2">
        <f t="shared" si="18"/>
        <v>57311.946873966197</v>
      </c>
      <c r="W205" s="2">
        <f t="shared" si="19"/>
        <v>57311.946873966197</v>
      </c>
    </row>
    <row r="206" spans="1:23">
      <c r="A206">
        <v>1199</v>
      </c>
      <c r="B206">
        <v>4</v>
      </c>
      <c r="C206">
        <v>3</v>
      </c>
      <c r="D206">
        <v>-2.5299999999999998</v>
      </c>
      <c r="E206" s="2">
        <f t="shared" si="15"/>
        <v>-2.5</v>
      </c>
      <c r="F206" s="2">
        <f t="shared" si="16"/>
        <v>173</v>
      </c>
      <c r="G206">
        <v>-1.349</v>
      </c>
      <c r="H206">
        <v>0.36499999999999999</v>
      </c>
      <c r="I206">
        <v>0.28599999999999998</v>
      </c>
      <c r="J206">
        <v>0.23400000000000001</v>
      </c>
      <c r="K206">
        <v>0.13400000000000001</v>
      </c>
      <c r="L206">
        <v>-99.998999999999995</v>
      </c>
      <c r="M206">
        <v>-99.998999999999995</v>
      </c>
      <c r="Q206" s="2">
        <f t="shared" si="17"/>
        <v>-2.3147061141225223</v>
      </c>
      <c r="T206" s="2">
        <f t="shared" si="18"/>
        <v>92143.992769217672</v>
      </c>
      <c r="W206" s="2">
        <f t="shared" si="19"/>
        <v>92143.992769217672</v>
      </c>
    </row>
    <row r="207" spans="1:23">
      <c r="A207">
        <v>1200</v>
      </c>
      <c r="B207">
        <v>4</v>
      </c>
      <c r="C207">
        <v>3</v>
      </c>
      <c r="D207">
        <v>-2.3260000000000001</v>
      </c>
      <c r="E207" s="2">
        <f t="shared" si="15"/>
        <v>-2.5</v>
      </c>
      <c r="F207" s="2">
        <f t="shared" si="16"/>
        <v>198</v>
      </c>
      <c r="G207">
        <v>-1.4810000000000001</v>
      </c>
      <c r="H207">
        <v>0.36499999999999999</v>
      </c>
      <c r="I207">
        <v>0.28599999999999998</v>
      </c>
      <c r="J207">
        <v>0.23400000000000001</v>
      </c>
      <c r="K207">
        <v>0.13400000000000001</v>
      </c>
      <c r="L207">
        <v>-99.998999999999995</v>
      </c>
      <c r="M207">
        <v>-99.998999999999995</v>
      </c>
      <c r="Q207" s="2">
        <f t="shared" si="17"/>
        <v>-2.2598098945148695</v>
      </c>
      <c r="T207" s="2">
        <f t="shared" si="18"/>
        <v>96776.155326343636</v>
      </c>
      <c r="W207" s="2">
        <f t="shared" si="19"/>
        <v>96776.155326343636</v>
      </c>
    </row>
    <row r="208" spans="1:23">
      <c r="A208">
        <v>1201</v>
      </c>
      <c r="B208">
        <v>4</v>
      </c>
      <c r="C208">
        <v>3</v>
      </c>
      <c r="D208">
        <v>-2.496</v>
      </c>
      <c r="E208" s="2">
        <f t="shared" si="15"/>
        <v>-2.5</v>
      </c>
      <c r="F208" s="2">
        <f t="shared" si="16"/>
        <v>179</v>
      </c>
      <c r="G208">
        <v>-1.5669999999999999</v>
      </c>
      <c r="H208">
        <v>0.36499999999999999</v>
      </c>
      <c r="I208">
        <v>0.28599999999999998</v>
      </c>
      <c r="J208">
        <v>0.23400000000000001</v>
      </c>
      <c r="K208">
        <v>0.13400000000000001</v>
      </c>
      <c r="L208">
        <v>-99.998999999999995</v>
      </c>
      <c r="M208">
        <v>-99.998999999999995</v>
      </c>
      <c r="Q208" s="2">
        <f t="shared" si="17"/>
        <v>-2.3055567441879132</v>
      </c>
      <c r="T208" s="2">
        <f t="shared" si="18"/>
        <v>92916.019862072018</v>
      </c>
      <c r="W208" s="2">
        <f t="shared" si="19"/>
        <v>92916.019862072018</v>
      </c>
    </row>
    <row r="209" spans="1:23">
      <c r="A209">
        <v>1202</v>
      </c>
      <c r="B209">
        <v>4</v>
      </c>
      <c r="C209">
        <v>3</v>
      </c>
      <c r="D209">
        <v>-2.851</v>
      </c>
      <c r="E209" s="2">
        <f t="shared" si="15"/>
        <v>-3</v>
      </c>
      <c r="F209" s="2">
        <f t="shared" si="16"/>
        <v>127</v>
      </c>
      <c r="G209">
        <v>-1.613</v>
      </c>
      <c r="H209">
        <v>0.36499999999999999</v>
      </c>
      <c r="I209">
        <v>0.28599999999999998</v>
      </c>
      <c r="J209">
        <v>0.23400000000000001</v>
      </c>
      <c r="K209">
        <v>0.13400000000000001</v>
      </c>
      <c r="L209">
        <v>-99.998999999999995</v>
      </c>
      <c r="M209">
        <v>-99.998999999999995</v>
      </c>
      <c r="Q209" s="2">
        <f t="shared" si="17"/>
        <v>-2.4010869302698588</v>
      </c>
      <c r="T209" s="2">
        <f t="shared" si="18"/>
        <v>84855.148745504674</v>
      </c>
      <c r="W209" s="2">
        <f t="shared" si="19"/>
        <v>84855.148745504674</v>
      </c>
    </row>
    <row r="210" spans="1:23">
      <c r="A210">
        <v>1203</v>
      </c>
      <c r="B210">
        <v>4</v>
      </c>
      <c r="C210">
        <v>3</v>
      </c>
      <c r="D210">
        <v>-1.5529999999999999</v>
      </c>
      <c r="E210" s="2">
        <f t="shared" si="15"/>
        <v>-1.5</v>
      </c>
      <c r="F210" s="2">
        <f t="shared" si="16"/>
        <v>316</v>
      </c>
      <c r="G210">
        <v>-1.6319999999999999</v>
      </c>
      <c r="H210">
        <v>0.36499999999999999</v>
      </c>
      <c r="I210">
        <v>0.28599999999999998</v>
      </c>
      <c r="J210">
        <v>0.23400000000000001</v>
      </c>
      <c r="K210">
        <v>0.13400000000000001</v>
      </c>
      <c r="L210">
        <v>-99.998999999999995</v>
      </c>
      <c r="M210">
        <v>-99.998999999999995</v>
      </c>
      <c r="Q210" s="2">
        <f t="shared" si="17"/>
        <v>-2.05179627806038</v>
      </c>
      <c r="T210" s="2">
        <f t="shared" si="18"/>
        <v>114328.418349179</v>
      </c>
      <c r="W210" s="2">
        <f t="shared" si="19"/>
        <v>114328.418349179</v>
      </c>
    </row>
    <row r="211" spans="1:23">
      <c r="A211">
        <v>1204</v>
      </c>
      <c r="B211">
        <v>4</v>
      </c>
      <c r="C211">
        <v>3</v>
      </c>
      <c r="D211">
        <v>-0.65</v>
      </c>
      <c r="E211" s="2">
        <f t="shared" si="15"/>
        <v>-0.5</v>
      </c>
      <c r="F211" s="2">
        <f t="shared" si="16"/>
        <v>456</v>
      </c>
      <c r="G211">
        <v>-1.6479999999999999</v>
      </c>
      <c r="H211">
        <v>0.36499999999999999</v>
      </c>
      <c r="I211">
        <v>0.28599999999999998</v>
      </c>
      <c r="J211">
        <v>0.23400000000000001</v>
      </c>
      <c r="K211">
        <v>0.13400000000000001</v>
      </c>
      <c r="L211">
        <v>-99.998999999999995</v>
      </c>
      <c r="M211">
        <v>-99.998999999999995</v>
      </c>
      <c r="Q211" s="2">
        <f t="shared" si="17"/>
        <v>-1.8087997765617985</v>
      </c>
      <c r="T211" s="2">
        <f t="shared" si="18"/>
        <v>134832.54966822205</v>
      </c>
      <c r="W211" s="2">
        <f t="shared" si="19"/>
        <v>134832.54966822205</v>
      </c>
    </row>
    <row r="212" spans="1:23">
      <c r="A212">
        <v>1205</v>
      </c>
      <c r="B212">
        <v>4</v>
      </c>
      <c r="C212">
        <v>3</v>
      </c>
      <c r="D212">
        <v>0.66900000000000004</v>
      </c>
      <c r="E212" s="2">
        <f t="shared" si="15"/>
        <v>0.5</v>
      </c>
      <c r="F212" s="2">
        <f t="shared" si="16"/>
        <v>677</v>
      </c>
      <c r="G212">
        <v>-1.6850000000000001</v>
      </c>
      <c r="H212">
        <v>0.36499999999999999</v>
      </c>
      <c r="I212">
        <v>0.28599999999999998</v>
      </c>
      <c r="J212">
        <v>0.23400000000000001</v>
      </c>
      <c r="K212">
        <v>0.13400000000000001</v>
      </c>
      <c r="L212">
        <v>-99.998999999999995</v>
      </c>
      <c r="M212">
        <v>-99.998999999999995</v>
      </c>
      <c r="Q212" s="2">
        <f t="shared" si="17"/>
        <v>-1.4538580429221204</v>
      </c>
      <c r="T212" s="2">
        <f t="shared" si="18"/>
        <v>164782.65953512993</v>
      </c>
      <c r="W212" s="2">
        <f t="shared" si="19"/>
        <v>164782.65953512993</v>
      </c>
    </row>
    <row r="213" spans="1:23">
      <c r="A213">
        <v>1206</v>
      </c>
      <c r="B213">
        <v>4</v>
      </c>
      <c r="C213">
        <v>3</v>
      </c>
      <c r="D213">
        <v>0.38500000000000001</v>
      </c>
      <c r="E213" s="2">
        <f t="shared" si="15"/>
        <v>0.5</v>
      </c>
      <c r="F213" s="2">
        <f t="shared" si="16"/>
        <v>631</v>
      </c>
      <c r="G213">
        <v>-1.756</v>
      </c>
      <c r="H213">
        <v>0.36499999999999999</v>
      </c>
      <c r="I213">
        <v>0.28599999999999998</v>
      </c>
      <c r="J213">
        <v>0.23400000000000001</v>
      </c>
      <c r="K213">
        <v>0.13400000000000001</v>
      </c>
      <c r="L213">
        <v>-99.998999999999995</v>
      </c>
      <c r="M213">
        <v>-99.998999999999995</v>
      </c>
      <c r="Q213" s="2">
        <f t="shared" si="17"/>
        <v>-1.5302821917876765</v>
      </c>
      <c r="T213" s="2">
        <f t="shared" si="18"/>
        <v>158333.96264187607</v>
      </c>
      <c r="W213" s="2">
        <f t="shared" si="19"/>
        <v>158333.96264187607</v>
      </c>
    </row>
    <row r="214" spans="1:23">
      <c r="A214">
        <v>1207</v>
      </c>
      <c r="B214">
        <v>4</v>
      </c>
      <c r="C214">
        <v>3</v>
      </c>
      <c r="D214">
        <v>-2.95</v>
      </c>
      <c r="E214" s="2">
        <f t="shared" si="15"/>
        <v>-3</v>
      </c>
      <c r="F214" s="2">
        <f t="shared" si="16"/>
        <v>116</v>
      </c>
      <c r="G214">
        <v>-1.8540000000000001</v>
      </c>
      <c r="H214">
        <v>0.36499999999999999</v>
      </c>
      <c r="I214">
        <v>0.28599999999999998</v>
      </c>
      <c r="J214">
        <v>0.23400000000000001</v>
      </c>
      <c r="K214">
        <v>0.13400000000000001</v>
      </c>
      <c r="L214">
        <v>-99.998999999999995</v>
      </c>
      <c r="M214">
        <v>-99.998999999999995</v>
      </c>
      <c r="Q214" s="2">
        <f t="shared" si="17"/>
        <v>-2.427727742726514</v>
      </c>
      <c r="T214" s="2">
        <f t="shared" si="18"/>
        <v>82607.187504546426</v>
      </c>
      <c r="W214" s="2">
        <f t="shared" si="19"/>
        <v>82607.187504546426</v>
      </c>
    </row>
    <row r="215" spans="1:23">
      <c r="A215">
        <v>1208</v>
      </c>
      <c r="B215">
        <v>4</v>
      </c>
      <c r="C215">
        <v>3</v>
      </c>
      <c r="D215">
        <v>-1.9259999999999999</v>
      </c>
      <c r="E215" s="2">
        <f t="shared" si="15"/>
        <v>-2</v>
      </c>
      <c r="F215" s="2">
        <f t="shared" si="16"/>
        <v>251</v>
      </c>
      <c r="G215">
        <v>-1.9550000000000001</v>
      </c>
      <c r="H215">
        <v>0.36499999999999999</v>
      </c>
      <c r="I215">
        <v>0.28599999999999998</v>
      </c>
      <c r="J215">
        <v>0.23400000000000001</v>
      </c>
      <c r="K215">
        <v>0.13400000000000001</v>
      </c>
      <c r="L215">
        <v>-99.998999999999995</v>
      </c>
      <c r="M215">
        <v>-99.998999999999995</v>
      </c>
      <c r="Q215" s="2">
        <f t="shared" si="17"/>
        <v>-2.1521702482253535</v>
      </c>
      <c r="T215" s="2">
        <f t="shared" si="18"/>
        <v>105858.8270069829</v>
      </c>
      <c r="W215" s="2">
        <f t="shared" si="19"/>
        <v>105858.8270069829</v>
      </c>
    </row>
    <row r="216" spans="1:23">
      <c r="A216">
        <v>1209</v>
      </c>
      <c r="B216">
        <v>4</v>
      </c>
      <c r="C216">
        <v>3</v>
      </c>
      <c r="D216">
        <v>-2.8450000000000002</v>
      </c>
      <c r="E216" s="2">
        <f t="shared" si="15"/>
        <v>-3</v>
      </c>
      <c r="F216" s="2">
        <f t="shared" si="16"/>
        <v>128</v>
      </c>
      <c r="G216">
        <v>-2.04</v>
      </c>
      <c r="H216">
        <v>0.36499999999999999</v>
      </c>
      <c r="I216">
        <v>0.28599999999999998</v>
      </c>
      <c r="J216">
        <v>0.23400000000000001</v>
      </c>
      <c r="K216">
        <v>0.13400000000000001</v>
      </c>
      <c r="L216">
        <v>-99.998999999999995</v>
      </c>
      <c r="M216">
        <v>-99.998999999999995</v>
      </c>
      <c r="Q216" s="2">
        <f t="shared" si="17"/>
        <v>-2.3994723355755161</v>
      </c>
      <c r="T216" s="2">
        <f t="shared" si="18"/>
        <v>84991.388820714259</v>
      </c>
      <c r="W216" s="2">
        <f t="shared" si="19"/>
        <v>84991.388820714259</v>
      </c>
    </row>
    <row r="217" spans="1:23">
      <c r="A217">
        <v>1210</v>
      </c>
      <c r="B217">
        <v>4</v>
      </c>
      <c r="C217">
        <v>3</v>
      </c>
      <c r="D217">
        <v>-3.9580000000000002</v>
      </c>
      <c r="E217" s="2">
        <f t="shared" si="15"/>
        <v>-4</v>
      </c>
      <c r="F217" s="2">
        <f t="shared" si="16"/>
        <v>41</v>
      </c>
      <c r="G217">
        <v>-2.0920000000000001</v>
      </c>
      <c r="H217">
        <v>0.36499999999999999</v>
      </c>
      <c r="I217">
        <v>0.28599999999999998</v>
      </c>
      <c r="J217">
        <v>0.23400000000000001</v>
      </c>
      <c r="K217">
        <v>0.13400000000000001</v>
      </c>
      <c r="L217">
        <v>-99.998999999999995</v>
      </c>
      <c r="M217">
        <v>-99.998999999999995</v>
      </c>
      <c r="Q217" s="2">
        <f t="shared" si="17"/>
        <v>-2.6989796513760935</v>
      </c>
      <c r="T217" s="2">
        <f t="shared" si="18"/>
        <v>59718.85486933557</v>
      </c>
      <c r="W217" s="2">
        <f t="shared" si="19"/>
        <v>59718.85486933557</v>
      </c>
    </row>
    <row r="218" spans="1:23">
      <c r="A218">
        <v>1211</v>
      </c>
      <c r="B218">
        <v>4</v>
      </c>
      <c r="C218">
        <v>3</v>
      </c>
      <c r="D218">
        <v>-3.036</v>
      </c>
      <c r="E218" s="2">
        <f t="shared" si="15"/>
        <v>-3</v>
      </c>
      <c r="F218" s="2">
        <f t="shared" si="16"/>
        <v>111</v>
      </c>
      <c r="G218">
        <v>-2.1030000000000002</v>
      </c>
      <c r="H218">
        <v>0.36499999999999999</v>
      </c>
      <c r="I218">
        <v>0.28599999999999998</v>
      </c>
      <c r="J218">
        <v>0.23400000000000001</v>
      </c>
      <c r="K218">
        <v>0.13400000000000001</v>
      </c>
      <c r="L218">
        <v>-99.998999999999995</v>
      </c>
      <c r="M218">
        <v>-99.998999999999995</v>
      </c>
      <c r="Q218" s="2">
        <f t="shared" si="17"/>
        <v>-2.4508702666787596</v>
      </c>
      <c r="T218" s="2">
        <f t="shared" si="18"/>
        <v>80654.413093209034</v>
      </c>
      <c r="W218" s="2">
        <f t="shared" si="19"/>
        <v>80654.413093209034</v>
      </c>
    </row>
    <row r="219" spans="1:23">
      <c r="A219">
        <v>1212</v>
      </c>
      <c r="B219">
        <v>4</v>
      </c>
      <c r="C219">
        <v>3</v>
      </c>
      <c r="D219">
        <v>-0.42899999999999999</v>
      </c>
      <c r="E219" s="2">
        <f t="shared" si="15"/>
        <v>-0.5</v>
      </c>
      <c r="F219" s="2">
        <f t="shared" si="16"/>
        <v>491</v>
      </c>
      <c r="G219">
        <v>-2.0790000000000002</v>
      </c>
      <c r="H219">
        <v>0.36499999999999999</v>
      </c>
      <c r="I219">
        <v>0.28599999999999998</v>
      </c>
      <c r="J219">
        <v>0.23400000000000001</v>
      </c>
      <c r="K219">
        <v>0.13400000000000001</v>
      </c>
      <c r="L219">
        <v>-99.998999999999995</v>
      </c>
      <c r="M219">
        <v>-99.998999999999995</v>
      </c>
      <c r="Q219" s="2">
        <f t="shared" si="17"/>
        <v>-1.7493288719868409</v>
      </c>
      <c r="T219" s="2">
        <f t="shared" si="18"/>
        <v>139850.72577177524</v>
      </c>
      <c r="W219" s="2">
        <f t="shared" si="19"/>
        <v>139850.72577177524</v>
      </c>
    </row>
    <row r="220" spans="1:23">
      <c r="A220">
        <v>1213</v>
      </c>
      <c r="B220">
        <v>4</v>
      </c>
      <c r="C220">
        <v>3</v>
      </c>
      <c r="D220">
        <v>-0.879</v>
      </c>
      <c r="E220" s="2">
        <f t="shared" si="15"/>
        <v>-1</v>
      </c>
      <c r="F220" s="2">
        <f t="shared" si="16"/>
        <v>410</v>
      </c>
      <c r="G220">
        <v>-2.0329999999999999</v>
      </c>
      <c r="H220">
        <v>0.36499999999999999</v>
      </c>
      <c r="I220">
        <v>0.28599999999999998</v>
      </c>
      <c r="J220">
        <v>0.23400000000000001</v>
      </c>
      <c r="K220">
        <v>0.13400000000000001</v>
      </c>
      <c r="L220">
        <v>-99.998999999999995</v>
      </c>
      <c r="M220">
        <v>-99.998999999999995</v>
      </c>
      <c r="Q220" s="2">
        <f t="shared" si="17"/>
        <v>-1.8704234740625463</v>
      </c>
      <c r="T220" s="2">
        <f t="shared" si="18"/>
        <v>129632.72013105609</v>
      </c>
      <c r="W220" s="2">
        <f t="shared" si="19"/>
        <v>129632.72013105609</v>
      </c>
    </row>
    <row r="221" spans="1:23">
      <c r="A221">
        <v>1214</v>
      </c>
      <c r="B221">
        <v>4</v>
      </c>
      <c r="C221">
        <v>3</v>
      </c>
      <c r="D221">
        <v>-1.7509999999999999</v>
      </c>
      <c r="E221" s="2">
        <f t="shared" si="15"/>
        <v>-2</v>
      </c>
      <c r="F221" s="2">
        <f t="shared" si="16"/>
        <v>284</v>
      </c>
      <c r="G221">
        <v>-1.9670000000000001</v>
      </c>
      <c r="H221">
        <v>0.36499999999999999</v>
      </c>
      <c r="I221">
        <v>0.28599999999999998</v>
      </c>
      <c r="J221">
        <v>0.23400000000000001</v>
      </c>
      <c r="K221">
        <v>0.13400000000000001</v>
      </c>
      <c r="L221">
        <v>-99.998999999999995</v>
      </c>
      <c r="M221">
        <v>-99.998999999999995</v>
      </c>
      <c r="Q221" s="2">
        <f t="shared" si="17"/>
        <v>-2.1050779029736906</v>
      </c>
      <c r="T221" s="2">
        <f t="shared" si="18"/>
        <v>109832.49586726257</v>
      </c>
      <c r="W221" s="2">
        <f t="shared" si="19"/>
        <v>109832.49586726257</v>
      </c>
    </row>
    <row r="222" spans="1:23">
      <c r="A222">
        <v>1215</v>
      </c>
      <c r="B222">
        <v>4</v>
      </c>
      <c r="C222">
        <v>3</v>
      </c>
      <c r="D222">
        <v>-4.931</v>
      </c>
      <c r="E222" s="2">
        <f t="shared" si="15"/>
        <v>-5</v>
      </c>
      <c r="F222" s="2">
        <f t="shared" si="16"/>
        <v>11</v>
      </c>
      <c r="G222">
        <v>-1.873</v>
      </c>
      <c r="H222">
        <v>0.36499999999999999</v>
      </c>
      <c r="I222">
        <v>0.28599999999999998</v>
      </c>
      <c r="J222">
        <v>0.23400000000000001</v>
      </c>
      <c r="K222">
        <v>0.13400000000000001</v>
      </c>
      <c r="L222">
        <v>-99.998999999999995</v>
      </c>
      <c r="M222">
        <v>-99.998999999999995</v>
      </c>
      <c r="Q222" s="2">
        <f t="shared" si="17"/>
        <v>-2.9608130909753405</v>
      </c>
      <c r="T222" s="2">
        <f t="shared" si="18"/>
        <v>37625.256006180629</v>
      </c>
      <c r="W222" s="2">
        <f t="shared" si="19"/>
        <v>37625.256006180629</v>
      </c>
    </row>
    <row r="223" spans="1:23">
      <c r="A223">
        <v>1216</v>
      </c>
      <c r="B223">
        <v>4</v>
      </c>
      <c r="C223">
        <v>3</v>
      </c>
      <c r="D223">
        <v>-3.9329999999999998</v>
      </c>
      <c r="E223" s="2">
        <f t="shared" si="15"/>
        <v>-4</v>
      </c>
      <c r="F223" s="2">
        <f t="shared" si="16"/>
        <v>44</v>
      </c>
      <c r="G223">
        <v>-1.7430000000000001</v>
      </c>
      <c r="H223">
        <v>0.36499999999999999</v>
      </c>
      <c r="I223">
        <v>0.28599999999999998</v>
      </c>
      <c r="J223">
        <v>0.23400000000000001</v>
      </c>
      <c r="K223">
        <v>0.13400000000000001</v>
      </c>
      <c r="L223">
        <v>-99.998999999999995</v>
      </c>
      <c r="M223">
        <v>-99.998999999999995</v>
      </c>
      <c r="Q223" s="2">
        <f t="shared" si="17"/>
        <v>-2.6922521734829985</v>
      </c>
      <c r="T223" s="2">
        <f t="shared" si="18"/>
        <v>60286.521849375567</v>
      </c>
      <c r="W223" s="2">
        <f t="shared" si="19"/>
        <v>60286.521849375567</v>
      </c>
    </row>
    <row r="224" spans="1:23">
      <c r="A224">
        <v>1217</v>
      </c>
      <c r="B224">
        <v>4</v>
      </c>
      <c r="C224">
        <v>3</v>
      </c>
      <c r="D224">
        <v>-1.1419999999999999</v>
      </c>
      <c r="E224" s="2">
        <f t="shared" si="15"/>
        <v>-1</v>
      </c>
      <c r="F224" s="2">
        <f t="shared" si="16"/>
        <v>378</v>
      </c>
      <c r="G224">
        <v>-1.593</v>
      </c>
      <c r="H224">
        <v>0.36499999999999999</v>
      </c>
      <c r="I224">
        <v>0.28599999999999998</v>
      </c>
      <c r="J224">
        <v>0.23400000000000001</v>
      </c>
      <c r="K224">
        <v>0.13400000000000001</v>
      </c>
      <c r="L224">
        <v>-99.998999999999995</v>
      </c>
      <c r="M224">
        <v>-99.998999999999995</v>
      </c>
      <c r="Q224" s="2">
        <f t="shared" si="17"/>
        <v>-1.9411965414979027</v>
      </c>
      <c r="T224" s="2">
        <f t="shared" si="18"/>
        <v>123660.86350103581</v>
      </c>
      <c r="W224" s="2">
        <f t="shared" si="19"/>
        <v>123660.86350103581</v>
      </c>
    </row>
    <row r="225" spans="1:23">
      <c r="A225">
        <v>1218</v>
      </c>
      <c r="B225">
        <v>4</v>
      </c>
      <c r="C225">
        <v>3</v>
      </c>
      <c r="D225">
        <v>0.76200000000000001</v>
      </c>
      <c r="E225" s="2">
        <f t="shared" si="15"/>
        <v>1</v>
      </c>
      <c r="F225" s="2">
        <f t="shared" si="16"/>
        <v>690</v>
      </c>
      <c r="G225">
        <v>-1.458</v>
      </c>
      <c r="H225">
        <v>0.36499999999999999</v>
      </c>
      <c r="I225">
        <v>0.28599999999999998</v>
      </c>
      <c r="J225">
        <v>0.23400000000000001</v>
      </c>
      <c r="K225">
        <v>0.13400000000000001</v>
      </c>
      <c r="L225">
        <v>-99.998999999999995</v>
      </c>
      <c r="M225">
        <v>-99.998999999999995</v>
      </c>
      <c r="Q225" s="2">
        <f t="shared" si="17"/>
        <v>-1.428831825159808</v>
      </c>
      <c r="T225" s="2">
        <f t="shared" si="18"/>
        <v>166894.38070087857</v>
      </c>
      <c r="W225" s="2">
        <f t="shared" si="19"/>
        <v>166894.38070087857</v>
      </c>
    </row>
    <row r="226" spans="1:23">
      <c r="A226">
        <v>1219</v>
      </c>
      <c r="B226">
        <v>4</v>
      </c>
      <c r="C226">
        <v>3</v>
      </c>
      <c r="D226">
        <v>1.5509999999999999</v>
      </c>
      <c r="E226" s="2">
        <f t="shared" si="15"/>
        <v>1.5</v>
      </c>
      <c r="F226" s="2">
        <f t="shared" si="16"/>
        <v>809</v>
      </c>
      <c r="G226">
        <v>-1.369</v>
      </c>
      <c r="H226">
        <v>0.36499999999999999</v>
      </c>
      <c r="I226">
        <v>0.28599999999999998</v>
      </c>
      <c r="J226">
        <v>0.23400000000000001</v>
      </c>
      <c r="K226">
        <v>0.13400000000000001</v>
      </c>
      <c r="L226">
        <v>-99.998999999999995</v>
      </c>
      <c r="M226">
        <v>-99.998999999999995</v>
      </c>
      <c r="Q226" s="2">
        <f t="shared" si="17"/>
        <v>-1.2165126228537382</v>
      </c>
      <c r="T226" s="2">
        <f t="shared" si="18"/>
        <v>184809.95059093944</v>
      </c>
      <c r="W226" s="2">
        <f t="shared" si="19"/>
        <v>184809.95059093944</v>
      </c>
    </row>
    <row r="227" spans="1:23">
      <c r="A227">
        <v>1220</v>
      </c>
      <c r="B227">
        <v>4</v>
      </c>
      <c r="C227">
        <v>3</v>
      </c>
      <c r="D227">
        <v>3.5000000000000003E-2</v>
      </c>
      <c r="E227" s="2">
        <f t="shared" si="15"/>
        <v>0</v>
      </c>
      <c r="F227" s="2">
        <f t="shared" si="16"/>
        <v>571</v>
      </c>
      <c r="G227">
        <v>-1.3380000000000001</v>
      </c>
      <c r="H227">
        <v>0.36499999999999999</v>
      </c>
      <c r="I227">
        <v>0.28599999999999998</v>
      </c>
      <c r="J227">
        <v>0.23400000000000001</v>
      </c>
      <c r="K227">
        <v>0.13400000000000001</v>
      </c>
      <c r="L227">
        <v>-99.998999999999995</v>
      </c>
      <c r="M227">
        <v>-99.998999999999995</v>
      </c>
      <c r="Q227" s="2">
        <f t="shared" si="17"/>
        <v>-1.6244668822910027</v>
      </c>
      <c r="T227" s="2">
        <f t="shared" si="18"/>
        <v>150386.62492131675</v>
      </c>
      <c r="W227" s="2">
        <f t="shared" si="19"/>
        <v>150386.62492131675</v>
      </c>
    </row>
    <row r="228" spans="1:23">
      <c r="A228">
        <v>1221</v>
      </c>
      <c r="B228">
        <v>4</v>
      </c>
      <c r="C228">
        <v>3</v>
      </c>
      <c r="D228">
        <v>-2.6840000000000002</v>
      </c>
      <c r="E228" s="2">
        <f t="shared" si="15"/>
        <v>-2.5</v>
      </c>
      <c r="F228" s="2">
        <f t="shared" si="16"/>
        <v>152</v>
      </c>
      <c r="G228">
        <v>-1.3520000000000001</v>
      </c>
      <c r="H228">
        <v>0.36499999999999999</v>
      </c>
      <c r="I228">
        <v>0.28599999999999998</v>
      </c>
      <c r="J228">
        <v>0.23400000000000001</v>
      </c>
      <c r="K228">
        <v>0.13400000000000001</v>
      </c>
      <c r="L228">
        <v>-99.998999999999995</v>
      </c>
      <c r="M228">
        <v>-99.998999999999995</v>
      </c>
      <c r="Q228" s="2">
        <f t="shared" si="17"/>
        <v>-2.3561473779439859</v>
      </c>
      <c r="T228" s="2">
        <f t="shared" si="18"/>
        <v>88647.164172171557</v>
      </c>
      <c r="W228" s="2">
        <f t="shared" si="19"/>
        <v>88647.164172171557</v>
      </c>
    </row>
    <row r="229" spans="1:23">
      <c r="A229">
        <v>1222</v>
      </c>
      <c r="B229">
        <v>4</v>
      </c>
      <c r="C229">
        <v>3</v>
      </c>
      <c r="D229">
        <v>-1.5649999999999999</v>
      </c>
      <c r="E229" s="2">
        <f t="shared" si="15"/>
        <v>-1.5</v>
      </c>
      <c r="F229" s="2">
        <f t="shared" si="16"/>
        <v>313</v>
      </c>
      <c r="G229">
        <v>-1.3859999999999999</v>
      </c>
      <c r="H229">
        <v>0.36499999999999999</v>
      </c>
      <c r="I229">
        <v>0.28599999999999998</v>
      </c>
      <c r="J229">
        <v>0.23400000000000001</v>
      </c>
      <c r="K229">
        <v>0.13400000000000001</v>
      </c>
      <c r="L229">
        <v>-99.998999999999995</v>
      </c>
      <c r="M229">
        <v>-99.998999999999995</v>
      </c>
      <c r="Q229" s="2">
        <f t="shared" si="17"/>
        <v>-2.0550254674490658</v>
      </c>
      <c r="T229" s="2">
        <f t="shared" si="18"/>
        <v>114055.9381987598</v>
      </c>
      <c r="W229" s="2">
        <f t="shared" si="19"/>
        <v>114055.9381987598</v>
      </c>
    </row>
    <row r="230" spans="1:23">
      <c r="A230">
        <v>1223</v>
      </c>
      <c r="B230">
        <v>4</v>
      </c>
      <c r="C230">
        <v>3</v>
      </c>
      <c r="D230">
        <v>-2.6429999999999998</v>
      </c>
      <c r="E230" s="2">
        <f t="shared" si="15"/>
        <v>-2.5</v>
      </c>
      <c r="F230" s="2">
        <f t="shared" si="16"/>
        <v>159</v>
      </c>
      <c r="G230">
        <v>-1.4219999999999999</v>
      </c>
      <c r="H230">
        <v>0.36499999999999999</v>
      </c>
      <c r="I230">
        <v>0.28599999999999998</v>
      </c>
      <c r="J230">
        <v>0.23400000000000001</v>
      </c>
      <c r="K230">
        <v>0.13400000000000001</v>
      </c>
      <c r="L230">
        <v>-99.998999999999995</v>
      </c>
      <c r="M230">
        <v>-99.998999999999995</v>
      </c>
      <c r="Q230" s="2">
        <f t="shared" si="17"/>
        <v>-2.3451143141993107</v>
      </c>
      <c r="T230" s="2">
        <f t="shared" si="18"/>
        <v>89578.138019437058</v>
      </c>
      <c r="W230" s="2">
        <f t="shared" si="19"/>
        <v>89578.138019437058</v>
      </c>
    </row>
    <row r="231" spans="1:23">
      <c r="A231">
        <v>1224</v>
      </c>
      <c r="B231">
        <v>4</v>
      </c>
      <c r="C231">
        <v>3</v>
      </c>
      <c r="D231">
        <v>-3.5619999999999998</v>
      </c>
      <c r="E231" s="2">
        <f t="shared" si="15"/>
        <v>-3.5</v>
      </c>
      <c r="F231" s="2">
        <f t="shared" si="16"/>
        <v>73</v>
      </c>
      <c r="G231">
        <v>-1.448</v>
      </c>
      <c r="H231">
        <v>0.36499999999999999</v>
      </c>
      <c r="I231">
        <v>0.28599999999999998</v>
      </c>
      <c r="J231">
        <v>0.23400000000000001</v>
      </c>
      <c r="K231">
        <v>0.13400000000000001</v>
      </c>
      <c r="L231">
        <v>-99.998999999999995</v>
      </c>
      <c r="M231">
        <v>-99.998999999999995</v>
      </c>
      <c r="Q231" s="2">
        <f t="shared" si="17"/>
        <v>-2.5924164015494728</v>
      </c>
      <c r="T231" s="2">
        <f t="shared" si="18"/>
        <v>68710.699833168444</v>
      </c>
      <c r="W231" s="2">
        <f t="shared" si="19"/>
        <v>68710.699833168444</v>
      </c>
    </row>
    <row r="232" spans="1:23">
      <c r="A232">
        <v>1225</v>
      </c>
      <c r="B232">
        <v>4</v>
      </c>
      <c r="C232">
        <v>3</v>
      </c>
      <c r="D232">
        <v>-2.4710000000000001</v>
      </c>
      <c r="E232" s="2">
        <f t="shared" si="15"/>
        <v>-2.5</v>
      </c>
      <c r="F232" s="2">
        <f t="shared" si="16"/>
        <v>181</v>
      </c>
      <c r="G232">
        <v>-1.4630000000000001</v>
      </c>
      <c r="H232">
        <v>0.36499999999999999</v>
      </c>
      <c r="I232">
        <v>0.28599999999999998</v>
      </c>
      <c r="J232">
        <v>0.23400000000000001</v>
      </c>
      <c r="K232">
        <v>0.13400000000000001</v>
      </c>
      <c r="L232">
        <v>-99.998999999999995</v>
      </c>
      <c r="M232">
        <v>-99.998999999999995</v>
      </c>
      <c r="Q232" s="2">
        <f t="shared" si="17"/>
        <v>-2.2988292662948187</v>
      </c>
      <c r="T232" s="2">
        <f t="shared" si="18"/>
        <v>93483.686842111958</v>
      </c>
      <c r="W232" s="2">
        <f t="shared" si="19"/>
        <v>93483.686842111958</v>
      </c>
    </row>
    <row r="233" spans="1:23">
      <c r="A233">
        <v>1226</v>
      </c>
      <c r="B233">
        <v>4</v>
      </c>
      <c r="C233">
        <v>3</v>
      </c>
      <c r="D233">
        <v>-0.71199999999999997</v>
      </c>
      <c r="E233" s="2">
        <f t="shared" si="15"/>
        <v>-0.5</v>
      </c>
      <c r="F233" s="2">
        <f t="shared" si="16"/>
        <v>443</v>
      </c>
      <c r="G233">
        <v>-1.482</v>
      </c>
      <c r="H233">
        <v>0.36499999999999999</v>
      </c>
      <c r="I233">
        <v>0.28599999999999998</v>
      </c>
      <c r="J233">
        <v>0.23400000000000001</v>
      </c>
      <c r="K233">
        <v>0.13400000000000001</v>
      </c>
      <c r="L233">
        <v>-99.998999999999995</v>
      </c>
      <c r="M233">
        <v>-99.998999999999995</v>
      </c>
      <c r="Q233" s="2">
        <f t="shared" si="17"/>
        <v>-1.8254839217366734</v>
      </c>
      <c r="T233" s="2">
        <f t="shared" si="18"/>
        <v>133424.73555772298</v>
      </c>
      <c r="W233" s="2">
        <f t="shared" si="19"/>
        <v>133424.73555772298</v>
      </c>
    </row>
    <row r="234" spans="1:23">
      <c r="A234">
        <v>1227</v>
      </c>
      <c r="B234">
        <v>4</v>
      </c>
      <c r="C234">
        <v>3</v>
      </c>
      <c r="D234">
        <v>1.2669999999999999</v>
      </c>
      <c r="E234" s="2">
        <f t="shared" si="15"/>
        <v>1.5</v>
      </c>
      <c r="F234" s="2">
        <f t="shared" si="16"/>
        <v>768</v>
      </c>
      <c r="G234">
        <v>-1.532</v>
      </c>
      <c r="H234">
        <v>0.36499999999999999</v>
      </c>
      <c r="I234">
        <v>0.28599999999999998</v>
      </c>
      <c r="J234">
        <v>0.23400000000000001</v>
      </c>
      <c r="K234">
        <v>0.13400000000000001</v>
      </c>
      <c r="L234">
        <v>-99.998999999999995</v>
      </c>
      <c r="M234">
        <v>-99.998999999999995</v>
      </c>
      <c r="Q234" s="2">
        <f t="shared" si="17"/>
        <v>-1.2929367717192943</v>
      </c>
      <c r="T234" s="2">
        <f t="shared" si="18"/>
        <v>178361.25369768561</v>
      </c>
      <c r="W234" s="2">
        <f t="shared" si="19"/>
        <v>178361.25369768561</v>
      </c>
    </row>
    <row r="235" spans="1:23">
      <c r="A235">
        <v>1228</v>
      </c>
      <c r="B235">
        <v>4</v>
      </c>
      <c r="C235">
        <v>3</v>
      </c>
      <c r="D235">
        <v>1.181</v>
      </c>
      <c r="E235" s="2">
        <f t="shared" si="15"/>
        <v>1</v>
      </c>
      <c r="F235" s="2">
        <f t="shared" si="16"/>
        <v>758</v>
      </c>
      <c r="G235">
        <v>-1.629</v>
      </c>
      <c r="H235">
        <v>0.36499999999999999</v>
      </c>
      <c r="I235">
        <v>0.28599999999999998</v>
      </c>
      <c r="J235">
        <v>0.23400000000000001</v>
      </c>
      <c r="K235">
        <v>0.13400000000000001</v>
      </c>
      <c r="L235">
        <v>-99.998999999999995</v>
      </c>
      <c r="M235">
        <v>-99.998999999999995</v>
      </c>
      <c r="Q235" s="2">
        <f t="shared" si="17"/>
        <v>-1.3160792956715401</v>
      </c>
      <c r="T235" s="2">
        <f t="shared" si="18"/>
        <v>176408.47928634816</v>
      </c>
      <c r="W235" s="2">
        <f t="shared" si="19"/>
        <v>176408.47928634816</v>
      </c>
    </row>
    <row r="236" spans="1:23">
      <c r="A236">
        <v>1229</v>
      </c>
      <c r="B236">
        <v>4</v>
      </c>
      <c r="C236">
        <v>3</v>
      </c>
      <c r="D236">
        <v>-2.81</v>
      </c>
      <c r="E236" s="2">
        <f t="shared" si="15"/>
        <v>-3</v>
      </c>
      <c r="F236" s="2">
        <f t="shared" si="16"/>
        <v>134</v>
      </c>
      <c r="G236">
        <v>-1.766</v>
      </c>
      <c r="H236">
        <v>0.36499999999999999</v>
      </c>
      <c r="I236">
        <v>0.28599999999999998</v>
      </c>
      <c r="J236">
        <v>0.23400000000000001</v>
      </c>
      <c r="K236">
        <v>0.13400000000000001</v>
      </c>
      <c r="L236">
        <v>-99.998999999999995</v>
      </c>
      <c r="M236">
        <v>-99.998999999999995</v>
      </c>
      <c r="Q236" s="2">
        <f t="shared" si="17"/>
        <v>-2.3900538665251831</v>
      </c>
      <c r="T236" s="2">
        <f t="shared" si="18"/>
        <v>85786.122592770203</v>
      </c>
      <c r="W236" s="2">
        <f t="shared" si="19"/>
        <v>85786.122592770203</v>
      </c>
    </row>
    <row r="237" spans="1:23">
      <c r="A237">
        <v>1230</v>
      </c>
      <c r="B237">
        <v>4</v>
      </c>
      <c r="C237">
        <v>3</v>
      </c>
      <c r="D237">
        <v>-2.6669999999999998</v>
      </c>
      <c r="E237" s="2">
        <f t="shared" si="15"/>
        <v>-2.5</v>
      </c>
      <c r="F237" s="2">
        <f t="shared" si="16"/>
        <v>155</v>
      </c>
      <c r="G237">
        <v>-1.9159999999999999</v>
      </c>
      <c r="H237">
        <v>0.36499999999999999</v>
      </c>
      <c r="I237">
        <v>0.28599999999999998</v>
      </c>
      <c r="J237">
        <v>0.23400000000000001</v>
      </c>
      <c r="K237">
        <v>0.13400000000000001</v>
      </c>
      <c r="L237">
        <v>-99.998999999999995</v>
      </c>
      <c r="M237">
        <v>-99.998999999999995</v>
      </c>
      <c r="Q237" s="2">
        <f t="shared" si="17"/>
        <v>-2.3515726929766814</v>
      </c>
      <c r="T237" s="2">
        <f t="shared" si="18"/>
        <v>89033.177718598716</v>
      </c>
      <c r="W237" s="2">
        <f t="shared" si="19"/>
        <v>89033.177718598716</v>
      </c>
    </row>
    <row r="238" spans="1:23">
      <c r="A238">
        <v>1231</v>
      </c>
      <c r="B238">
        <v>4</v>
      </c>
      <c r="C238">
        <v>3</v>
      </c>
      <c r="D238">
        <v>-2.9860000000000002</v>
      </c>
      <c r="E238" s="2">
        <f t="shared" si="15"/>
        <v>-3</v>
      </c>
      <c r="F238" s="2">
        <f t="shared" si="16"/>
        <v>113</v>
      </c>
      <c r="G238">
        <v>-2.0539999999999998</v>
      </c>
      <c r="H238">
        <v>0.36499999999999999</v>
      </c>
      <c r="I238">
        <v>0.28599999999999998</v>
      </c>
      <c r="J238">
        <v>0.23400000000000001</v>
      </c>
      <c r="K238">
        <v>0.13400000000000001</v>
      </c>
      <c r="L238">
        <v>-99.998999999999995</v>
      </c>
      <c r="M238">
        <v>-99.998999999999995</v>
      </c>
      <c r="Q238" s="2">
        <f t="shared" si="17"/>
        <v>-2.4374153108925705</v>
      </c>
      <c r="T238" s="2">
        <f t="shared" si="18"/>
        <v>81789.747053288913</v>
      </c>
      <c r="W238" s="2">
        <f t="shared" si="19"/>
        <v>81789.747053288913</v>
      </c>
    </row>
    <row r="239" spans="1:23">
      <c r="A239">
        <v>1232</v>
      </c>
      <c r="B239">
        <v>4</v>
      </c>
      <c r="C239">
        <v>3</v>
      </c>
      <c r="D239">
        <v>-3.58</v>
      </c>
      <c r="E239" s="2">
        <f t="shared" si="15"/>
        <v>-3.5</v>
      </c>
      <c r="F239" s="2">
        <f t="shared" si="16"/>
        <v>70</v>
      </c>
      <c r="G239">
        <v>-2.1640000000000001</v>
      </c>
      <c r="H239">
        <v>0.36499999999999999</v>
      </c>
      <c r="I239">
        <v>0.28599999999999998</v>
      </c>
      <c r="J239">
        <v>0.23400000000000001</v>
      </c>
      <c r="K239">
        <v>0.13400000000000001</v>
      </c>
      <c r="L239">
        <v>-99.998999999999995</v>
      </c>
      <c r="M239">
        <v>-99.998999999999995</v>
      </c>
      <c r="Q239" s="2">
        <f t="shared" si="17"/>
        <v>-2.5972601856325013</v>
      </c>
      <c r="T239" s="2">
        <f t="shared" si="18"/>
        <v>68301.979607539659</v>
      </c>
      <c r="W239" s="2">
        <f t="shared" si="19"/>
        <v>68301.979607539659</v>
      </c>
    </row>
    <row r="240" spans="1:23">
      <c r="A240">
        <v>1233</v>
      </c>
      <c r="B240">
        <v>4</v>
      </c>
      <c r="C240">
        <v>3</v>
      </c>
      <c r="D240">
        <v>-3.7349999999999999</v>
      </c>
      <c r="E240" s="2">
        <f t="shared" si="15"/>
        <v>-3.5</v>
      </c>
      <c r="F240" s="2">
        <f t="shared" si="16"/>
        <v>57</v>
      </c>
      <c r="G240">
        <v>-2.2389999999999999</v>
      </c>
      <c r="H240">
        <v>0.36499999999999999</v>
      </c>
      <c r="I240">
        <v>0.28599999999999998</v>
      </c>
      <c r="J240">
        <v>0.23400000000000001</v>
      </c>
      <c r="K240">
        <v>0.13400000000000001</v>
      </c>
      <c r="L240">
        <v>-99.998999999999995</v>
      </c>
      <c r="M240">
        <v>-99.998999999999995</v>
      </c>
      <c r="Q240" s="2">
        <f t="shared" si="17"/>
        <v>-2.6389705485696884</v>
      </c>
      <c r="T240" s="2">
        <f t="shared" si="18"/>
        <v>64782.444331291976</v>
      </c>
      <c r="W240" s="2">
        <f t="shared" si="19"/>
        <v>64782.444331291976</v>
      </c>
    </row>
    <row r="241" spans="1:23">
      <c r="A241">
        <v>1234</v>
      </c>
      <c r="B241">
        <v>4</v>
      </c>
      <c r="C241">
        <v>3</v>
      </c>
      <c r="D241">
        <v>-1.534</v>
      </c>
      <c r="E241" s="2">
        <f t="shared" si="15"/>
        <v>-1.5</v>
      </c>
      <c r="F241" s="2">
        <f t="shared" si="16"/>
        <v>323</v>
      </c>
      <c r="G241">
        <v>-2.2850000000000001</v>
      </c>
      <c r="H241">
        <v>0.36499999999999999</v>
      </c>
      <c r="I241">
        <v>0.28599999999999998</v>
      </c>
      <c r="J241">
        <v>0.23400000000000001</v>
      </c>
      <c r="K241">
        <v>0.13400000000000001</v>
      </c>
      <c r="L241">
        <v>-99.998999999999995</v>
      </c>
      <c r="M241">
        <v>-99.998999999999995</v>
      </c>
      <c r="Q241" s="2">
        <f t="shared" si="17"/>
        <v>-2.0466833948616281</v>
      </c>
      <c r="T241" s="2">
        <f t="shared" si="18"/>
        <v>114759.84525400936</v>
      </c>
      <c r="W241" s="2">
        <f t="shared" si="19"/>
        <v>114759.84525400936</v>
      </c>
    </row>
    <row r="242" spans="1:23">
      <c r="A242">
        <v>1235</v>
      </c>
      <c r="B242">
        <v>4</v>
      </c>
      <c r="C242">
        <v>3</v>
      </c>
      <c r="D242">
        <v>0.51800000000000002</v>
      </c>
      <c r="E242" s="2">
        <f t="shared" si="15"/>
        <v>0.5</v>
      </c>
      <c r="F242" s="2">
        <f t="shared" si="16"/>
        <v>651</v>
      </c>
      <c r="G242">
        <v>-2.3199999999999998</v>
      </c>
      <c r="H242">
        <v>0.36499999999999999</v>
      </c>
      <c r="I242">
        <v>0.28599999999999998</v>
      </c>
      <c r="J242">
        <v>0.23400000000000001</v>
      </c>
      <c r="K242">
        <v>0.13400000000000001</v>
      </c>
      <c r="L242">
        <v>-99.998999999999995</v>
      </c>
      <c r="M242">
        <v>-99.998999999999995</v>
      </c>
      <c r="Q242" s="2">
        <f t="shared" si="17"/>
        <v>-1.4944920093964125</v>
      </c>
      <c r="T242" s="2">
        <f t="shared" si="18"/>
        <v>161353.95097568864</v>
      </c>
      <c r="W242" s="2">
        <f t="shared" si="19"/>
        <v>161353.95097568864</v>
      </c>
    </row>
    <row r="243" spans="1:23">
      <c r="A243">
        <v>1236</v>
      </c>
      <c r="B243">
        <v>4</v>
      </c>
      <c r="C243">
        <v>3</v>
      </c>
      <c r="D243">
        <v>-4.0709999999999997</v>
      </c>
      <c r="E243" s="2">
        <f t="shared" si="15"/>
        <v>-4</v>
      </c>
      <c r="F243" s="2">
        <f t="shared" si="16"/>
        <v>33</v>
      </c>
      <c r="G243">
        <v>-2.3530000000000002</v>
      </c>
      <c r="H243">
        <v>0.36499999999999999</v>
      </c>
      <c r="I243">
        <v>0.28599999999999998</v>
      </c>
      <c r="J243">
        <v>0.23400000000000001</v>
      </c>
      <c r="K243">
        <v>0.13400000000000001</v>
      </c>
      <c r="L243">
        <v>-99.998999999999995</v>
      </c>
      <c r="M243">
        <v>-99.998999999999995</v>
      </c>
      <c r="Q243" s="2">
        <f t="shared" si="17"/>
        <v>-2.7293878514528815</v>
      </c>
      <c r="T243" s="2">
        <f t="shared" si="18"/>
        <v>57153.000119555014</v>
      </c>
      <c r="W243" s="2">
        <f t="shared" si="19"/>
        <v>57153.000119555014</v>
      </c>
    </row>
    <row r="244" spans="1:23">
      <c r="A244">
        <v>1237</v>
      </c>
      <c r="B244">
        <v>4</v>
      </c>
      <c r="C244">
        <v>3</v>
      </c>
      <c r="D244">
        <v>-0.85199999999999998</v>
      </c>
      <c r="E244" s="2">
        <f t="shared" si="15"/>
        <v>-1</v>
      </c>
      <c r="F244" s="2">
        <f t="shared" si="16"/>
        <v>414</v>
      </c>
      <c r="G244">
        <v>-2.3780000000000001</v>
      </c>
      <c r="H244">
        <v>0.36499999999999999</v>
      </c>
      <c r="I244">
        <v>0.28599999999999998</v>
      </c>
      <c r="J244">
        <v>0.23400000000000001</v>
      </c>
      <c r="K244">
        <v>0.13400000000000001</v>
      </c>
      <c r="L244">
        <v>-99.998999999999995</v>
      </c>
      <c r="M244">
        <v>-99.998999999999995</v>
      </c>
      <c r="Q244" s="2">
        <f t="shared" si="17"/>
        <v>-1.8631577979380038</v>
      </c>
      <c r="T244" s="2">
        <f t="shared" si="18"/>
        <v>130245.80046949926</v>
      </c>
      <c r="W244" s="2">
        <f t="shared" si="19"/>
        <v>130245.80046949926</v>
      </c>
    </row>
    <row r="245" spans="1:23">
      <c r="A245">
        <v>1238</v>
      </c>
      <c r="B245">
        <v>4</v>
      </c>
      <c r="C245">
        <v>3</v>
      </c>
      <c r="D245">
        <v>-1.7170000000000001</v>
      </c>
      <c r="E245" s="2">
        <f t="shared" si="15"/>
        <v>-1.5</v>
      </c>
      <c r="F245" s="2">
        <f t="shared" si="16"/>
        <v>289</v>
      </c>
      <c r="G245">
        <v>-2.3919999999999999</v>
      </c>
      <c r="H245">
        <v>0.36499999999999999</v>
      </c>
      <c r="I245">
        <v>0.28599999999999998</v>
      </c>
      <c r="J245">
        <v>0.23400000000000001</v>
      </c>
      <c r="K245">
        <v>0.13400000000000001</v>
      </c>
      <c r="L245">
        <v>-99.998999999999995</v>
      </c>
      <c r="M245">
        <v>-99.998999999999995</v>
      </c>
      <c r="Q245" s="2">
        <f t="shared" si="17"/>
        <v>-2.0959285330390816</v>
      </c>
      <c r="T245" s="2">
        <f t="shared" si="18"/>
        <v>110604.52296011691</v>
      </c>
      <c r="W245" s="2">
        <f t="shared" si="19"/>
        <v>110604.52296011691</v>
      </c>
    </row>
    <row r="246" spans="1:23">
      <c r="A246">
        <v>1239</v>
      </c>
      <c r="B246">
        <v>4</v>
      </c>
      <c r="C246">
        <v>3</v>
      </c>
      <c r="D246">
        <v>-2.9420000000000002</v>
      </c>
      <c r="E246" s="2">
        <f t="shared" si="15"/>
        <v>-3</v>
      </c>
      <c r="F246" s="2">
        <f t="shared" si="16"/>
        <v>118</v>
      </c>
      <c r="G246">
        <v>-2.3839999999999999</v>
      </c>
      <c r="H246">
        <v>0.36499999999999999</v>
      </c>
      <c r="I246">
        <v>0.28599999999999998</v>
      </c>
      <c r="J246">
        <v>0.23400000000000001</v>
      </c>
      <c r="K246">
        <v>0.13400000000000001</v>
      </c>
      <c r="L246">
        <v>-99.998999999999995</v>
      </c>
      <c r="M246">
        <v>-99.998999999999995</v>
      </c>
      <c r="Q246" s="2">
        <f t="shared" si="17"/>
        <v>-2.4255749498007235</v>
      </c>
      <c r="T246" s="2">
        <f t="shared" si="18"/>
        <v>82788.840938159236</v>
      </c>
      <c r="W246" s="2">
        <f t="shared" si="19"/>
        <v>82788.840938159236</v>
      </c>
    </row>
    <row r="247" spans="1:23">
      <c r="A247">
        <v>1240</v>
      </c>
      <c r="B247">
        <v>4</v>
      </c>
      <c r="C247">
        <v>3</v>
      </c>
      <c r="D247">
        <v>-5.7539999999999996</v>
      </c>
      <c r="E247" s="2">
        <f t="shared" si="15"/>
        <v>-6</v>
      </c>
      <c r="F247" s="2">
        <f t="shared" si="16"/>
        <v>6</v>
      </c>
      <c r="G247">
        <v>-2.3380000000000001</v>
      </c>
      <c r="H247">
        <v>0.36499999999999999</v>
      </c>
      <c r="I247">
        <v>0.28599999999999998</v>
      </c>
      <c r="J247">
        <v>0.23400000000000001</v>
      </c>
      <c r="K247">
        <v>0.13400000000000001</v>
      </c>
      <c r="L247">
        <v>-99.998999999999995</v>
      </c>
      <c r="M247">
        <v>-99.998999999999995</v>
      </c>
      <c r="Q247" s="2">
        <f t="shared" si="17"/>
        <v>-3.1822816632160187</v>
      </c>
      <c r="T247" s="2">
        <f t="shared" si="18"/>
        <v>18937.659023265471</v>
      </c>
      <c r="W247" s="2">
        <f t="shared" si="19"/>
        <v>18937.659023265471</v>
      </c>
    </row>
    <row r="248" spans="1:23">
      <c r="A248">
        <v>1241</v>
      </c>
      <c r="B248">
        <v>4</v>
      </c>
      <c r="C248">
        <v>3</v>
      </c>
      <c r="D248">
        <v>-3.6459999999999999</v>
      </c>
      <c r="E248" s="2">
        <f t="shared" si="15"/>
        <v>-3.5</v>
      </c>
      <c r="F248" s="2">
        <f t="shared" si="16"/>
        <v>65</v>
      </c>
      <c r="G248">
        <v>-2.2429999999999999</v>
      </c>
      <c r="H248">
        <v>0.36499999999999999</v>
      </c>
      <c r="I248">
        <v>0.28599999999999998</v>
      </c>
      <c r="J248">
        <v>0.23400000000000001</v>
      </c>
      <c r="K248">
        <v>0.13400000000000001</v>
      </c>
      <c r="L248">
        <v>-99.998999999999995</v>
      </c>
      <c r="M248">
        <v>-99.998999999999995</v>
      </c>
      <c r="Q248" s="2">
        <f t="shared" si="17"/>
        <v>-2.615020727270271</v>
      </c>
      <c r="T248" s="2">
        <f t="shared" si="18"/>
        <v>66803.338780234189</v>
      </c>
      <c r="W248" s="2">
        <f t="shared" si="19"/>
        <v>66803.338780234189</v>
      </c>
    </row>
    <row r="249" spans="1:23">
      <c r="A249">
        <v>1242</v>
      </c>
      <c r="B249">
        <v>4</v>
      </c>
      <c r="C249">
        <v>3</v>
      </c>
      <c r="D249">
        <v>-0.77500000000000002</v>
      </c>
      <c r="E249" s="2">
        <f t="shared" si="15"/>
        <v>-1</v>
      </c>
      <c r="F249" s="2">
        <f t="shared" si="16"/>
        <v>427</v>
      </c>
      <c r="G249">
        <v>-2.1179999999999999</v>
      </c>
      <c r="H249">
        <v>0.36499999999999999</v>
      </c>
      <c r="I249">
        <v>0.28599999999999998</v>
      </c>
      <c r="J249">
        <v>0.23400000000000001</v>
      </c>
      <c r="K249">
        <v>0.13400000000000001</v>
      </c>
      <c r="L249">
        <v>-99.998999999999995</v>
      </c>
      <c r="M249">
        <v>-99.998999999999995</v>
      </c>
      <c r="Q249" s="2">
        <f t="shared" si="17"/>
        <v>-1.842437166027272</v>
      </c>
      <c r="T249" s="2">
        <f t="shared" si="18"/>
        <v>131994.2147680223</v>
      </c>
      <c r="W249" s="2">
        <f t="shared" si="19"/>
        <v>131994.2147680223</v>
      </c>
    </row>
    <row r="250" spans="1:23">
      <c r="A250">
        <v>1243</v>
      </c>
      <c r="B250">
        <v>4</v>
      </c>
      <c r="C250">
        <v>3</v>
      </c>
      <c r="D250">
        <v>0.55200000000000005</v>
      </c>
      <c r="E250" s="2">
        <f t="shared" si="15"/>
        <v>0.5</v>
      </c>
      <c r="F250" s="2">
        <f t="shared" si="16"/>
        <v>656</v>
      </c>
      <c r="G250">
        <v>-1.9910000000000001</v>
      </c>
      <c r="H250">
        <v>0.36499999999999999</v>
      </c>
      <c r="I250">
        <v>0.28599999999999998</v>
      </c>
      <c r="J250">
        <v>0.23400000000000001</v>
      </c>
      <c r="K250">
        <v>0.13400000000000001</v>
      </c>
      <c r="L250">
        <v>-99.998999999999995</v>
      </c>
      <c r="M250">
        <v>-99.998999999999995</v>
      </c>
      <c r="Q250" s="2">
        <f t="shared" si="17"/>
        <v>-1.4853426394618037</v>
      </c>
      <c r="T250" s="2">
        <f t="shared" si="18"/>
        <v>162125.97806854296</v>
      </c>
      <c r="W250" s="2">
        <f t="shared" si="19"/>
        <v>162125.97806854296</v>
      </c>
    </row>
    <row r="251" spans="1:23">
      <c r="A251">
        <v>1244</v>
      </c>
      <c r="B251">
        <v>4</v>
      </c>
      <c r="C251">
        <v>3</v>
      </c>
      <c r="D251">
        <v>-1.079</v>
      </c>
      <c r="E251" s="2">
        <f t="shared" si="15"/>
        <v>-1</v>
      </c>
      <c r="F251" s="2">
        <f t="shared" si="16"/>
        <v>382</v>
      </c>
      <c r="G251">
        <v>-1.881</v>
      </c>
      <c r="H251">
        <v>0.36499999999999999</v>
      </c>
      <c r="I251">
        <v>0.28599999999999998</v>
      </c>
      <c r="J251">
        <v>0.23400000000000001</v>
      </c>
      <c r="K251">
        <v>0.13400000000000001</v>
      </c>
      <c r="L251">
        <v>-99.998999999999995</v>
      </c>
      <c r="M251">
        <v>-99.998999999999995</v>
      </c>
      <c r="Q251" s="2">
        <f t="shared" si="17"/>
        <v>-1.924243297207304</v>
      </c>
      <c r="T251" s="2">
        <f t="shared" si="18"/>
        <v>125091.38429073649</v>
      </c>
      <c r="W251" s="2">
        <f t="shared" si="19"/>
        <v>125091.38429073649</v>
      </c>
    </row>
    <row r="252" spans="1:23">
      <c r="A252">
        <v>1245</v>
      </c>
      <c r="B252">
        <v>4</v>
      </c>
      <c r="C252">
        <v>3</v>
      </c>
      <c r="D252">
        <v>-2.0760000000000001</v>
      </c>
      <c r="E252" s="2">
        <f t="shared" si="15"/>
        <v>-2</v>
      </c>
      <c r="F252" s="2">
        <f t="shared" si="16"/>
        <v>234</v>
      </c>
      <c r="G252">
        <v>-1.7849999999999999</v>
      </c>
      <c r="H252">
        <v>0.36499999999999999</v>
      </c>
      <c r="I252">
        <v>0.28599999999999998</v>
      </c>
      <c r="J252">
        <v>0.23400000000000001</v>
      </c>
      <c r="K252">
        <v>0.13400000000000001</v>
      </c>
      <c r="L252">
        <v>-99.998999999999995</v>
      </c>
      <c r="M252">
        <v>-99.998999999999995</v>
      </c>
      <c r="Q252" s="2">
        <f t="shared" si="17"/>
        <v>-2.1925351155839219</v>
      </c>
      <c r="T252" s="2">
        <f t="shared" si="18"/>
        <v>102452.82512674321</v>
      </c>
      <c r="W252" s="2">
        <f t="shared" si="19"/>
        <v>102452.82512674321</v>
      </c>
    </row>
    <row r="253" spans="1:23">
      <c r="A253">
        <v>1246</v>
      </c>
      <c r="B253">
        <v>4</v>
      </c>
      <c r="C253">
        <v>3</v>
      </c>
      <c r="D253">
        <v>-2.9580000000000002</v>
      </c>
      <c r="E253" s="2">
        <f t="shared" si="15"/>
        <v>-3</v>
      </c>
      <c r="F253" s="2">
        <f t="shared" si="16"/>
        <v>115</v>
      </c>
      <c r="G253">
        <v>-1.694</v>
      </c>
      <c r="H253">
        <v>0.36499999999999999</v>
      </c>
      <c r="I253">
        <v>0.28599999999999998</v>
      </c>
      <c r="J253">
        <v>0.23400000000000001</v>
      </c>
      <c r="K253">
        <v>0.13400000000000001</v>
      </c>
      <c r="L253">
        <v>-99.998999999999995</v>
      </c>
      <c r="M253">
        <v>-99.998999999999995</v>
      </c>
      <c r="Q253" s="2">
        <f t="shared" si="17"/>
        <v>-2.4298805356523041</v>
      </c>
      <c r="T253" s="2">
        <f t="shared" si="18"/>
        <v>82425.534070933674</v>
      </c>
      <c r="W253" s="2">
        <f t="shared" si="19"/>
        <v>82425.534070933674</v>
      </c>
    </row>
    <row r="254" spans="1:23">
      <c r="A254">
        <v>1247</v>
      </c>
      <c r="B254">
        <v>4</v>
      </c>
      <c r="C254">
        <v>3</v>
      </c>
      <c r="D254">
        <v>-2.2080000000000002</v>
      </c>
      <c r="E254" s="2">
        <f t="shared" si="15"/>
        <v>-2</v>
      </c>
      <c r="F254" s="2">
        <f t="shared" si="16"/>
        <v>216</v>
      </c>
      <c r="G254">
        <v>-1.6</v>
      </c>
      <c r="H254">
        <v>0.36499999999999999</v>
      </c>
      <c r="I254">
        <v>0.28599999999999998</v>
      </c>
      <c r="J254">
        <v>0.23400000000000001</v>
      </c>
      <c r="K254">
        <v>0.13400000000000001</v>
      </c>
      <c r="L254">
        <v>-99.998999999999995</v>
      </c>
      <c r="M254">
        <v>-99.998999999999995</v>
      </c>
      <c r="Q254" s="2">
        <f t="shared" si="17"/>
        <v>-2.2280561988594623</v>
      </c>
      <c r="T254" s="2">
        <f t="shared" si="18"/>
        <v>99455.543472132238</v>
      </c>
      <c r="W254" s="2">
        <f t="shared" si="19"/>
        <v>99455.543472132238</v>
      </c>
    </row>
    <row r="255" spans="1:23">
      <c r="A255">
        <v>1248</v>
      </c>
      <c r="B255">
        <v>4</v>
      </c>
      <c r="C255">
        <v>3</v>
      </c>
      <c r="D255">
        <v>-1.7689999999999999</v>
      </c>
      <c r="E255" s="2">
        <f t="shared" si="15"/>
        <v>-2</v>
      </c>
      <c r="F255" s="2">
        <f t="shared" si="16"/>
        <v>282</v>
      </c>
      <c r="G255">
        <v>-1.5049999999999999</v>
      </c>
      <c r="H255">
        <v>0.36499999999999999</v>
      </c>
      <c r="I255">
        <v>0.28599999999999998</v>
      </c>
      <c r="J255">
        <v>0.23400000000000001</v>
      </c>
      <c r="K255">
        <v>0.13400000000000001</v>
      </c>
      <c r="L255">
        <v>-99.998999999999995</v>
      </c>
      <c r="M255">
        <v>-99.998999999999995</v>
      </c>
      <c r="Q255" s="2">
        <f t="shared" si="17"/>
        <v>-2.1099216870567186</v>
      </c>
      <c r="T255" s="2">
        <f t="shared" si="18"/>
        <v>109423.77564163381</v>
      </c>
      <c r="W255" s="2">
        <f t="shared" si="19"/>
        <v>109423.77564163381</v>
      </c>
    </row>
    <row r="256" spans="1:23">
      <c r="A256">
        <v>1249</v>
      </c>
      <c r="B256">
        <v>4</v>
      </c>
      <c r="C256">
        <v>3</v>
      </c>
      <c r="D256">
        <v>-1.1659999999999999</v>
      </c>
      <c r="E256" s="2">
        <f t="shared" si="15"/>
        <v>-1</v>
      </c>
      <c r="F256" s="2">
        <f t="shared" si="16"/>
        <v>374</v>
      </c>
      <c r="G256">
        <v>-1.417</v>
      </c>
      <c r="H256">
        <v>0.36499999999999999</v>
      </c>
      <c r="I256">
        <v>0.28599999999999998</v>
      </c>
      <c r="J256">
        <v>0.23400000000000001</v>
      </c>
      <c r="K256">
        <v>0.13400000000000001</v>
      </c>
      <c r="L256">
        <v>-99.998999999999995</v>
      </c>
      <c r="M256">
        <v>-99.998999999999995</v>
      </c>
      <c r="Q256" s="2">
        <f t="shared" si="17"/>
        <v>-1.9476549202752738</v>
      </c>
      <c r="T256" s="2">
        <f t="shared" si="18"/>
        <v>123115.90320019744</v>
      </c>
      <c r="W256" s="2">
        <f t="shared" si="19"/>
        <v>123115.90320019744</v>
      </c>
    </row>
    <row r="257" spans="1:23">
      <c r="A257">
        <v>1250</v>
      </c>
      <c r="B257">
        <v>4</v>
      </c>
      <c r="C257">
        <v>3</v>
      </c>
      <c r="D257">
        <v>-0.12</v>
      </c>
      <c r="E257" s="2">
        <f t="shared" si="15"/>
        <v>0</v>
      </c>
      <c r="F257" s="2">
        <f t="shared" si="16"/>
        <v>552</v>
      </c>
      <c r="G257">
        <v>-1.347</v>
      </c>
      <c r="H257">
        <v>0.36499999999999999</v>
      </c>
      <c r="I257">
        <v>0.28599999999999998</v>
      </c>
      <c r="J257">
        <v>0.23400000000000001</v>
      </c>
      <c r="K257">
        <v>0.13400000000000001</v>
      </c>
      <c r="L257">
        <v>-99.998999999999995</v>
      </c>
      <c r="M257">
        <v>-99.998999999999995</v>
      </c>
      <c r="Q257" s="2">
        <f t="shared" si="17"/>
        <v>-1.66617724522819</v>
      </c>
      <c r="T257" s="2">
        <f t="shared" si="18"/>
        <v>146867.08964506906</v>
      </c>
      <c r="W257" s="2">
        <f t="shared" si="19"/>
        <v>146867.08964506906</v>
      </c>
    </row>
    <row r="258" spans="1:23">
      <c r="A258">
        <v>1251</v>
      </c>
      <c r="B258">
        <v>4</v>
      </c>
      <c r="C258">
        <v>3</v>
      </c>
      <c r="D258">
        <v>-1.0660000000000001</v>
      </c>
      <c r="E258" s="2">
        <f t="shared" si="15"/>
        <v>-1</v>
      </c>
      <c r="F258" s="2">
        <f t="shared" si="16"/>
        <v>384</v>
      </c>
      <c r="G258">
        <v>-1.3009999999999999</v>
      </c>
      <c r="H258">
        <v>0.36499999999999999</v>
      </c>
      <c r="I258">
        <v>0.28599999999999998</v>
      </c>
      <c r="J258">
        <v>0.23400000000000001</v>
      </c>
      <c r="K258">
        <v>0.13400000000000001</v>
      </c>
      <c r="L258">
        <v>-99.998999999999995</v>
      </c>
      <c r="M258">
        <v>-99.998999999999995</v>
      </c>
      <c r="Q258" s="2">
        <f t="shared" si="17"/>
        <v>-1.9207450087028948</v>
      </c>
      <c r="T258" s="2">
        <f t="shared" si="18"/>
        <v>125386.57112035726</v>
      </c>
      <c r="W258" s="2">
        <f t="shared" si="19"/>
        <v>125386.57112035726</v>
      </c>
    </row>
    <row r="259" spans="1:23">
      <c r="A259">
        <v>1252</v>
      </c>
      <c r="B259">
        <v>4</v>
      </c>
      <c r="C259">
        <v>3</v>
      </c>
      <c r="D259">
        <v>0.92200000000000004</v>
      </c>
      <c r="E259" s="2">
        <f t="shared" ref="E259:E322" si="20">IF(D259&gt;0,MROUND(D259,0.5),MROUND(D259,-0.5))</f>
        <v>1</v>
      </c>
      <c r="F259" s="2">
        <f t="shared" ref="F259:F322" si="21">RANK(D259,$D$3:$D$1011,1)</f>
        <v>715</v>
      </c>
      <c r="G259">
        <v>-1.28</v>
      </c>
      <c r="H259">
        <v>0.36499999999999999</v>
      </c>
      <c r="I259">
        <v>0.28599999999999998</v>
      </c>
      <c r="J259">
        <v>0.23400000000000001</v>
      </c>
      <c r="K259">
        <v>0.13400000000000001</v>
      </c>
      <c r="L259">
        <v>-99.998999999999995</v>
      </c>
      <c r="M259">
        <v>-99.998999999999995</v>
      </c>
      <c r="Q259" s="2">
        <f t="shared" ref="Q259:Q322" si="22">$Q$1022+($Q$1021*D259)</f>
        <v>-1.3857759666440017</v>
      </c>
      <c r="T259" s="2">
        <f t="shared" ref="T259:T322" si="23">$T$1025+(Q259*$T$1024)</f>
        <v>170527.44937313424</v>
      </c>
      <c r="W259" s="2">
        <f t="shared" ref="W259:W322" si="24">$T$1025+(Q259*$T$1024)</f>
        <v>170527.44937313424</v>
      </c>
    </row>
    <row r="260" spans="1:23">
      <c r="A260">
        <v>1253</v>
      </c>
      <c r="B260">
        <v>4</v>
      </c>
      <c r="C260">
        <v>3</v>
      </c>
      <c r="D260">
        <v>4.8000000000000001E-2</v>
      </c>
      <c r="E260" s="2">
        <f t="shared" si="20"/>
        <v>0</v>
      </c>
      <c r="F260" s="2">
        <f t="shared" si="21"/>
        <v>576</v>
      </c>
      <c r="G260">
        <v>-1.274</v>
      </c>
      <c r="H260">
        <v>0.36499999999999999</v>
      </c>
      <c r="I260">
        <v>0.28599999999999998</v>
      </c>
      <c r="J260">
        <v>0.23400000000000001</v>
      </c>
      <c r="K260">
        <v>0.13400000000000001</v>
      </c>
      <c r="L260">
        <v>-99.998999999999995</v>
      </c>
      <c r="M260">
        <v>-99.998999999999995</v>
      </c>
      <c r="Q260" s="2">
        <f t="shared" si="22"/>
        <v>-1.6209685937865934</v>
      </c>
      <c r="T260" s="2">
        <f t="shared" si="23"/>
        <v>150681.81175093754</v>
      </c>
      <c r="W260" s="2">
        <f t="shared" si="24"/>
        <v>150681.81175093754</v>
      </c>
    </row>
    <row r="261" spans="1:23">
      <c r="A261">
        <v>1254</v>
      </c>
      <c r="B261">
        <v>4</v>
      </c>
      <c r="C261">
        <v>3</v>
      </c>
      <c r="D261">
        <v>-2.274</v>
      </c>
      <c r="E261" s="2">
        <f t="shared" si="20"/>
        <v>-2.5</v>
      </c>
      <c r="F261" s="2">
        <f t="shared" si="21"/>
        <v>208</v>
      </c>
      <c r="G261">
        <v>-1.258</v>
      </c>
      <c r="H261">
        <v>0.36499999999999999</v>
      </c>
      <c r="I261">
        <v>0.28599999999999998</v>
      </c>
      <c r="J261">
        <v>0.23400000000000001</v>
      </c>
      <c r="K261">
        <v>0.13400000000000001</v>
      </c>
      <c r="L261">
        <v>-99.998999999999995</v>
      </c>
      <c r="M261">
        <v>-99.998999999999995</v>
      </c>
      <c r="Q261" s="2">
        <f t="shared" si="22"/>
        <v>-2.245816740497232</v>
      </c>
      <c r="T261" s="2">
        <f t="shared" si="23"/>
        <v>97956.902644826798</v>
      </c>
      <c r="W261" s="2">
        <f t="shared" si="24"/>
        <v>97956.902644826798</v>
      </c>
    </row>
    <row r="262" spans="1:23">
      <c r="A262">
        <v>1255</v>
      </c>
      <c r="B262">
        <v>5</v>
      </c>
      <c r="C262">
        <v>3</v>
      </c>
      <c r="D262">
        <v>-4.4550000000000001</v>
      </c>
      <c r="E262" s="2">
        <f t="shared" si="20"/>
        <v>-4.5</v>
      </c>
      <c r="F262" s="2">
        <f t="shared" si="21"/>
        <v>17</v>
      </c>
      <c r="G262">
        <v>-1.1970000000000001</v>
      </c>
      <c r="H262">
        <v>0.54700000000000004</v>
      </c>
      <c r="I262">
        <v>0.433</v>
      </c>
      <c r="J262">
        <v>0.38200000000000001</v>
      </c>
      <c r="K262">
        <v>0.28199999999999997</v>
      </c>
      <c r="L262">
        <v>-99.998999999999995</v>
      </c>
      <c r="M262">
        <v>-99.998999999999995</v>
      </c>
      <c r="Q262" s="2">
        <f t="shared" si="22"/>
        <v>-2.8327219118908165</v>
      </c>
      <c r="T262" s="2">
        <f t="shared" si="23"/>
        <v>48433.635306141368</v>
      </c>
      <c r="W262" s="2">
        <f t="shared" si="24"/>
        <v>48433.635306141368</v>
      </c>
    </row>
    <row r="263" spans="1:23">
      <c r="A263">
        <v>1256</v>
      </c>
      <c r="B263">
        <v>5</v>
      </c>
      <c r="C263">
        <v>3</v>
      </c>
      <c r="D263">
        <v>-3.512</v>
      </c>
      <c r="E263" s="2">
        <f t="shared" si="20"/>
        <v>-3.5</v>
      </c>
      <c r="F263" s="2">
        <f t="shared" si="21"/>
        <v>76</v>
      </c>
      <c r="G263">
        <v>-1.0640000000000001</v>
      </c>
      <c r="H263">
        <v>0.54700000000000004</v>
      </c>
      <c r="I263">
        <v>0.433</v>
      </c>
      <c r="J263">
        <v>0.38200000000000001</v>
      </c>
      <c r="K263">
        <v>0.28199999999999997</v>
      </c>
      <c r="L263">
        <v>-99.998999999999995</v>
      </c>
      <c r="M263">
        <v>-99.998999999999995</v>
      </c>
      <c r="Q263" s="2">
        <f t="shared" si="22"/>
        <v>-2.5789614457632837</v>
      </c>
      <c r="T263" s="2">
        <f t="shared" si="23"/>
        <v>69846.033793248323</v>
      </c>
      <c r="W263" s="2">
        <f t="shared" si="24"/>
        <v>69846.033793248323</v>
      </c>
    </row>
    <row r="264" spans="1:23">
      <c r="A264">
        <v>1257</v>
      </c>
      <c r="B264">
        <v>5</v>
      </c>
      <c r="C264">
        <v>3</v>
      </c>
      <c r="D264">
        <v>4.0000000000000001E-3</v>
      </c>
      <c r="E264" s="2">
        <f t="shared" si="20"/>
        <v>0</v>
      </c>
      <c r="F264" s="2">
        <f t="shared" si="21"/>
        <v>567</v>
      </c>
      <c r="G264">
        <v>-0.86</v>
      </c>
      <c r="H264">
        <v>0.54700000000000004</v>
      </c>
      <c r="I264">
        <v>0.433</v>
      </c>
      <c r="J264">
        <v>0.38200000000000001</v>
      </c>
      <c r="K264">
        <v>0.28199999999999997</v>
      </c>
      <c r="L264">
        <v>-99.998999999999995</v>
      </c>
      <c r="M264">
        <v>-99.998999999999995</v>
      </c>
      <c r="Q264" s="2">
        <f t="shared" si="22"/>
        <v>-1.6328089548784401</v>
      </c>
      <c r="T264" s="2">
        <f t="shared" si="23"/>
        <v>149682.71786606722</v>
      </c>
      <c r="W264" s="2">
        <f t="shared" si="24"/>
        <v>149682.71786606722</v>
      </c>
    </row>
    <row r="265" spans="1:23">
      <c r="A265">
        <v>1258</v>
      </c>
      <c r="B265">
        <v>5</v>
      </c>
      <c r="C265">
        <v>3</v>
      </c>
      <c r="D265">
        <v>-0.753</v>
      </c>
      <c r="E265" s="2">
        <f t="shared" si="20"/>
        <v>-1</v>
      </c>
      <c r="F265" s="2">
        <f t="shared" si="21"/>
        <v>431</v>
      </c>
      <c r="G265">
        <v>-0.60599999999999998</v>
      </c>
      <c r="H265">
        <v>0.54700000000000004</v>
      </c>
      <c r="I265">
        <v>0.433</v>
      </c>
      <c r="J265">
        <v>0.38200000000000001</v>
      </c>
      <c r="K265">
        <v>0.28199999999999997</v>
      </c>
      <c r="L265">
        <v>-99.998999999999995</v>
      </c>
      <c r="M265">
        <v>-99.998999999999995</v>
      </c>
      <c r="Q265" s="2">
        <f t="shared" si="22"/>
        <v>-1.8365169854813488</v>
      </c>
      <c r="T265" s="2">
        <f t="shared" si="23"/>
        <v>132493.76171045745</v>
      </c>
      <c r="W265" s="2">
        <f t="shared" si="24"/>
        <v>132493.76171045745</v>
      </c>
    </row>
    <row r="266" spans="1:23">
      <c r="A266">
        <v>1259</v>
      </c>
      <c r="B266">
        <v>5</v>
      </c>
      <c r="C266">
        <v>3</v>
      </c>
      <c r="D266">
        <v>0.90300000000000002</v>
      </c>
      <c r="E266" s="2">
        <f t="shared" si="20"/>
        <v>1</v>
      </c>
      <c r="F266" s="2">
        <f t="shared" si="21"/>
        <v>712</v>
      </c>
      <c r="G266">
        <v>-0.32</v>
      </c>
      <c r="H266">
        <v>0.54700000000000004</v>
      </c>
      <c r="I266">
        <v>0.433</v>
      </c>
      <c r="J266">
        <v>0.38200000000000001</v>
      </c>
      <c r="K266">
        <v>0.28199999999999997</v>
      </c>
      <c r="L266">
        <v>-99.998999999999995</v>
      </c>
      <c r="M266">
        <v>-99.998999999999995</v>
      </c>
      <c r="Q266" s="2">
        <f t="shared" si="22"/>
        <v>-1.3908888498427536</v>
      </c>
      <c r="T266" s="2">
        <f t="shared" si="23"/>
        <v>170096.02246830391</v>
      </c>
      <c r="W266" s="2">
        <f t="shared" si="24"/>
        <v>170096.02246830391</v>
      </c>
    </row>
    <row r="267" spans="1:23">
      <c r="A267">
        <v>1260</v>
      </c>
      <c r="B267">
        <v>5</v>
      </c>
      <c r="C267">
        <v>3</v>
      </c>
      <c r="D267">
        <v>-0.54600000000000004</v>
      </c>
      <c r="E267" s="2">
        <f t="shared" si="20"/>
        <v>-0.5</v>
      </c>
      <c r="F267" s="2">
        <f t="shared" si="21"/>
        <v>474</v>
      </c>
      <c r="G267">
        <v>-2.1000000000000001E-2</v>
      </c>
      <c r="H267">
        <v>0.54700000000000004</v>
      </c>
      <c r="I267">
        <v>0.433</v>
      </c>
      <c r="J267">
        <v>0.38200000000000001</v>
      </c>
      <c r="K267">
        <v>0.28199999999999997</v>
      </c>
      <c r="L267">
        <v>-99.998999999999995</v>
      </c>
      <c r="M267">
        <v>-99.998999999999995</v>
      </c>
      <c r="Q267" s="2">
        <f t="shared" si="22"/>
        <v>-1.7808134685265244</v>
      </c>
      <c r="T267" s="2">
        <f t="shared" si="23"/>
        <v>137194.04430518826</v>
      </c>
      <c r="W267" s="2">
        <f t="shared" si="24"/>
        <v>137194.04430518826</v>
      </c>
    </row>
    <row r="268" spans="1:23">
      <c r="A268">
        <v>1261</v>
      </c>
      <c r="B268">
        <v>5</v>
      </c>
      <c r="C268">
        <v>3</v>
      </c>
      <c r="D268">
        <v>-0.77600000000000002</v>
      </c>
      <c r="E268" s="2">
        <f t="shared" si="20"/>
        <v>-1</v>
      </c>
      <c r="F268" s="2">
        <f t="shared" si="21"/>
        <v>426</v>
      </c>
      <c r="G268">
        <v>0.28399999999999997</v>
      </c>
      <c r="H268">
        <v>0.54700000000000004</v>
      </c>
      <c r="I268">
        <v>0.433</v>
      </c>
      <c r="J268">
        <v>0.38200000000000001</v>
      </c>
      <c r="K268">
        <v>0.28199999999999997</v>
      </c>
      <c r="L268">
        <v>-99.998999999999995</v>
      </c>
      <c r="M268">
        <v>-99.998999999999995</v>
      </c>
      <c r="Q268" s="2">
        <f t="shared" si="22"/>
        <v>-1.842706265142996</v>
      </c>
      <c r="T268" s="2">
        <f t="shared" si="23"/>
        <v>131971.5080888207</v>
      </c>
      <c r="W268" s="2">
        <f t="shared" si="24"/>
        <v>131971.5080888207</v>
      </c>
    </row>
    <row r="269" spans="1:23">
      <c r="A269">
        <v>1262</v>
      </c>
      <c r="B269">
        <v>5</v>
      </c>
      <c r="C269">
        <v>3</v>
      </c>
      <c r="D269">
        <v>0.47399999999999998</v>
      </c>
      <c r="E269" s="2">
        <f t="shared" si="20"/>
        <v>0.5</v>
      </c>
      <c r="F269" s="2">
        <f t="shared" si="21"/>
        <v>645</v>
      </c>
      <c r="G269">
        <v>0.57899999999999996</v>
      </c>
      <c r="H269">
        <v>0.54700000000000004</v>
      </c>
      <c r="I269">
        <v>0.433</v>
      </c>
      <c r="J269">
        <v>0.38200000000000001</v>
      </c>
      <c r="K269">
        <v>0.28199999999999997</v>
      </c>
      <c r="L269">
        <v>-99.998999999999995</v>
      </c>
      <c r="M269">
        <v>-99.998999999999995</v>
      </c>
      <c r="Q269" s="2">
        <f t="shared" si="22"/>
        <v>-1.5063323704882592</v>
      </c>
      <c r="T269" s="2">
        <f t="shared" si="23"/>
        <v>160354.85709081832</v>
      </c>
      <c r="W269" s="2">
        <f t="shared" si="24"/>
        <v>160354.85709081832</v>
      </c>
    </row>
    <row r="270" spans="1:23">
      <c r="A270">
        <v>1263</v>
      </c>
      <c r="B270">
        <v>5</v>
      </c>
      <c r="C270">
        <v>3</v>
      </c>
      <c r="D270">
        <v>1.478</v>
      </c>
      <c r="E270" s="2">
        <f t="shared" si="20"/>
        <v>1.5</v>
      </c>
      <c r="F270" s="2">
        <f t="shared" si="21"/>
        <v>795</v>
      </c>
      <c r="G270">
        <v>0.84599999999999997</v>
      </c>
      <c r="H270">
        <v>0.54700000000000004</v>
      </c>
      <c r="I270">
        <v>0.433</v>
      </c>
      <c r="J270">
        <v>0.38200000000000001</v>
      </c>
      <c r="K270">
        <v>0.28199999999999997</v>
      </c>
      <c r="L270">
        <v>-99.998999999999995</v>
      </c>
      <c r="M270">
        <v>-99.998999999999995</v>
      </c>
      <c r="Q270" s="2">
        <f t="shared" si="22"/>
        <v>-1.2361568583015747</v>
      </c>
      <c r="T270" s="2">
        <f t="shared" si="23"/>
        <v>183152.36300922278</v>
      </c>
      <c r="W270" s="2">
        <f t="shared" si="24"/>
        <v>183152.36300922278</v>
      </c>
    </row>
    <row r="271" spans="1:23">
      <c r="A271">
        <v>1264</v>
      </c>
      <c r="B271">
        <v>5</v>
      </c>
      <c r="C271">
        <v>4</v>
      </c>
      <c r="D271">
        <v>0.76300000000000001</v>
      </c>
      <c r="E271" s="2">
        <f t="shared" si="20"/>
        <v>1</v>
      </c>
      <c r="F271" s="2">
        <f t="shared" si="21"/>
        <v>691</v>
      </c>
      <c r="G271">
        <v>1.06</v>
      </c>
      <c r="H271">
        <v>0.55800000000000005</v>
      </c>
      <c r="I271">
        <v>0.433</v>
      </c>
      <c r="J271">
        <v>0.38200000000000001</v>
      </c>
      <c r="K271">
        <v>0.28199999999999997</v>
      </c>
      <c r="L271">
        <v>-99.998999999999995</v>
      </c>
      <c r="M271">
        <v>-99.998999999999995</v>
      </c>
      <c r="Q271" s="2">
        <f t="shared" si="22"/>
        <v>-1.4285627260440841</v>
      </c>
      <c r="T271" s="2">
        <f t="shared" si="23"/>
        <v>166917.08738008016</v>
      </c>
      <c r="W271" s="2">
        <f t="shared" si="24"/>
        <v>166917.08738008016</v>
      </c>
    </row>
    <row r="272" spans="1:23">
      <c r="A272">
        <v>1265</v>
      </c>
      <c r="B272">
        <v>5</v>
      </c>
      <c r="C272">
        <v>4</v>
      </c>
      <c r="D272">
        <v>3.4449999999999998</v>
      </c>
      <c r="E272" s="2">
        <f t="shared" si="20"/>
        <v>3.5</v>
      </c>
      <c r="F272" s="2">
        <f t="shared" si="21"/>
        <v>958</v>
      </c>
      <c r="G272">
        <v>1.204</v>
      </c>
      <c r="H272">
        <v>0.55800000000000005</v>
      </c>
      <c r="I272">
        <v>0.433</v>
      </c>
      <c r="J272">
        <v>0.38200000000000001</v>
      </c>
      <c r="K272">
        <v>0.28199999999999997</v>
      </c>
      <c r="L272">
        <v>-99.998999999999995</v>
      </c>
      <c r="M272">
        <v>-99.998999999999995</v>
      </c>
      <c r="Q272" s="2">
        <f t="shared" si="22"/>
        <v>-0.70683889767288133</v>
      </c>
      <c r="T272" s="2">
        <f t="shared" si="23"/>
        <v>227816.40099876624</v>
      </c>
      <c r="W272" s="2">
        <f t="shared" si="24"/>
        <v>227816.40099876624</v>
      </c>
    </row>
    <row r="273" spans="1:23">
      <c r="A273">
        <v>1266</v>
      </c>
      <c r="B273">
        <v>5</v>
      </c>
      <c r="C273">
        <v>4</v>
      </c>
      <c r="D273">
        <v>2.4889999999999999</v>
      </c>
      <c r="E273" s="2">
        <f t="shared" si="20"/>
        <v>2.5</v>
      </c>
      <c r="F273" s="2">
        <f t="shared" si="21"/>
        <v>901</v>
      </c>
      <c r="G273">
        <v>1.2609999999999999</v>
      </c>
      <c r="H273">
        <v>0.55800000000000005</v>
      </c>
      <c r="I273">
        <v>0.433</v>
      </c>
      <c r="J273">
        <v>0.38200000000000001</v>
      </c>
      <c r="K273">
        <v>0.28199999999999997</v>
      </c>
      <c r="L273">
        <v>-99.998999999999995</v>
      </c>
      <c r="M273">
        <v>-99.998999999999995</v>
      </c>
      <c r="Q273" s="2">
        <f t="shared" si="22"/>
        <v>-0.9640976523048238</v>
      </c>
      <c r="T273" s="2">
        <f t="shared" si="23"/>
        <v>206108.81568203846</v>
      </c>
      <c r="W273" s="2">
        <f t="shared" si="24"/>
        <v>206108.81568203846</v>
      </c>
    </row>
    <row r="274" spans="1:23">
      <c r="A274">
        <v>1267</v>
      </c>
      <c r="B274">
        <v>5</v>
      </c>
      <c r="C274">
        <v>4</v>
      </c>
      <c r="D274">
        <v>2.6469999999999998</v>
      </c>
      <c r="E274" s="2">
        <f t="shared" si="20"/>
        <v>2.5</v>
      </c>
      <c r="F274" s="2">
        <f t="shared" si="21"/>
        <v>915</v>
      </c>
      <c r="G274">
        <v>1.232</v>
      </c>
      <c r="H274">
        <v>0.55800000000000005</v>
      </c>
      <c r="I274">
        <v>0.433</v>
      </c>
      <c r="J274">
        <v>0.38200000000000001</v>
      </c>
      <c r="K274">
        <v>0.28199999999999997</v>
      </c>
      <c r="L274">
        <v>-99.998999999999995</v>
      </c>
      <c r="M274">
        <v>-99.998999999999995</v>
      </c>
      <c r="Q274" s="2">
        <f t="shared" si="22"/>
        <v>-0.92157999202046514</v>
      </c>
      <c r="T274" s="2">
        <f t="shared" si="23"/>
        <v>209696.47099589097</v>
      </c>
      <c r="W274" s="2">
        <f t="shared" si="24"/>
        <v>209696.47099589097</v>
      </c>
    </row>
    <row r="275" spans="1:23">
      <c r="A275">
        <v>1268</v>
      </c>
      <c r="B275">
        <v>5</v>
      </c>
      <c r="C275">
        <v>4</v>
      </c>
      <c r="D275">
        <v>1.9039999999999999</v>
      </c>
      <c r="E275" s="2">
        <f t="shared" si="20"/>
        <v>2</v>
      </c>
      <c r="F275" s="2">
        <f t="shared" si="21"/>
        <v>842</v>
      </c>
      <c r="G275">
        <v>1.129</v>
      </c>
      <c r="H275">
        <v>0.55800000000000005</v>
      </c>
      <c r="I275">
        <v>0.433</v>
      </c>
      <c r="J275">
        <v>0.38200000000000001</v>
      </c>
      <c r="K275">
        <v>0.28199999999999997</v>
      </c>
      <c r="L275">
        <v>-99.998999999999995</v>
      </c>
      <c r="M275">
        <v>-99.998999999999995</v>
      </c>
      <c r="Q275" s="2">
        <f t="shared" si="22"/>
        <v>-1.1215206350032405</v>
      </c>
      <c r="T275" s="2">
        <f t="shared" si="23"/>
        <v>192825.40834910359</v>
      </c>
      <c r="W275" s="2">
        <f t="shared" si="24"/>
        <v>192825.40834910359</v>
      </c>
    </row>
    <row r="276" spans="1:23">
      <c r="A276">
        <v>1269</v>
      </c>
      <c r="B276">
        <v>5</v>
      </c>
      <c r="C276">
        <v>4</v>
      </c>
      <c r="D276">
        <v>-3.1930000000000001</v>
      </c>
      <c r="E276" s="2">
        <f t="shared" si="20"/>
        <v>-3</v>
      </c>
      <c r="F276" s="2">
        <f t="shared" si="21"/>
        <v>93</v>
      </c>
      <c r="G276">
        <v>0.98</v>
      </c>
      <c r="H276">
        <v>0.55800000000000005</v>
      </c>
      <c r="I276">
        <v>0.433</v>
      </c>
      <c r="J276">
        <v>0.38200000000000001</v>
      </c>
      <c r="K276">
        <v>0.28199999999999997</v>
      </c>
      <c r="L276">
        <v>-99.998999999999995</v>
      </c>
      <c r="M276">
        <v>-99.998999999999995</v>
      </c>
      <c r="Q276" s="2">
        <f t="shared" si="22"/>
        <v>-2.4931188278473946</v>
      </c>
      <c r="T276" s="2">
        <f t="shared" si="23"/>
        <v>77089.464458558126</v>
      </c>
      <c r="W276" s="2">
        <f t="shared" si="24"/>
        <v>77089.464458558126</v>
      </c>
    </row>
    <row r="277" spans="1:23">
      <c r="A277">
        <v>1270</v>
      </c>
      <c r="B277">
        <v>5</v>
      </c>
      <c r="C277">
        <v>4</v>
      </c>
      <c r="D277">
        <v>-4.1000000000000002E-2</v>
      </c>
      <c r="E277" s="2">
        <f t="shared" si="20"/>
        <v>0</v>
      </c>
      <c r="F277" s="2">
        <f t="shared" si="21"/>
        <v>559</v>
      </c>
      <c r="G277">
        <v>0.81100000000000005</v>
      </c>
      <c r="H277">
        <v>0.55800000000000005</v>
      </c>
      <c r="I277">
        <v>0.433</v>
      </c>
      <c r="J277">
        <v>0.38200000000000001</v>
      </c>
      <c r="K277">
        <v>0.28199999999999997</v>
      </c>
      <c r="L277">
        <v>-99.998999999999995</v>
      </c>
      <c r="M277">
        <v>-99.998999999999995</v>
      </c>
      <c r="Q277" s="2">
        <f t="shared" si="22"/>
        <v>-1.6449184150860108</v>
      </c>
      <c r="T277" s="2">
        <f t="shared" si="23"/>
        <v>148660.9173019953</v>
      </c>
      <c r="W277" s="2">
        <f t="shared" si="24"/>
        <v>148660.9173019953</v>
      </c>
    </row>
    <row r="278" spans="1:23">
      <c r="A278">
        <v>1271</v>
      </c>
      <c r="B278">
        <v>5</v>
      </c>
      <c r="C278">
        <v>4</v>
      </c>
      <c r="D278">
        <v>3.87</v>
      </c>
      <c r="E278" s="2">
        <f t="shared" si="20"/>
        <v>4</v>
      </c>
      <c r="F278" s="2">
        <f t="shared" si="21"/>
        <v>972</v>
      </c>
      <c r="G278">
        <v>0.621</v>
      </c>
      <c r="H278">
        <v>0.55800000000000005</v>
      </c>
      <c r="I278">
        <v>0.433</v>
      </c>
      <c r="J278">
        <v>0.38200000000000001</v>
      </c>
      <c r="K278">
        <v>0.28199999999999997</v>
      </c>
      <c r="L278">
        <v>-99.998999999999995</v>
      </c>
      <c r="M278">
        <v>-99.998999999999995</v>
      </c>
      <c r="Q278" s="2">
        <f t="shared" si="22"/>
        <v>-0.59247177349027069</v>
      </c>
      <c r="T278" s="2">
        <f t="shared" si="23"/>
        <v>237466.73965944542</v>
      </c>
      <c r="W278" s="2">
        <f t="shared" si="24"/>
        <v>237466.73965944542</v>
      </c>
    </row>
    <row r="279" spans="1:23">
      <c r="A279">
        <v>1272</v>
      </c>
      <c r="B279">
        <v>5</v>
      </c>
      <c r="C279">
        <v>4</v>
      </c>
      <c r="D279">
        <v>-0.192</v>
      </c>
      <c r="E279" s="2">
        <f t="shared" si="20"/>
        <v>0</v>
      </c>
      <c r="F279" s="2">
        <f t="shared" si="21"/>
        <v>538</v>
      </c>
      <c r="G279">
        <v>0.40400000000000003</v>
      </c>
      <c r="H279">
        <v>0.55800000000000005</v>
      </c>
      <c r="I279">
        <v>0.433</v>
      </c>
      <c r="J279">
        <v>0.38200000000000001</v>
      </c>
      <c r="K279">
        <v>0.28199999999999997</v>
      </c>
      <c r="L279">
        <v>-99.998999999999995</v>
      </c>
      <c r="M279">
        <v>-99.998999999999995</v>
      </c>
      <c r="Q279" s="2">
        <f t="shared" si="22"/>
        <v>-1.6855523815603028</v>
      </c>
      <c r="T279" s="2">
        <f t="shared" si="23"/>
        <v>145232.20874255398</v>
      </c>
      <c r="W279" s="2">
        <f t="shared" si="24"/>
        <v>145232.20874255398</v>
      </c>
    </row>
    <row r="280" spans="1:23">
      <c r="A280">
        <v>1273</v>
      </c>
      <c r="B280">
        <v>5</v>
      </c>
      <c r="C280">
        <v>4</v>
      </c>
      <c r="D280">
        <v>3.9750000000000001</v>
      </c>
      <c r="E280" s="2">
        <f t="shared" si="20"/>
        <v>4</v>
      </c>
      <c r="F280" s="2">
        <f t="shared" si="21"/>
        <v>976</v>
      </c>
      <c r="G280">
        <v>0.17100000000000001</v>
      </c>
      <c r="H280">
        <v>0.55800000000000005</v>
      </c>
      <c r="I280">
        <v>0.433</v>
      </c>
      <c r="J280">
        <v>0.38200000000000001</v>
      </c>
      <c r="K280">
        <v>0.28199999999999997</v>
      </c>
      <c r="L280">
        <v>-99.998999999999995</v>
      </c>
      <c r="M280">
        <v>-99.998999999999995</v>
      </c>
      <c r="Q280" s="2">
        <f t="shared" si="22"/>
        <v>-0.56421636633927297</v>
      </c>
      <c r="T280" s="2">
        <f t="shared" si="23"/>
        <v>239850.94097561322</v>
      </c>
      <c r="W280" s="2">
        <f t="shared" si="24"/>
        <v>239850.94097561322</v>
      </c>
    </row>
    <row r="281" spans="1:23">
      <c r="A281">
        <v>1274</v>
      </c>
      <c r="B281">
        <v>5</v>
      </c>
      <c r="C281">
        <v>4</v>
      </c>
      <c r="D281">
        <v>-1.825</v>
      </c>
      <c r="E281" s="2">
        <f t="shared" si="20"/>
        <v>-2</v>
      </c>
      <c r="F281" s="2">
        <f t="shared" si="21"/>
        <v>265</v>
      </c>
      <c r="G281">
        <v>-0.06</v>
      </c>
      <c r="H281">
        <v>0.55800000000000005</v>
      </c>
      <c r="I281">
        <v>0.433</v>
      </c>
      <c r="J281">
        <v>0.38200000000000001</v>
      </c>
      <c r="K281">
        <v>0.28199999999999997</v>
      </c>
      <c r="L281">
        <v>-99.998999999999995</v>
      </c>
      <c r="M281">
        <v>-99.998999999999995</v>
      </c>
      <c r="Q281" s="2">
        <f t="shared" si="22"/>
        <v>-2.1249912375372508</v>
      </c>
      <c r="T281" s="2">
        <f t="shared" si="23"/>
        <v>108152.20160634432</v>
      </c>
      <c r="W281" s="2">
        <f t="shared" si="24"/>
        <v>108152.20160634432</v>
      </c>
    </row>
    <row r="282" spans="1:23">
      <c r="A282">
        <v>1275</v>
      </c>
      <c r="B282">
        <v>5</v>
      </c>
      <c r="C282">
        <v>4</v>
      </c>
      <c r="D282">
        <v>-3.9369999999999998</v>
      </c>
      <c r="E282" s="2">
        <f t="shared" si="20"/>
        <v>-4</v>
      </c>
      <c r="F282" s="2">
        <f t="shared" si="21"/>
        <v>43</v>
      </c>
      <c r="G282">
        <v>-0.249</v>
      </c>
      <c r="H282">
        <v>0.55800000000000005</v>
      </c>
      <c r="I282">
        <v>0.433</v>
      </c>
      <c r="J282">
        <v>0.38200000000000001</v>
      </c>
      <c r="K282">
        <v>0.28199999999999997</v>
      </c>
      <c r="L282">
        <v>-99.998999999999995</v>
      </c>
      <c r="M282">
        <v>-99.998999999999995</v>
      </c>
      <c r="Q282" s="2">
        <f t="shared" si="22"/>
        <v>-2.6933285699458938</v>
      </c>
      <c r="T282" s="2">
        <f t="shared" si="23"/>
        <v>60195.695132569148</v>
      </c>
      <c r="W282" s="2">
        <f t="shared" si="24"/>
        <v>60195.695132569148</v>
      </c>
    </row>
    <row r="283" spans="1:23">
      <c r="A283">
        <v>1276</v>
      </c>
      <c r="B283">
        <v>5</v>
      </c>
      <c r="C283">
        <v>4</v>
      </c>
      <c r="D283">
        <v>-2.798</v>
      </c>
      <c r="E283" s="2">
        <f t="shared" si="20"/>
        <v>-3</v>
      </c>
      <c r="F283" s="2">
        <f t="shared" si="21"/>
        <v>135</v>
      </c>
      <c r="G283">
        <v>-0.36699999999999999</v>
      </c>
      <c r="H283">
        <v>0.55800000000000005</v>
      </c>
      <c r="I283">
        <v>0.433</v>
      </c>
      <c r="J283">
        <v>0.38200000000000001</v>
      </c>
      <c r="K283">
        <v>0.28199999999999997</v>
      </c>
      <c r="L283">
        <v>-99.998999999999995</v>
      </c>
      <c r="M283">
        <v>-99.998999999999995</v>
      </c>
      <c r="Q283" s="2">
        <f t="shared" si="22"/>
        <v>-2.3868246771364978</v>
      </c>
      <c r="T283" s="2">
        <f t="shared" si="23"/>
        <v>86058.602743189374</v>
      </c>
      <c r="W283" s="2">
        <f t="shared" si="24"/>
        <v>86058.602743189374</v>
      </c>
    </row>
    <row r="284" spans="1:23">
      <c r="A284">
        <v>1277</v>
      </c>
      <c r="B284">
        <v>5</v>
      </c>
      <c r="C284">
        <v>4</v>
      </c>
      <c r="D284">
        <v>-7.3999999999999996E-2</v>
      </c>
      <c r="E284" s="2">
        <f t="shared" si="20"/>
        <v>0</v>
      </c>
      <c r="F284" s="2">
        <f t="shared" si="21"/>
        <v>555</v>
      </c>
      <c r="G284">
        <v>-0.41599999999999998</v>
      </c>
      <c r="H284">
        <v>0.55800000000000005</v>
      </c>
      <c r="I284">
        <v>0.433</v>
      </c>
      <c r="J284">
        <v>0.38200000000000001</v>
      </c>
      <c r="K284">
        <v>0.28199999999999997</v>
      </c>
      <c r="L284">
        <v>-99.998999999999995</v>
      </c>
      <c r="M284">
        <v>-99.998999999999995</v>
      </c>
      <c r="Q284" s="2">
        <f t="shared" si="22"/>
        <v>-1.6537986859048959</v>
      </c>
      <c r="T284" s="2">
        <f t="shared" si="23"/>
        <v>147911.59688834255</v>
      </c>
      <c r="W284" s="2">
        <f t="shared" si="24"/>
        <v>147911.59688834255</v>
      </c>
    </row>
    <row r="285" spans="1:23">
      <c r="A285">
        <v>1278</v>
      </c>
      <c r="B285">
        <v>5</v>
      </c>
      <c r="C285">
        <v>4</v>
      </c>
      <c r="D285">
        <v>1.0529999999999999</v>
      </c>
      <c r="E285" s="2">
        <f t="shared" si="20"/>
        <v>1</v>
      </c>
      <c r="F285" s="2">
        <f t="shared" si="21"/>
        <v>736</v>
      </c>
      <c r="G285">
        <v>-0.42</v>
      </c>
      <c r="H285">
        <v>0.55800000000000005</v>
      </c>
      <c r="I285">
        <v>0.433</v>
      </c>
      <c r="J285">
        <v>0.38200000000000001</v>
      </c>
      <c r="K285">
        <v>0.28199999999999997</v>
      </c>
      <c r="L285">
        <v>-99.998999999999995</v>
      </c>
      <c r="M285">
        <v>-99.998999999999995</v>
      </c>
      <c r="Q285" s="2">
        <f t="shared" si="22"/>
        <v>-1.3505239824841853</v>
      </c>
      <c r="T285" s="2">
        <f t="shared" si="23"/>
        <v>173502.02434854361</v>
      </c>
      <c r="W285" s="2">
        <f t="shared" si="24"/>
        <v>173502.02434854361</v>
      </c>
    </row>
    <row r="286" spans="1:23">
      <c r="A286">
        <v>1279</v>
      </c>
      <c r="B286">
        <v>5</v>
      </c>
      <c r="C286">
        <v>4</v>
      </c>
      <c r="D286">
        <v>-1.7250000000000001</v>
      </c>
      <c r="E286" s="2">
        <f t="shared" si="20"/>
        <v>-1.5</v>
      </c>
      <c r="F286" s="2">
        <f t="shared" si="21"/>
        <v>288</v>
      </c>
      <c r="G286">
        <v>-0.40300000000000002</v>
      </c>
      <c r="H286">
        <v>0.55800000000000005</v>
      </c>
      <c r="I286">
        <v>0.433</v>
      </c>
      <c r="J286">
        <v>0.38200000000000001</v>
      </c>
      <c r="K286">
        <v>0.28199999999999997</v>
      </c>
      <c r="L286">
        <v>-99.998999999999995</v>
      </c>
      <c r="M286">
        <v>-99.998999999999995</v>
      </c>
      <c r="Q286" s="2">
        <f t="shared" si="22"/>
        <v>-2.0980813259648721</v>
      </c>
      <c r="T286" s="2">
        <f t="shared" si="23"/>
        <v>110422.8695265041</v>
      </c>
      <c r="W286" s="2">
        <f t="shared" si="24"/>
        <v>110422.8695265041</v>
      </c>
    </row>
    <row r="287" spans="1:23">
      <c r="A287">
        <v>1280</v>
      </c>
      <c r="B287">
        <v>5</v>
      </c>
      <c r="C287">
        <v>4</v>
      </c>
      <c r="D287">
        <v>1.804</v>
      </c>
      <c r="E287" s="2">
        <f t="shared" si="20"/>
        <v>2</v>
      </c>
      <c r="F287" s="2">
        <f t="shared" si="21"/>
        <v>835</v>
      </c>
      <c r="G287">
        <v>-0.377</v>
      </c>
      <c r="H287">
        <v>0.55800000000000005</v>
      </c>
      <c r="I287">
        <v>0.433</v>
      </c>
      <c r="J287">
        <v>0.38200000000000001</v>
      </c>
      <c r="K287">
        <v>0.28199999999999997</v>
      </c>
      <c r="L287">
        <v>-99.998999999999995</v>
      </c>
      <c r="M287">
        <v>-99.998999999999995</v>
      </c>
      <c r="Q287" s="2">
        <f t="shared" si="22"/>
        <v>-1.1484305465756195</v>
      </c>
      <c r="T287" s="2">
        <f t="shared" si="23"/>
        <v>190554.74042894377</v>
      </c>
      <c r="W287" s="2">
        <f t="shared" si="24"/>
        <v>190554.74042894377</v>
      </c>
    </row>
    <row r="288" spans="1:23">
      <c r="A288">
        <v>1281</v>
      </c>
      <c r="B288">
        <v>5</v>
      </c>
      <c r="C288">
        <v>4</v>
      </c>
      <c r="D288">
        <v>-0.68600000000000005</v>
      </c>
      <c r="E288" s="2">
        <f t="shared" si="20"/>
        <v>-0.5</v>
      </c>
      <c r="F288" s="2">
        <f t="shared" si="21"/>
        <v>452</v>
      </c>
      <c r="G288">
        <v>-0.36199999999999999</v>
      </c>
      <c r="H288">
        <v>0.55800000000000005</v>
      </c>
      <c r="I288">
        <v>0.433</v>
      </c>
      <c r="J288">
        <v>0.38200000000000001</v>
      </c>
      <c r="K288">
        <v>0.28199999999999997</v>
      </c>
      <c r="L288">
        <v>-99.998999999999995</v>
      </c>
      <c r="M288">
        <v>-99.998999999999995</v>
      </c>
      <c r="Q288" s="2">
        <f t="shared" si="22"/>
        <v>-1.8184873447278549</v>
      </c>
      <c r="T288" s="2">
        <f t="shared" si="23"/>
        <v>134015.10921696451</v>
      </c>
      <c r="W288" s="2">
        <f t="shared" si="24"/>
        <v>134015.10921696451</v>
      </c>
    </row>
    <row r="289" spans="1:23">
      <c r="A289">
        <v>1282</v>
      </c>
      <c r="B289">
        <v>5</v>
      </c>
      <c r="C289">
        <v>4</v>
      </c>
      <c r="D289">
        <v>0.40300000000000002</v>
      </c>
      <c r="E289" s="2">
        <f t="shared" si="20"/>
        <v>0.5</v>
      </c>
      <c r="F289" s="2">
        <f t="shared" si="21"/>
        <v>634</v>
      </c>
      <c r="G289">
        <v>-0.36299999999999999</v>
      </c>
      <c r="H289">
        <v>0.55800000000000005</v>
      </c>
      <c r="I289">
        <v>0.433</v>
      </c>
      <c r="J289">
        <v>0.38200000000000001</v>
      </c>
      <c r="K289">
        <v>0.28199999999999997</v>
      </c>
      <c r="L289">
        <v>-99.998999999999995</v>
      </c>
      <c r="M289">
        <v>-99.998999999999995</v>
      </c>
      <c r="Q289" s="2">
        <f t="shared" si="22"/>
        <v>-1.5254384077046483</v>
      </c>
      <c r="T289" s="2">
        <f t="shared" si="23"/>
        <v>158742.68286750483</v>
      </c>
      <c r="W289" s="2">
        <f t="shared" si="24"/>
        <v>158742.68286750483</v>
      </c>
    </row>
    <row r="290" spans="1:23">
      <c r="A290">
        <v>1283</v>
      </c>
      <c r="B290">
        <v>5</v>
      </c>
      <c r="C290">
        <v>4</v>
      </c>
      <c r="D290">
        <v>-1.583</v>
      </c>
      <c r="E290" s="2">
        <f t="shared" si="20"/>
        <v>-1.5</v>
      </c>
      <c r="F290" s="2">
        <f t="shared" si="21"/>
        <v>308</v>
      </c>
      <c r="G290">
        <v>-0.38400000000000001</v>
      </c>
      <c r="H290">
        <v>0.55800000000000005</v>
      </c>
      <c r="I290">
        <v>0.433</v>
      </c>
      <c r="J290">
        <v>0.38200000000000001</v>
      </c>
      <c r="K290">
        <v>0.28199999999999997</v>
      </c>
      <c r="L290">
        <v>-99.998999999999995</v>
      </c>
      <c r="M290">
        <v>-99.998999999999995</v>
      </c>
      <c r="Q290" s="2">
        <f t="shared" si="22"/>
        <v>-2.0598692515320938</v>
      </c>
      <c r="T290" s="2">
        <f t="shared" si="23"/>
        <v>113647.21797313105</v>
      </c>
      <c r="W290" s="2">
        <f t="shared" si="24"/>
        <v>113647.21797313105</v>
      </c>
    </row>
    <row r="291" spans="1:23">
      <c r="A291">
        <v>1284</v>
      </c>
      <c r="B291">
        <v>5</v>
      </c>
      <c r="C291">
        <v>4</v>
      </c>
      <c r="D291">
        <v>0.13800000000000001</v>
      </c>
      <c r="E291" s="2">
        <f t="shared" si="20"/>
        <v>0</v>
      </c>
      <c r="F291" s="2">
        <f t="shared" si="21"/>
        <v>587</v>
      </c>
      <c r="G291">
        <v>-0.42499999999999999</v>
      </c>
      <c r="H291">
        <v>0.55800000000000005</v>
      </c>
      <c r="I291">
        <v>0.433</v>
      </c>
      <c r="J291">
        <v>0.38200000000000001</v>
      </c>
      <c r="K291">
        <v>0.28199999999999997</v>
      </c>
      <c r="L291">
        <v>-99.998999999999995</v>
      </c>
      <c r="M291">
        <v>-99.998999999999995</v>
      </c>
      <c r="Q291" s="2">
        <f t="shared" si="22"/>
        <v>-1.5967496733714523</v>
      </c>
      <c r="T291" s="2">
        <f t="shared" si="23"/>
        <v>152725.41287908136</v>
      </c>
      <c r="W291" s="2">
        <f t="shared" si="24"/>
        <v>152725.41287908136</v>
      </c>
    </row>
    <row r="292" spans="1:23">
      <c r="A292">
        <v>1285</v>
      </c>
      <c r="B292">
        <v>5</v>
      </c>
      <c r="C292">
        <v>4</v>
      </c>
      <c r="D292">
        <v>0.68500000000000005</v>
      </c>
      <c r="E292" s="2">
        <f t="shared" si="20"/>
        <v>0.5</v>
      </c>
      <c r="F292" s="2">
        <f t="shared" si="21"/>
        <v>681</v>
      </c>
      <c r="G292">
        <v>-0.49199999999999999</v>
      </c>
      <c r="H292">
        <v>0.55800000000000005</v>
      </c>
      <c r="I292">
        <v>0.433</v>
      </c>
      <c r="J292">
        <v>0.38200000000000001</v>
      </c>
      <c r="K292">
        <v>0.28199999999999997</v>
      </c>
      <c r="L292">
        <v>-99.998999999999995</v>
      </c>
      <c r="M292">
        <v>-99.998999999999995</v>
      </c>
      <c r="Q292" s="2">
        <f t="shared" si="22"/>
        <v>-1.4495524570705398</v>
      </c>
      <c r="T292" s="2">
        <f t="shared" si="23"/>
        <v>165145.96640235549</v>
      </c>
      <c r="W292" s="2">
        <f t="shared" si="24"/>
        <v>165145.96640235549</v>
      </c>
    </row>
    <row r="293" spans="1:23">
      <c r="A293">
        <v>1286</v>
      </c>
      <c r="B293">
        <v>5</v>
      </c>
      <c r="C293">
        <v>4</v>
      </c>
      <c r="D293">
        <v>1.026</v>
      </c>
      <c r="E293" s="2">
        <f t="shared" si="20"/>
        <v>1</v>
      </c>
      <c r="F293" s="2">
        <f t="shared" si="21"/>
        <v>734</v>
      </c>
      <c r="G293">
        <v>-0.58899999999999997</v>
      </c>
      <c r="H293">
        <v>0.55800000000000005</v>
      </c>
      <c r="I293">
        <v>0.433</v>
      </c>
      <c r="J293">
        <v>0.38200000000000001</v>
      </c>
      <c r="K293">
        <v>0.28199999999999997</v>
      </c>
      <c r="L293">
        <v>-99.998999999999995</v>
      </c>
      <c r="M293">
        <v>-99.998999999999995</v>
      </c>
      <c r="Q293" s="2">
        <f t="shared" si="22"/>
        <v>-1.3577896586087275</v>
      </c>
      <c r="T293" s="2">
        <f t="shared" si="23"/>
        <v>172888.94401010044</v>
      </c>
      <c r="W293" s="2">
        <f t="shared" si="24"/>
        <v>172888.94401010044</v>
      </c>
    </row>
    <row r="294" spans="1:23">
      <c r="A294">
        <v>1287</v>
      </c>
      <c r="B294">
        <v>5</v>
      </c>
      <c r="C294">
        <v>4</v>
      </c>
      <c r="D294">
        <v>-1.625</v>
      </c>
      <c r="E294" s="2">
        <f t="shared" si="20"/>
        <v>-1.5</v>
      </c>
      <c r="F294" s="2">
        <f t="shared" si="21"/>
        <v>303</v>
      </c>
      <c r="G294">
        <v>-0.70799999999999996</v>
      </c>
      <c r="H294">
        <v>0.55800000000000005</v>
      </c>
      <c r="I294">
        <v>0.433</v>
      </c>
      <c r="J294">
        <v>0.38200000000000001</v>
      </c>
      <c r="K294">
        <v>0.28199999999999997</v>
      </c>
      <c r="L294">
        <v>-99.998999999999995</v>
      </c>
      <c r="M294">
        <v>-99.998999999999995</v>
      </c>
      <c r="Q294" s="2">
        <f t="shared" si="22"/>
        <v>-2.0711714143924929</v>
      </c>
      <c r="T294" s="2">
        <f t="shared" si="23"/>
        <v>112693.53744666395</v>
      </c>
      <c r="W294" s="2">
        <f t="shared" si="24"/>
        <v>112693.53744666395</v>
      </c>
    </row>
    <row r="295" spans="1:23">
      <c r="A295">
        <v>1288</v>
      </c>
      <c r="B295">
        <v>5</v>
      </c>
      <c r="C295">
        <v>4</v>
      </c>
      <c r="D295">
        <v>-0.751</v>
      </c>
      <c r="E295" s="2">
        <f t="shared" si="20"/>
        <v>-1</v>
      </c>
      <c r="F295" s="2">
        <f t="shared" si="21"/>
        <v>432</v>
      </c>
      <c r="G295">
        <v>-0.82799999999999996</v>
      </c>
      <c r="H295">
        <v>0.55800000000000005</v>
      </c>
      <c r="I295">
        <v>0.433</v>
      </c>
      <c r="J295">
        <v>0.38200000000000001</v>
      </c>
      <c r="K295">
        <v>0.28199999999999997</v>
      </c>
      <c r="L295">
        <v>-99.998999999999995</v>
      </c>
      <c r="M295">
        <v>-99.998999999999995</v>
      </c>
      <c r="Q295" s="2">
        <f t="shared" si="22"/>
        <v>-1.8359787872499012</v>
      </c>
      <c r="T295" s="2">
        <f t="shared" si="23"/>
        <v>132539.17506886064</v>
      </c>
      <c r="W295" s="2">
        <f t="shared" si="24"/>
        <v>132539.17506886064</v>
      </c>
    </row>
    <row r="296" spans="1:23">
      <c r="A296">
        <v>1289</v>
      </c>
      <c r="B296">
        <v>5</v>
      </c>
      <c r="C296">
        <v>4</v>
      </c>
      <c r="D296">
        <v>-2.3330000000000002</v>
      </c>
      <c r="E296" s="2">
        <f t="shared" si="20"/>
        <v>-2.5</v>
      </c>
      <c r="F296" s="2">
        <f t="shared" si="21"/>
        <v>197</v>
      </c>
      <c r="G296">
        <v>-0.93400000000000005</v>
      </c>
      <c r="H296">
        <v>0.55800000000000005</v>
      </c>
      <c r="I296">
        <v>0.433</v>
      </c>
      <c r="J296">
        <v>0.38200000000000001</v>
      </c>
      <c r="K296">
        <v>0.28199999999999997</v>
      </c>
      <c r="L296">
        <v>-99.998999999999995</v>
      </c>
      <c r="M296">
        <v>-99.998999999999995</v>
      </c>
      <c r="Q296" s="2">
        <f t="shared" si="22"/>
        <v>-2.2616935883249361</v>
      </c>
      <c r="T296" s="2">
        <f t="shared" si="23"/>
        <v>96617.208571932453</v>
      </c>
      <c r="W296" s="2">
        <f t="shared" si="24"/>
        <v>96617.208571932453</v>
      </c>
    </row>
    <row r="297" spans="1:23">
      <c r="A297">
        <v>1290</v>
      </c>
      <c r="B297">
        <v>5</v>
      </c>
      <c r="C297">
        <v>4</v>
      </c>
      <c r="D297">
        <v>1.53</v>
      </c>
      <c r="E297" s="2">
        <f t="shared" si="20"/>
        <v>1.5</v>
      </c>
      <c r="F297" s="2">
        <f t="shared" si="21"/>
        <v>802</v>
      </c>
      <c r="G297">
        <v>-1.0129999999999999</v>
      </c>
      <c r="H297">
        <v>0.55800000000000005</v>
      </c>
      <c r="I297">
        <v>0.433</v>
      </c>
      <c r="J297">
        <v>0.38200000000000001</v>
      </c>
      <c r="K297">
        <v>0.28199999999999997</v>
      </c>
      <c r="L297">
        <v>-99.998999999999995</v>
      </c>
      <c r="M297">
        <v>-99.998999999999995</v>
      </c>
      <c r="Q297" s="2">
        <f t="shared" si="22"/>
        <v>-1.2221637042839377</v>
      </c>
      <c r="T297" s="2">
        <f t="shared" si="23"/>
        <v>184333.11032770592</v>
      </c>
      <c r="W297" s="2">
        <f t="shared" si="24"/>
        <v>184333.11032770592</v>
      </c>
    </row>
    <row r="298" spans="1:23">
      <c r="A298">
        <v>1291</v>
      </c>
      <c r="B298">
        <v>5</v>
      </c>
      <c r="C298">
        <v>4</v>
      </c>
      <c r="D298">
        <v>-3.609</v>
      </c>
      <c r="E298" s="2">
        <f t="shared" si="20"/>
        <v>-3.5</v>
      </c>
      <c r="F298" s="2">
        <f t="shared" si="21"/>
        <v>67</v>
      </c>
      <c r="G298">
        <v>-1.0580000000000001</v>
      </c>
      <c r="H298">
        <v>0.55800000000000005</v>
      </c>
      <c r="I298">
        <v>0.433</v>
      </c>
      <c r="J298">
        <v>0.38200000000000001</v>
      </c>
      <c r="K298">
        <v>0.28199999999999997</v>
      </c>
      <c r="L298">
        <v>-99.998999999999995</v>
      </c>
      <c r="M298">
        <v>-99.998999999999995</v>
      </c>
      <c r="Q298" s="2">
        <f t="shared" si="22"/>
        <v>-2.6050640599884911</v>
      </c>
      <c r="T298" s="2">
        <f t="shared" si="23"/>
        <v>67643.4859106933</v>
      </c>
      <c r="W298" s="2">
        <f t="shared" si="24"/>
        <v>67643.4859106933</v>
      </c>
    </row>
    <row r="299" spans="1:23">
      <c r="A299">
        <v>1292</v>
      </c>
      <c r="B299">
        <v>5</v>
      </c>
      <c r="C299">
        <v>4</v>
      </c>
      <c r="D299">
        <v>-3.6749999999999998</v>
      </c>
      <c r="E299" s="2">
        <f t="shared" si="20"/>
        <v>-3.5</v>
      </c>
      <c r="F299" s="2">
        <f t="shared" si="21"/>
        <v>59</v>
      </c>
      <c r="G299">
        <v>-1.0489999999999999</v>
      </c>
      <c r="H299">
        <v>0.55800000000000005</v>
      </c>
      <c r="I299">
        <v>0.433</v>
      </c>
      <c r="J299">
        <v>0.38200000000000001</v>
      </c>
      <c r="K299">
        <v>0.28199999999999997</v>
      </c>
      <c r="L299">
        <v>-99.998999999999995</v>
      </c>
      <c r="M299">
        <v>-99.998999999999995</v>
      </c>
      <c r="Q299" s="2">
        <f t="shared" si="22"/>
        <v>-2.6228246016262613</v>
      </c>
      <c r="T299" s="2">
        <f t="shared" si="23"/>
        <v>66144.845083387831</v>
      </c>
      <c r="W299" s="2">
        <f t="shared" si="24"/>
        <v>66144.845083387831</v>
      </c>
    </row>
    <row r="300" spans="1:23">
      <c r="A300">
        <v>1293</v>
      </c>
      <c r="B300">
        <v>5</v>
      </c>
      <c r="C300">
        <v>4</v>
      </c>
      <c r="D300">
        <v>-2.698</v>
      </c>
      <c r="E300" s="2">
        <f t="shared" si="20"/>
        <v>-2.5</v>
      </c>
      <c r="F300" s="2">
        <f t="shared" si="21"/>
        <v>148</v>
      </c>
      <c r="G300">
        <v>-0.98599999999999999</v>
      </c>
      <c r="H300">
        <v>0.55800000000000005</v>
      </c>
      <c r="I300">
        <v>0.433</v>
      </c>
      <c r="J300">
        <v>0.38200000000000001</v>
      </c>
      <c r="K300">
        <v>0.28199999999999997</v>
      </c>
      <c r="L300">
        <v>-99.998999999999995</v>
      </c>
      <c r="M300">
        <v>-99.998999999999995</v>
      </c>
      <c r="Q300" s="2">
        <f t="shared" si="22"/>
        <v>-2.3599147655641191</v>
      </c>
      <c r="T300" s="2">
        <f t="shared" si="23"/>
        <v>88329.270663349162</v>
      </c>
      <c r="W300" s="2">
        <f t="shared" si="24"/>
        <v>88329.270663349162</v>
      </c>
    </row>
    <row r="301" spans="1:23">
      <c r="A301">
        <v>1294</v>
      </c>
      <c r="B301">
        <v>5</v>
      </c>
      <c r="C301">
        <v>4</v>
      </c>
      <c r="D301">
        <v>-1.089</v>
      </c>
      <c r="E301" s="2">
        <f t="shared" si="20"/>
        <v>-1</v>
      </c>
      <c r="F301" s="2">
        <f t="shared" si="21"/>
        <v>381</v>
      </c>
      <c r="G301">
        <v>-0.89200000000000002</v>
      </c>
      <c r="H301">
        <v>0.55800000000000005</v>
      </c>
      <c r="I301">
        <v>0.433</v>
      </c>
      <c r="J301">
        <v>0.38200000000000001</v>
      </c>
      <c r="K301">
        <v>0.28199999999999997</v>
      </c>
      <c r="L301">
        <v>-99.998999999999995</v>
      </c>
      <c r="M301">
        <v>-99.998999999999995</v>
      </c>
      <c r="Q301" s="2">
        <f t="shared" si="22"/>
        <v>-1.9269342883645419</v>
      </c>
      <c r="T301" s="2">
        <f t="shared" si="23"/>
        <v>124864.31749872051</v>
      </c>
      <c r="W301" s="2">
        <f t="shared" si="24"/>
        <v>124864.31749872051</v>
      </c>
    </row>
    <row r="302" spans="1:23">
      <c r="A302">
        <v>1295</v>
      </c>
      <c r="B302">
        <v>5</v>
      </c>
      <c r="C302">
        <v>4</v>
      </c>
      <c r="D302">
        <v>4.4450000000000003</v>
      </c>
      <c r="E302" s="2">
        <f t="shared" si="20"/>
        <v>4.5</v>
      </c>
      <c r="F302" s="2">
        <f t="shared" si="21"/>
        <v>984</v>
      </c>
      <c r="G302">
        <v>-0.80400000000000005</v>
      </c>
      <c r="H302">
        <v>0.55800000000000005</v>
      </c>
      <c r="I302">
        <v>0.433</v>
      </c>
      <c r="J302">
        <v>0.38200000000000001</v>
      </c>
      <c r="K302">
        <v>0.28199999999999997</v>
      </c>
      <c r="L302">
        <v>-99.998999999999995</v>
      </c>
      <c r="M302">
        <v>-99.998999999999995</v>
      </c>
      <c r="Q302" s="2">
        <f t="shared" si="22"/>
        <v>-0.4377397819490918</v>
      </c>
      <c r="T302" s="2">
        <f t="shared" si="23"/>
        <v>250523.08020036435</v>
      </c>
      <c r="W302" s="2">
        <f t="shared" si="24"/>
        <v>250523.08020036435</v>
      </c>
    </row>
    <row r="303" spans="1:23">
      <c r="A303">
        <v>1296</v>
      </c>
      <c r="B303">
        <v>5</v>
      </c>
      <c r="C303">
        <v>4</v>
      </c>
      <c r="D303">
        <v>-0.48499999999999999</v>
      </c>
      <c r="E303" s="2">
        <f t="shared" si="20"/>
        <v>-0.5</v>
      </c>
      <c r="F303" s="2">
        <f t="shared" si="21"/>
        <v>485</v>
      </c>
      <c r="G303">
        <v>-0.75700000000000001</v>
      </c>
      <c r="H303">
        <v>0.55800000000000005</v>
      </c>
      <c r="I303">
        <v>0.433</v>
      </c>
      <c r="J303">
        <v>0.38200000000000001</v>
      </c>
      <c r="K303">
        <v>0.28199999999999997</v>
      </c>
      <c r="L303">
        <v>-99.998999999999995</v>
      </c>
      <c r="M303">
        <v>-99.998999999999995</v>
      </c>
      <c r="Q303" s="2">
        <f t="shared" si="22"/>
        <v>-1.7643984224673732</v>
      </c>
      <c r="T303" s="2">
        <f t="shared" si="23"/>
        <v>138579.15173648574</v>
      </c>
      <c r="W303" s="2">
        <f t="shared" si="24"/>
        <v>138579.15173648574</v>
      </c>
    </row>
    <row r="304" spans="1:23">
      <c r="A304">
        <v>1297</v>
      </c>
      <c r="B304">
        <v>5</v>
      </c>
      <c r="C304">
        <v>4</v>
      </c>
      <c r="D304">
        <v>-3.1549999999999998</v>
      </c>
      <c r="E304" s="2">
        <f t="shared" si="20"/>
        <v>-3</v>
      </c>
      <c r="F304" s="2">
        <f t="shared" si="21"/>
        <v>96</v>
      </c>
      <c r="G304">
        <v>-0.749</v>
      </c>
      <c r="H304">
        <v>0.55800000000000005</v>
      </c>
      <c r="I304">
        <v>0.433</v>
      </c>
      <c r="J304">
        <v>0.38200000000000001</v>
      </c>
      <c r="K304">
        <v>0.28199999999999997</v>
      </c>
      <c r="L304">
        <v>-99.998999999999995</v>
      </c>
      <c r="M304">
        <v>-99.998999999999995</v>
      </c>
      <c r="Q304" s="2">
        <f t="shared" si="22"/>
        <v>-2.4828930614498907</v>
      </c>
      <c r="T304" s="2">
        <f t="shared" si="23"/>
        <v>77952.318268218834</v>
      </c>
      <c r="W304" s="2">
        <f t="shared" si="24"/>
        <v>77952.318268218834</v>
      </c>
    </row>
    <row r="305" spans="1:23">
      <c r="A305">
        <v>1298</v>
      </c>
      <c r="B305">
        <v>5</v>
      </c>
      <c r="C305">
        <v>4</v>
      </c>
      <c r="D305">
        <v>2.3769999999999998</v>
      </c>
      <c r="E305" s="2">
        <f t="shared" si="20"/>
        <v>2.5</v>
      </c>
      <c r="F305" s="2">
        <f t="shared" si="21"/>
        <v>891</v>
      </c>
      <c r="G305">
        <v>-0.77500000000000002</v>
      </c>
      <c r="H305">
        <v>0.55800000000000005</v>
      </c>
      <c r="I305">
        <v>0.433</v>
      </c>
      <c r="J305">
        <v>0.38200000000000001</v>
      </c>
      <c r="K305">
        <v>0.28199999999999997</v>
      </c>
      <c r="L305">
        <v>-99.998999999999995</v>
      </c>
      <c r="M305">
        <v>-99.998999999999995</v>
      </c>
      <c r="Q305" s="2">
        <f t="shared" si="22"/>
        <v>-0.99423675326588823</v>
      </c>
      <c r="T305" s="2">
        <f t="shared" si="23"/>
        <v>203565.66761145947</v>
      </c>
      <c r="W305" s="2">
        <f t="shared" si="24"/>
        <v>203565.66761145947</v>
      </c>
    </row>
    <row r="306" spans="1:23">
      <c r="A306">
        <v>1299</v>
      </c>
      <c r="B306">
        <v>5</v>
      </c>
      <c r="C306">
        <v>4</v>
      </c>
      <c r="D306">
        <v>-0.72699999999999998</v>
      </c>
      <c r="E306" s="2">
        <f t="shared" si="20"/>
        <v>-0.5</v>
      </c>
      <c r="F306" s="2">
        <f t="shared" si="21"/>
        <v>437</v>
      </c>
      <c r="G306">
        <v>-0.83799999999999997</v>
      </c>
      <c r="H306">
        <v>0.55800000000000005</v>
      </c>
      <c r="I306">
        <v>0.433</v>
      </c>
      <c r="J306">
        <v>0.38200000000000001</v>
      </c>
      <c r="K306">
        <v>0.28199999999999997</v>
      </c>
      <c r="L306">
        <v>-99.998999999999995</v>
      </c>
      <c r="M306">
        <v>-99.998999999999995</v>
      </c>
      <c r="Q306" s="2">
        <f t="shared" si="22"/>
        <v>-1.8295204084725303</v>
      </c>
      <c r="T306" s="2">
        <f t="shared" si="23"/>
        <v>133084.13536969901</v>
      </c>
      <c r="W306" s="2">
        <f t="shared" si="24"/>
        <v>133084.13536969901</v>
      </c>
    </row>
    <row r="307" spans="1:23">
      <c r="A307">
        <v>1300</v>
      </c>
      <c r="B307">
        <v>5</v>
      </c>
      <c r="C307">
        <v>4</v>
      </c>
      <c r="D307">
        <v>-1.278</v>
      </c>
      <c r="E307" s="2">
        <f t="shared" si="20"/>
        <v>-1.5</v>
      </c>
      <c r="F307" s="2">
        <f t="shared" si="21"/>
        <v>357</v>
      </c>
      <c r="G307">
        <v>-0.92500000000000004</v>
      </c>
      <c r="H307">
        <v>0.55800000000000005</v>
      </c>
      <c r="I307">
        <v>0.433</v>
      </c>
      <c r="J307">
        <v>0.38200000000000001</v>
      </c>
      <c r="K307">
        <v>0.28199999999999997</v>
      </c>
      <c r="L307">
        <v>-99.998999999999995</v>
      </c>
      <c r="M307">
        <v>-99.998999999999995</v>
      </c>
      <c r="Q307" s="2">
        <f t="shared" si="22"/>
        <v>-1.9777940212363381</v>
      </c>
      <c r="T307" s="2">
        <f t="shared" si="23"/>
        <v>120572.75512961845</v>
      </c>
      <c r="W307" s="2">
        <f t="shared" si="24"/>
        <v>120572.75512961845</v>
      </c>
    </row>
    <row r="308" spans="1:23">
      <c r="A308">
        <v>1301</v>
      </c>
      <c r="B308">
        <v>5</v>
      </c>
      <c r="C308">
        <v>4</v>
      </c>
      <c r="D308">
        <v>-0.84199999999999997</v>
      </c>
      <c r="E308" s="2">
        <f t="shared" si="20"/>
        <v>-1</v>
      </c>
      <c r="F308" s="2">
        <f t="shared" si="21"/>
        <v>415</v>
      </c>
      <c r="G308">
        <v>-1.0149999999999999</v>
      </c>
      <c r="H308">
        <v>0.55800000000000005</v>
      </c>
      <c r="I308">
        <v>0.433</v>
      </c>
      <c r="J308">
        <v>0.38200000000000001</v>
      </c>
      <c r="K308">
        <v>0.28199999999999997</v>
      </c>
      <c r="L308">
        <v>-99.998999999999995</v>
      </c>
      <c r="M308">
        <v>-99.998999999999995</v>
      </c>
      <c r="Q308" s="2">
        <f t="shared" si="22"/>
        <v>-1.8604668067807659</v>
      </c>
      <c r="T308" s="2">
        <f t="shared" si="23"/>
        <v>130472.86726151523</v>
      </c>
      <c r="W308" s="2">
        <f t="shared" si="24"/>
        <v>130472.86726151523</v>
      </c>
    </row>
    <row r="309" spans="1:23">
      <c r="A309">
        <v>1302</v>
      </c>
      <c r="B309">
        <v>5</v>
      </c>
      <c r="C309">
        <v>4</v>
      </c>
      <c r="D309">
        <v>-2.8519999999999999</v>
      </c>
      <c r="E309" s="2">
        <f t="shared" si="20"/>
        <v>-3</v>
      </c>
      <c r="F309" s="2">
        <f t="shared" si="21"/>
        <v>126</v>
      </c>
      <c r="G309">
        <v>-1.0940000000000001</v>
      </c>
      <c r="H309">
        <v>0.55800000000000005</v>
      </c>
      <c r="I309">
        <v>0.433</v>
      </c>
      <c r="J309">
        <v>0.38200000000000001</v>
      </c>
      <c r="K309">
        <v>0.28199999999999997</v>
      </c>
      <c r="L309">
        <v>-99.998999999999995</v>
      </c>
      <c r="M309">
        <v>-99.998999999999995</v>
      </c>
      <c r="Q309" s="2">
        <f t="shared" si="22"/>
        <v>-2.4013560293855827</v>
      </c>
      <c r="T309" s="2">
        <f t="shared" si="23"/>
        <v>84832.442066303047</v>
      </c>
      <c r="W309" s="2">
        <f t="shared" si="24"/>
        <v>84832.442066303047</v>
      </c>
    </row>
    <row r="310" spans="1:23">
      <c r="A310">
        <v>1303</v>
      </c>
      <c r="B310">
        <v>5</v>
      </c>
      <c r="C310">
        <v>4</v>
      </c>
      <c r="D310">
        <v>-1.5549999999999999</v>
      </c>
      <c r="E310" s="2">
        <f t="shared" si="20"/>
        <v>-1.5</v>
      </c>
      <c r="F310" s="2">
        <f t="shared" si="21"/>
        <v>315</v>
      </c>
      <c r="G310">
        <v>-1.1459999999999999</v>
      </c>
      <c r="H310">
        <v>0.55800000000000005</v>
      </c>
      <c r="I310">
        <v>0.433</v>
      </c>
      <c r="J310">
        <v>0.38200000000000001</v>
      </c>
      <c r="K310">
        <v>0.28199999999999997</v>
      </c>
      <c r="L310">
        <v>-99.998999999999995</v>
      </c>
      <c r="M310">
        <v>-99.998999999999995</v>
      </c>
      <c r="Q310" s="2">
        <f t="shared" si="22"/>
        <v>-2.0523344762918279</v>
      </c>
      <c r="T310" s="2">
        <f t="shared" si="23"/>
        <v>114283.00499077578</v>
      </c>
      <c r="W310" s="2">
        <f t="shared" si="24"/>
        <v>114283.00499077578</v>
      </c>
    </row>
    <row r="311" spans="1:23">
      <c r="A311">
        <v>1304</v>
      </c>
      <c r="B311">
        <v>5</v>
      </c>
      <c r="C311">
        <v>4</v>
      </c>
      <c r="D311">
        <v>0.59699999999999998</v>
      </c>
      <c r="E311" s="2">
        <f t="shared" si="20"/>
        <v>0.5</v>
      </c>
      <c r="F311" s="2">
        <f t="shared" si="21"/>
        <v>670</v>
      </c>
      <c r="G311">
        <v>-1.1679999999999999</v>
      </c>
      <c r="H311">
        <v>0.55800000000000005</v>
      </c>
      <c r="I311">
        <v>0.433</v>
      </c>
      <c r="J311">
        <v>0.38200000000000001</v>
      </c>
      <c r="K311">
        <v>0.28199999999999997</v>
      </c>
      <c r="L311">
        <v>-99.998999999999995</v>
      </c>
      <c r="M311">
        <v>-99.998999999999995</v>
      </c>
      <c r="Q311" s="2">
        <f t="shared" si="22"/>
        <v>-1.4732331792542332</v>
      </c>
      <c r="T311" s="2">
        <f t="shared" si="23"/>
        <v>163147.77863261488</v>
      </c>
      <c r="W311" s="2">
        <f t="shared" si="24"/>
        <v>163147.77863261488</v>
      </c>
    </row>
    <row r="312" spans="1:23">
      <c r="A312">
        <v>1305</v>
      </c>
      <c r="B312">
        <v>5</v>
      </c>
      <c r="C312">
        <v>4</v>
      </c>
      <c r="D312">
        <v>-2.16</v>
      </c>
      <c r="E312" s="2">
        <f t="shared" si="20"/>
        <v>-2</v>
      </c>
      <c r="F312" s="2">
        <f t="shared" si="21"/>
        <v>223</v>
      </c>
      <c r="G312">
        <v>-1.161</v>
      </c>
      <c r="H312">
        <v>0.55800000000000005</v>
      </c>
      <c r="I312">
        <v>0.433</v>
      </c>
      <c r="J312">
        <v>0.38200000000000001</v>
      </c>
      <c r="K312">
        <v>0.28199999999999997</v>
      </c>
      <c r="L312">
        <v>-99.998999999999995</v>
      </c>
      <c r="M312">
        <v>-99.998999999999995</v>
      </c>
      <c r="Q312" s="2">
        <f t="shared" si="22"/>
        <v>-2.2151394413047205</v>
      </c>
      <c r="T312" s="2">
        <f t="shared" si="23"/>
        <v>100545.46407380892</v>
      </c>
      <c r="W312" s="2">
        <f t="shared" si="24"/>
        <v>100545.46407380892</v>
      </c>
    </row>
    <row r="313" spans="1:23">
      <c r="A313">
        <v>1306</v>
      </c>
      <c r="B313">
        <v>5</v>
      </c>
      <c r="C313">
        <v>4</v>
      </c>
      <c r="D313">
        <v>-0.16200000000000001</v>
      </c>
      <c r="E313" s="2">
        <f t="shared" si="20"/>
        <v>0</v>
      </c>
      <c r="F313" s="2">
        <f t="shared" si="21"/>
        <v>543</v>
      </c>
      <c r="G313">
        <v>-1.115</v>
      </c>
      <c r="H313">
        <v>0.55800000000000005</v>
      </c>
      <c r="I313">
        <v>0.433</v>
      </c>
      <c r="J313">
        <v>0.38200000000000001</v>
      </c>
      <c r="K313">
        <v>0.28199999999999997</v>
      </c>
      <c r="L313">
        <v>-99.998999999999995</v>
      </c>
      <c r="M313">
        <v>-99.998999999999995</v>
      </c>
      <c r="Q313" s="2">
        <f t="shared" si="22"/>
        <v>-1.6774794080885893</v>
      </c>
      <c r="T313" s="2">
        <f t="shared" si="23"/>
        <v>145913.40911860194</v>
      </c>
      <c r="W313" s="2">
        <f t="shared" si="24"/>
        <v>145913.40911860194</v>
      </c>
    </row>
    <row r="314" spans="1:23">
      <c r="A314">
        <v>1307</v>
      </c>
      <c r="B314">
        <v>5</v>
      </c>
      <c r="C314">
        <v>4</v>
      </c>
      <c r="D314">
        <v>-4.8760000000000003</v>
      </c>
      <c r="E314" s="2">
        <f t="shared" si="20"/>
        <v>-5</v>
      </c>
      <c r="F314" s="2">
        <f t="shared" si="21"/>
        <v>12</v>
      </c>
      <c r="G314">
        <v>-1.0229999999999999</v>
      </c>
      <c r="H314">
        <v>0.55800000000000005</v>
      </c>
      <c r="I314">
        <v>0.433</v>
      </c>
      <c r="J314">
        <v>0.38200000000000001</v>
      </c>
      <c r="K314">
        <v>0.28199999999999997</v>
      </c>
      <c r="L314">
        <v>-99.998999999999995</v>
      </c>
      <c r="M314">
        <v>-99.998999999999995</v>
      </c>
      <c r="Q314" s="2">
        <f t="shared" si="22"/>
        <v>-2.9460126396105322</v>
      </c>
      <c r="T314" s="2">
        <f t="shared" si="23"/>
        <v>38874.123362268525</v>
      </c>
      <c r="W314" s="2">
        <f t="shared" si="24"/>
        <v>38874.123362268525</v>
      </c>
    </row>
    <row r="315" spans="1:23">
      <c r="A315">
        <v>1308</v>
      </c>
      <c r="B315">
        <v>5</v>
      </c>
      <c r="C315">
        <v>4</v>
      </c>
      <c r="D315">
        <v>-1.6859999999999999</v>
      </c>
      <c r="E315" s="2">
        <f t="shared" si="20"/>
        <v>-1.5</v>
      </c>
      <c r="F315" s="2">
        <f t="shared" si="21"/>
        <v>292</v>
      </c>
      <c r="G315">
        <v>-0.88</v>
      </c>
      <c r="H315">
        <v>0.55800000000000005</v>
      </c>
      <c r="I315">
        <v>0.433</v>
      </c>
      <c r="J315">
        <v>0.38200000000000001</v>
      </c>
      <c r="K315">
        <v>0.28199999999999997</v>
      </c>
      <c r="L315">
        <v>-99.998999999999995</v>
      </c>
      <c r="M315">
        <v>-99.998999999999995</v>
      </c>
      <c r="Q315" s="2">
        <f t="shared" si="22"/>
        <v>-2.0875864604516443</v>
      </c>
      <c r="T315" s="2">
        <f t="shared" si="23"/>
        <v>111308.43001536644</v>
      </c>
      <c r="W315" s="2">
        <f t="shared" si="24"/>
        <v>111308.43001536644</v>
      </c>
    </row>
    <row r="316" spans="1:23">
      <c r="A316">
        <v>1309</v>
      </c>
      <c r="B316">
        <v>5</v>
      </c>
      <c r="C316">
        <v>4</v>
      </c>
      <c r="D316">
        <v>0.78900000000000003</v>
      </c>
      <c r="E316" s="2">
        <f t="shared" si="20"/>
        <v>1</v>
      </c>
      <c r="F316" s="2">
        <f t="shared" si="21"/>
        <v>697</v>
      </c>
      <c r="G316">
        <v>-0.70399999999999996</v>
      </c>
      <c r="H316">
        <v>0.55800000000000005</v>
      </c>
      <c r="I316">
        <v>0.433</v>
      </c>
      <c r="J316">
        <v>0.38200000000000001</v>
      </c>
      <c r="K316">
        <v>0.28199999999999997</v>
      </c>
      <c r="L316">
        <v>-99.998999999999995</v>
      </c>
      <c r="M316">
        <v>-99.998999999999995</v>
      </c>
      <c r="Q316" s="2">
        <f t="shared" si="22"/>
        <v>-1.4215661490352656</v>
      </c>
      <c r="T316" s="2">
        <f t="shared" si="23"/>
        <v>167507.46103932173</v>
      </c>
      <c r="W316" s="2">
        <f t="shared" si="24"/>
        <v>167507.46103932173</v>
      </c>
    </row>
    <row r="317" spans="1:23">
      <c r="A317">
        <v>1310</v>
      </c>
      <c r="B317">
        <v>5</v>
      </c>
      <c r="C317">
        <v>4</v>
      </c>
      <c r="D317">
        <v>-1.5640000000000001</v>
      </c>
      <c r="E317" s="2">
        <f t="shared" si="20"/>
        <v>-1.5</v>
      </c>
      <c r="F317" s="2">
        <f t="shared" si="21"/>
        <v>314</v>
      </c>
      <c r="G317">
        <v>-0.52400000000000002</v>
      </c>
      <c r="H317">
        <v>0.55800000000000005</v>
      </c>
      <c r="I317">
        <v>0.433</v>
      </c>
      <c r="J317">
        <v>0.38200000000000001</v>
      </c>
      <c r="K317">
        <v>0.28199999999999997</v>
      </c>
      <c r="L317">
        <v>-99.998999999999995</v>
      </c>
      <c r="M317">
        <v>-99.998999999999995</v>
      </c>
      <c r="Q317" s="2">
        <f t="shared" si="22"/>
        <v>-2.0547563683333419</v>
      </c>
      <c r="T317" s="2">
        <f t="shared" si="23"/>
        <v>114078.6448779614</v>
      </c>
      <c r="W317" s="2">
        <f t="shared" si="24"/>
        <v>114078.6448779614</v>
      </c>
    </row>
    <row r="318" spans="1:23">
      <c r="A318">
        <v>1311</v>
      </c>
      <c r="B318">
        <v>5</v>
      </c>
      <c r="C318">
        <v>4</v>
      </c>
      <c r="D318">
        <v>0.98399999999999999</v>
      </c>
      <c r="E318" s="2">
        <f t="shared" si="20"/>
        <v>1</v>
      </c>
      <c r="F318" s="2">
        <f t="shared" si="21"/>
        <v>724</v>
      </c>
      <c r="G318">
        <v>-0.36099999999999999</v>
      </c>
      <c r="H318">
        <v>0.55800000000000005</v>
      </c>
      <c r="I318">
        <v>0.433</v>
      </c>
      <c r="J318">
        <v>0.38200000000000001</v>
      </c>
      <c r="K318">
        <v>0.28199999999999997</v>
      </c>
      <c r="L318">
        <v>-99.998999999999995</v>
      </c>
      <c r="M318">
        <v>-99.998999999999995</v>
      </c>
      <c r="Q318" s="2">
        <f t="shared" si="22"/>
        <v>-1.3690918214691268</v>
      </c>
      <c r="T318" s="2">
        <f t="shared" si="23"/>
        <v>171935.26348363335</v>
      </c>
      <c r="W318" s="2">
        <f t="shared" si="24"/>
        <v>171935.26348363335</v>
      </c>
    </row>
    <row r="319" spans="1:23">
      <c r="A319">
        <v>1312</v>
      </c>
      <c r="B319">
        <v>5</v>
      </c>
      <c r="C319">
        <v>4</v>
      </c>
      <c r="D319">
        <v>1.1180000000000001</v>
      </c>
      <c r="E319" s="2">
        <f t="shared" si="20"/>
        <v>1</v>
      </c>
      <c r="F319" s="2">
        <f t="shared" si="21"/>
        <v>749</v>
      </c>
      <c r="G319">
        <v>-0.24</v>
      </c>
      <c r="H319">
        <v>0.55800000000000005</v>
      </c>
      <c r="I319">
        <v>0.433</v>
      </c>
      <c r="J319">
        <v>0.38200000000000001</v>
      </c>
      <c r="K319">
        <v>0.28199999999999997</v>
      </c>
      <c r="L319">
        <v>-99.998999999999995</v>
      </c>
      <c r="M319">
        <v>-99.998999999999995</v>
      </c>
      <c r="Q319" s="2">
        <f t="shared" si="22"/>
        <v>-1.333032539962139</v>
      </c>
      <c r="T319" s="2">
        <f t="shared" si="23"/>
        <v>174977.95849664748</v>
      </c>
      <c r="W319" s="2">
        <f t="shared" si="24"/>
        <v>174977.95849664748</v>
      </c>
    </row>
    <row r="320" spans="1:23">
      <c r="A320">
        <v>1313</v>
      </c>
      <c r="B320">
        <v>5</v>
      </c>
      <c r="C320">
        <v>4</v>
      </c>
      <c r="D320">
        <v>1.7270000000000001</v>
      </c>
      <c r="E320" s="2">
        <f t="shared" si="20"/>
        <v>1.5</v>
      </c>
      <c r="F320" s="2">
        <f t="shared" si="21"/>
        <v>828</v>
      </c>
      <c r="G320">
        <v>-0.17499999999999999</v>
      </c>
      <c r="H320">
        <v>0.55800000000000005</v>
      </c>
      <c r="I320">
        <v>0.433</v>
      </c>
      <c r="J320">
        <v>0.38200000000000001</v>
      </c>
      <c r="K320">
        <v>0.28199999999999997</v>
      </c>
      <c r="L320">
        <v>-99.998999999999995</v>
      </c>
      <c r="M320">
        <v>-99.998999999999995</v>
      </c>
      <c r="Q320" s="2">
        <f t="shared" si="22"/>
        <v>-1.1691511784863513</v>
      </c>
      <c r="T320" s="2">
        <f t="shared" si="23"/>
        <v>188806.32613042073</v>
      </c>
      <c r="W320" s="2">
        <f t="shared" si="24"/>
        <v>188806.32613042073</v>
      </c>
    </row>
    <row r="321" spans="1:23">
      <c r="A321">
        <v>1314</v>
      </c>
      <c r="B321">
        <v>5</v>
      </c>
      <c r="C321">
        <v>4</v>
      </c>
      <c r="D321">
        <v>4.1500000000000004</v>
      </c>
      <c r="E321" s="2">
        <f t="shared" si="20"/>
        <v>4</v>
      </c>
      <c r="F321" s="2">
        <f t="shared" si="21"/>
        <v>981</v>
      </c>
      <c r="G321">
        <v>-0.16600000000000001</v>
      </c>
      <c r="H321">
        <v>0.55800000000000005</v>
      </c>
      <c r="I321">
        <v>0.433</v>
      </c>
      <c r="J321">
        <v>0.38200000000000001</v>
      </c>
      <c r="K321">
        <v>0.28199999999999997</v>
      </c>
      <c r="L321">
        <v>-99.998999999999995</v>
      </c>
      <c r="M321">
        <v>-99.998999999999995</v>
      </c>
      <c r="Q321" s="2">
        <f t="shared" si="22"/>
        <v>-0.51712402108760958</v>
      </c>
      <c r="T321" s="2">
        <f t="shared" si="23"/>
        <v>243824.60983589292</v>
      </c>
      <c r="W321" s="2">
        <f t="shared" si="24"/>
        <v>243824.60983589292</v>
      </c>
    </row>
    <row r="322" spans="1:23">
      <c r="A322">
        <v>1315</v>
      </c>
      <c r="B322">
        <v>5</v>
      </c>
      <c r="C322">
        <v>4</v>
      </c>
      <c r="D322">
        <v>-4.0659999999999998</v>
      </c>
      <c r="E322" s="2">
        <f t="shared" si="20"/>
        <v>-4</v>
      </c>
      <c r="F322" s="2">
        <f t="shared" si="21"/>
        <v>34</v>
      </c>
      <c r="G322">
        <v>-0.192</v>
      </c>
      <c r="H322">
        <v>0.55800000000000005</v>
      </c>
      <c r="I322">
        <v>0.433</v>
      </c>
      <c r="J322">
        <v>0.38200000000000001</v>
      </c>
      <c r="K322">
        <v>0.28199999999999997</v>
      </c>
      <c r="L322">
        <v>-99.998999999999995</v>
      </c>
      <c r="M322">
        <v>-99.998999999999995</v>
      </c>
      <c r="Q322" s="2">
        <f t="shared" si="22"/>
        <v>-2.7280423558742628</v>
      </c>
      <c r="T322" s="2">
        <f t="shared" si="23"/>
        <v>57266.533515562973</v>
      </c>
      <c r="W322" s="2">
        <f t="shared" si="24"/>
        <v>57266.533515562973</v>
      </c>
    </row>
    <row r="323" spans="1:23">
      <c r="A323">
        <v>1316</v>
      </c>
      <c r="B323">
        <v>5</v>
      </c>
      <c r="C323">
        <v>4</v>
      </c>
      <c r="D323">
        <v>-2.1819999999999999</v>
      </c>
      <c r="E323" s="2">
        <f t="shared" ref="E323:E386" si="25">IF(D323&gt;0,MROUND(D323,0.5),MROUND(D323,-0.5))</f>
        <v>-2</v>
      </c>
      <c r="F323" s="2">
        <f t="shared" ref="F323:F386" si="26">RANK(D323,$D$3:$D$1011,1)</f>
        <v>219</v>
      </c>
      <c r="G323">
        <v>-0.20799999999999999</v>
      </c>
      <c r="H323">
        <v>0.55800000000000005</v>
      </c>
      <c r="I323">
        <v>0.433</v>
      </c>
      <c r="J323">
        <v>0.38200000000000001</v>
      </c>
      <c r="K323">
        <v>0.28199999999999997</v>
      </c>
      <c r="L323">
        <v>-99.998999999999995</v>
      </c>
      <c r="M323">
        <v>-99.998999999999995</v>
      </c>
      <c r="Q323" s="2">
        <f t="shared" ref="Q323:Q386" si="27">$Q$1022+($Q$1021*D323)</f>
        <v>-2.2210596218506438</v>
      </c>
      <c r="T323" s="2">
        <f t="shared" ref="T323:T386" si="28">$T$1025+(Q323*$T$1024)</f>
        <v>100045.91713137378</v>
      </c>
      <c r="W323" s="2">
        <f t="shared" ref="W323:W386" si="29">$T$1025+(Q323*$T$1024)</f>
        <v>100045.91713137378</v>
      </c>
    </row>
    <row r="324" spans="1:23">
      <c r="A324">
        <v>1317</v>
      </c>
      <c r="B324">
        <v>5</v>
      </c>
      <c r="C324">
        <v>4</v>
      </c>
      <c r="D324">
        <v>-1.863</v>
      </c>
      <c r="E324" s="2">
        <f t="shared" si="25"/>
        <v>-2</v>
      </c>
      <c r="F324" s="2">
        <f t="shared" si="26"/>
        <v>260</v>
      </c>
      <c r="G324">
        <v>-0.188</v>
      </c>
      <c r="H324">
        <v>0.55800000000000005</v>
      </c>
      <c r="I324">
        <v>0.433</v>
      </c>
      <c r="J324">
        <v>0.38200000000000001</v>
      </c>
      <c r="K324">
        <v>0.28199999999999997</v>
      </c>
      <c r="L324">
        <v>-99.998999999999995</v>
      </c>
      <c r="M324">
        <v>-99.998999999999995</v>
      </c>
      <c r="Q324" s="2">
        <f t="shared" si="27"/>
        <v>-2.1352170039347547</v>
      </c>
      <c r="T324" s="2">
        <f t="shared" si="28"/>
        <v>107289.34779668361</v>
      </c>
      <c r="W324" s="2">
        <f t="shared" si="29"/>
        <v>107289.34779668361</v>
      </c>
    </row>
    <row r="325" spans="1:23">
      <c r="A325">
        <v>1318</v>
      </c>
      <c r="B325">
        <v>5</v>
      </c>
      <c r="C325">
        <v>4</v>
      </c>
      <c r="D325">
        <v>1.9990000000000001</v>
      </c>
      <c r="E325" s="2">
        <f t="shared" si="25"/>
        <v>2</v>
      </c>
      <c r="F325" s="2">
        <f t="shared" si="26"/>
        <v>849</v>
      </c>
      <c r="G325">
        <v>-0.13</v>
      </c>
      <c r="H325">
        <v>0.55800000000000005</v>
      </c>
      <c r="I325">
        <v>0.433</v>
      </c>
      <c r="J325">
        <v>0.38200000000000001</v>
      </c>
      <c r="K325">
        <v>0.28199999999999997</v>
      </c>
      <c r="L325">
        <v>-99.998999999999995</v>
      </c>
      <c r="M325">
        <v>-99.998999999999995</v>
      </c>
      <c r="Q325" s="2">
        <f t="shared" si="27"/>
        <v>-1.0959562190094805</v>
      </c>
      <c r="T325" s="2">
        <f t="shared" si="28"/>
        <v>194982.54287325538</v>
      </c>
      <c r="W325" s="2">
        <f t="shared" si="29"/>
        <v>194982.54287325538</v>
      </c>
    </row>
    <row r="326" spans="1:23">
      <c r="A326">
        <v>1319</v>
      </c>
      <c r="B326">
        <v>5</v>
      </c>
      <c r="C326">
        <v>4</v>
      </c>
      <c r="D326">
        <v>-2.601</v>
      </c>
      <c r="E326" s="2">
        <f t="shared" si="25"/>
        <v>-2.5</v>
      </c>
      <c r="F326" s="2">
        <f t="shared" si="26"/>
        <v>163</v>
      </c>
      <c r="G326">
        <v>-4.1000000000000002E-2</v>
      </c>
      <c r="H326">
        <v>0.55800000000000005</v>
      </c>
      <c r="I326">
        <v>0.433</v>
      </c>
      <c r="J326">
        <v>0.38200000000000001</v>
      </c>
      <c r="K326">
        <v>0.28199999999999997</v>
      </c>
      <c r="L326">
        <v>-99.998999999999995</v>
      </c>
      <c r="M326">
        <v>-99.998999999999995</v>
      </c>
      <c r="Q326" s="2">
        <f t="shared" si="27"/>
        <v>-2.3338121513389112</v>
      </c>
      <c r="T326" s="2">
        <f t="shared" si="28"/>
        <v>90531.818545904214</v>
      </c>
      <c r="W326" s="2">
        <f t="shared" si="29"/>
        <v>90531.818545904214</v>
      </c>
    </row>
    <row r="327" spans="1:23">
      <c r="A327">
        <v>1320</v>
      </c>
      <c r="B327">
        <v>5</v>
      </c>
      <c r="C327">
        <v>4</v>
      </c>
      <c r="D327">
        <v>-1.46</v>
      </c>
      <c r="E327" s="2">
        <f t="shared" si="25"/>
        <v>-1.5</v>
      </c>
      <c r="F327" s="2">
        <f t="shared" si="26"/>
        <v>335</v>
      </c>
      <c r="G327">
        <v>7.6999999999999999E-2</v>
      </c>
      <c r="H327">
        <v>0.55800000000000005</v>
      </c>
      <c r="I327">
        <v>0.433</v>
      </c>
      <c r="J327">
        <v>0.38200000000000001</v>
      </c>
      <c r="K327">
        <v>0.28199999999999997</v>
      </c>
      <c r="L327">
        <v>-99.998999999999995</v>
      </c>
      <c r="M327">
        <v>-99.998999999999995</v>
      </c>
      <c r="Q327" s="2">
        <f t="shared" si="27"/>
        <v>-2.0267700602980678</v>
      </c>
      <c r="T327" s="2">
        <f t="shared" si="28"/>
        <v>116440.13951492761</v>
      </c>
      <c r="W327" s="2">
        <f t="shared" si="29"/>
        <v>116440.13951492761</v>
      </c>
    </row>
    <row r="328" spans="1:23">
      <c r="A328">
        <v>1321</v>
      </c>
      <c r="B328">
        <v>5</v>
      </c>
      <c r="C328">
        <v>4</v>
      </c>
      <c r="D328">
        <v>3.819</v>
      </c>
      <c r="E328" s="2">
        <f t="shared" si="25"/>
        <v>4</v>
      </c>
      <c r="F328" s="2">
        <f t="shared" si="26"/>
        <v>971</v>
      </c>
      <c r="G328">
        <v>0.20799999999999999</v>
      </c>
      <c r="H328">
        <v>0.55800000000000005</v>
      </c>
      <c r="I328">
        <v>0.433</v>
      </c>
      <c r="J328">
        <v>0.38200000000000001</v>
      </c>
      <c r="K328">
        <v>0.28199999999999997</v>
      </c>
      <c r="L328">
        <v>-99.998999999999995</v>
      </c>
      <c r="M328">
        <v>-99.998999999999995</v>
      </c>
      <c r="Q328" s="2">
        <f t="shared" si="27"/>
        <v>-0.606195828392184</v>
      </c>
      <c r="T328" s="2">
        <f t="shared" si="28"/>
        <v>236308.69902016391</v>
      </c>
      <c r="W328" s="2">
        <f t="shared" si="29"/>
        <v>236308.69902016391</v>
      </c>
    </row>
    <row r="329" spans="1:23">
      <c r="A329">
        <v>1322</v>
      </c>
      <c r="B329">
        <v>5</v>
      </c>
      <c r="C329">
        <v>4</v>
      </c>
      <c r="D329">
        <v>-1.32</v>
      </c>
      <c r="E329" s="2">
        <f t="shared" si="25"/>
        <v>-1.5</v>
      </c>
      <c r="F329" s="2">
        <f t="shared" si="26"/>
        <v>352</v>
      </c>
      <c r="G329">
        <v>0.32800000000000001</v>
      </c>
      <c r="H329">
        <v>0.55800000000000005</v>
      </c>
      <c r="I329">
        <v>0.433</v>
      </c>
      <c r="J329">
        <v>0.38200000000000001</v>
      </c>
      <c r="K329">
        <v>0.28199999999999997</v>
      </c>
      <c r="L329">
        <v>-99.998999999999995</v>
      </c>
      <c r="M329">
        <v>-99.998999999999995</v>
      </c>
      <c r="Q329" s="2">
        <f t="shared" si="27"/>
        <v>-1.9890961840967374</v>
      </c>
      <c r="T329" s="2">
        <f t="shared" si="28"/>
        <v>119619.07460315133</v>
      </c>
      <c r="W329" s="2">
        <f t="shared" si="29"/>
        <v>119619.07460315133</v>
      </c>
    </row>
    <row r="330" spans="1:23">
      <c r="A330">
        <v>1323</v>
      </c>
      <c r="B330">
        <v>5</v>
      </c>
      <c r="C330">
        <v>4</v>
      </c>
      <c r="D330">
        <v>2.1309999999999998</v>
      </c>
      <c r="E330" s="2">
        <f t="shared" si="25"/>
        <v>2</v>
      </c>
      <c r="F330" s="2">
        <f t="shared" si="26"/>
        <v>864</v>
      </c>
      <c r="G330">
        <v>0.42899999999999999</v>
      </c>
      <c r="H330">
        <v>0.55800000000000005</v>
      </c>
      <c r="I330">
        <v>0.433</v>
      </c>
      <c r="J330">
        <v>0.38200000000000001</v>
      </c>
      <c r="K330">
        <v>0.28199999999999997</v>
      </c>
      <c r="L330">
        <v>-99.998999999999995</v>
      </c>
      <c r="M330">
        <v>-99.998999999999995</v>
      </c>
      <c r="Q330" s="2">
        <f t="shared" si="27"/>
        <v>-1.0604351357339405</v>
      </c>
      <c r="T330" s="2">
        <f t="shared" si="28"/>
        <v>197979.82452786632</v>
      </c>
      <c r="W330" s="2">
        <f t="shared" si="29"/>
        <v>197979.82452786632</v>
      </c>
    </row>
    <row r="331" spans="1:23">
      <c r="A331">
        <v>1324</v>
      </c>
      <c r="B331">
        <v>5</v>
      </c>
      <c r="C331">
        <v>4</v>
      </c>
      <c r="D331">
        <v>1.163</v>
      </c>
      <c r="E331" s="2">
        <f t="shared" si="25"/>
        <v>1</v>
      </c>
      <c r="F331" s="2">
        <f t="shared" si="26"/>
        <v>755</v>
      </c>
      <c r="G331">
        <v>0.502</v>
      </c>
      <c r="H331">
        <v>0.55800000000000005</v>
      </c>
      <c r="I331">
        <v>0.433</v>
      </c>
      <c r="J331">
        <v>0.38200000000000001</v>
      </c>
      <c r="K331">
        <v>0.28199999999999997</v>
      </c>
      <c r="L331">
        <v>-99.998999999999995</v>
      </c>
      <c r="M331">
        <v>-99.998999999999995</v>
      </c>
      <c r="Q331" s="2">
        <f t="shared" si="27"/>
        <v>-1.3209230797545684</v>
      </c>
      <c r="T331" s="2">
        <f t="shared" si="28"/>
        <v>175999.7590607194</v>
      </c>
      <c r="W331" s="2">
        <f t="shared" si="29"/>
        <v>175999.7590607194</v>
      </c>
    </row>
    <row r="332" spans="1:23">
      <c r="A332">
        <v>1325</v>
      </c>
      <c r="B332">
        <v>5</v>
      </c>
      <c r="C332">
        <v>4</v>
      </c>
      <c r="D332">
        <v>-0.13800000000000001</v>
      </c>
      <c r="E332" s="2">
        <f t="shared" si="25"/>
        <v>0</v>
      </c>
      <c r="F332" s="2">
        <f t="shared" si="26"/>
        <v>546</v>
      </c>
      <c r="G332">
        <v>0.55000000000000004</v>
      </c>
      <c r="H332">
        <v>0.55800000000000005</v>
      </c>
      <c r="I332">
        <v>0.433</v>
      </c>
      <c r="J332">
        <v>0.38200000000000001</v>
      </c>
      <c r="K332">
        <v>0.28199999999999997</v>
      </c>
      <c r="L332">
        <v>-99.998999999999995</v>
      </c>
      <c r="M332">
        <v>-99.998999999999995</v>
      </c>
      <c r="Q332" s="2">
        <f t="shared" si="27"/>
        <v>-1.6710210293112184</v>
      </c>
      <c r="T332" s="2">
        <f t="shared" si="28"/>
        <v>146458.36941944028</v>
      </c>
      <c r="W332" s="2">
        <f t="shared" si="29"/>
        <v>146458.36941944028</v>
      </c>
    </row>
    <row r="333" spans="1:23">
      <c r="A333">
        <v>1326</v>
      </c>
      <c r="B333">
        <v>5</v>
      </c>
      <c r="C333">
        <v>4</v>
      </c>
      <c r="D333">
        <v>3.2349999999999999</v>
      </c>
      <c r="E333" s="2">
        <f t="shared" si="25"/>
        <v>3</v>
      </c>
      <c r="F333" s="2">
        <f t="shared" si="26"/>
        <v>947</v>
      </c>
      <c r="G333">
        <v>0.57799999999999996</v>
      </c>
      <c r="H333">
        <v>0.55800000000000005</v>
      </c>
      <c r="I333">
        <v>0.433</v>
      </c>
      <c r="J333">
        <v>0.38200000000000001</v>
      </c>
      <c r="K333">
        <v>0.28199999999999997</v>
      </c>
      <c r="L333">
        <v>-99.998999999999995</v>
      </c>
      <c r="M333">
        <v>-99.998999999999995</v>
      </c>
      <c r="Q333" s="2">
        <f t="shared" si="27"/>
        <v>-0.763349711974877</v>
      </c>
      <c r="T333" s="2">
        <f t="shared" si="28"/>
        <v>223047.99836643063</v>
      </c>
      <c r="W333" s="2">
        <f t="shared" si="29"/>
        <v>223047.99836643063</v>
      </c>
    </row>
    <row r="334" spans="1:23">
      <c r="A334">
        <v>1327</v>
      </c>
      <c r="B334">
        <v>5</v>
      </c>
      <c r="C334">
        <v>4</v>
      </c>
      <c r="D334">
        <v>-0.183</v>
      </c>
      <c r="E334" s="2">
        <f t="shared" si="25"/>
        <v>0</v>
      </c>
      <c r="F334" s="2">
        <f t="shared" si="26"/>
        <v>540</v>
      </c>
      <c r="G334">
        <v>0.59499999999999997</v>
      </c>
      <c r="H334">
        <v>0.55800000000000005</v>
      </c>
      <c r="I334">
        <v>0.433</v>
      </c>
      <c r="J334">
        <v>0.38200000000000001</v>
      </c>
      <c r="K334">
        <v>0.28199999999999997</v>
      </c>
      <c r="L334">
        <v>-99.998999999999995</v>
      </c>
      <c r="M334">
        <v>-99.998999999999995</v>
      </c>
      <c r="Q334" s="2">
        <f t="shared" si="27"/>
        <v>-1.6831304895187889</v>
      </c>
      <c r="T334" s="2">
        <f t="shared" si="28"/>
        <v>145436.56885536836</v>
      </c>
      <c r="W334" s="2">
        <f t="shared" si="29"/>
        <v>145436.56885536836</v>
      </c>
    </row>
    <row r="335" spans="1:23">
      <c r="A335">
        <v>1328</v>
      </c>
      <c r="B335">
        <v>5</v>
      </c>
      <c r="C335">
        <v>4</v>
      </c>
      <c r="D335">
        <v>-0.55400000000000005</v>
      </c>
      <c r="E335" s="2">
        <f t="shared" si="25"/>
        <v>-0.5</v>
      </c>
      <c r="F335" s="2">
        <f t="shared" si="26"/>
        <v>472</v>
      </c>
      <c r="G335">
        <v>0.622</v>
      </c>
      <c r="H335">
        <v>0.55800000000000005</v>
      </c>
      <c r="I335">
        <v>0.433</v>
      </c>
      <c r="J335">
        <v>0.38200000000000001</v>
      </c>
      <c r="K335">
        <v>0.28199999999999997</v>
      </c>
      <c r="L335">
        <v>-99.998999999999995</v>
      </c>
      <c r="M335">
        <v>-99.998999999999995</v>
      </c>
      <c r="Q335" s="2">
        <f t="shared" si="27"/>
        <v>-1.7829662614523147</v>
      </c>
      <c r="T335" s="2">
        <f t="shared" si="28"/>
        <v>137012.39087157548</v>
      </c>
      <c r="W335" s="2">
        <f t="shared" si="29"/>
        <v>137012.39087157548</v>
      </c>
    </row>
    <row r="336" spans="1:23">
      <c r="A336">
        <v>1329</v>
      </c>
      <c r="B336">
        <v>5</v>
      </c>
      <c r="C336">
        <v>4</v>
      </c>
      <c r="D336">
        <v>-2.2549999999999999</v>
      </c>
      <c r="E336" s="2">
        <f t="shared" si="25"/>
        <v>-2.5</v>
      </c>
      <c r="F336" s="2">
        <f t="shared" si="26"/>
        <v>210</v>
      </c>
      <c r="G336">
        <v>0.68</v>
      </c>
      <c r="H336">
        <v>0.55800000000000005</v>
      </c>
      <c r="I336">
        <v>0.433</v>
      </c>
      <c r="J336">
        <v>0.38200000000000001</v>
      </c>
      <c r="K336">
        <v>0.28199999999999997</v>
      </c>
      <c r="L336">
        <v>-99.998999999999995</v>
      </c>
      <c r="M336">
        <v>-99.998999999999995</v>
      </c>
      <c r="Q336" s="2">
        <f t="shared" si="27"/>
        <v>-2.2407038572984801</v>
      </c>
      <c r="T336" s="2">
        <f t="shared" si="28"/>
        <v>98388.329549657152</v>
      </c>
      <c r="W336" s="2">
        <f t="shared" si="29"/>
        <v>98388.329549657152</v>
      </c>
    </row>
    <row r="337" spans="1:23">
      <c r="A337">
        <v>1330</v>
      </c>
      <c r="B337">
        <v>5</v>
      </c>
      <c r="C337">
        <v>4</v>
      </c>
      <c r="D337">
        <v>0.56100000000000005</v>
      </c>
      <c r="E337" s="2">
        <f t="shared" si="25"/>
        <v>0.5</v>
      </c>
      <c r="F337" s="2">
        <f t="shared" si="26"/>
        <v>663</v>
      </c>
      <c r="G337">
        <v>0.77400000000000002</v>
      </c>
      <c r="H337">
        <v>0.55800000000000005</v>
      </c>
      <c r="I337">
        <v>0.433</v>
      </c>
      <c r="J337">
        <v>0.38200000000000001</v>
      </c>
      <c r="K337">
        <v>0.28199999999999997</v>
      </c>
      <c r="L337">
        <v>-99.998999999999995</v>
      </c>
      <c r="M337">
        <v>-99.998999999999995</v>
      </c>
      <c r="Q337" s="2">
        <f t="shared" si="27"/>
        <v>-1.4829207474202897</v>
      </c>
      <c r="T337" s="2">
        <f t="shared" si="28"/>
        <v>162330.33818135734</v>
      </c>
      <c r="W337" s="2">
        <f t="shared" si="29"/>
        <v>162330.33818135734</v>
      </c>
    </row>
    <row r="338" spans="1:23">
      <c r="A338">
        <v>1331</v>
      </c>
      <c r="B338">
        <v>5</v>
      </c>
      <c r="C338">
        <v>4</v>
      </c>
      <c r="D338">
        <v>0.93300000000000005</v>
      </c>
      <c r="E338" s="2">
        <f t="shared" si="25"/>
        <v>1</v>
      </c>
      <c r="F338" s="2">
        <f t="shared" si="26"/>
        <v>716</v>
      </c>
      <c r="G338">
        <v>0.89100000000000001</v>
      </c>
      <c r="H338">
        <v>0.55800000000000005</v>
      </c>
      <c r="I338">
        <v>0.433</v>
      </c>
      <c r="J338">
        <v>0.38200000000000001</v>
      </c>
      <c r="K338">
        <v>0.28199999999999997</v>
      </c>
      <c r="L338">
        <v>-99.998999999999995</v>
      </c>
      <c r="M338">
        <v>-99.998999999999995</v>
      </c>
      <c r="Q338" s="2">
        <f t="shared" si="27"/>
        <v>-1.3828158763710401</v>
      </c>
      <c r="T338" s="2">
        <f t="shared" si="28"/>
        <v>170777.22284435184</v>
      </c>
      <c r="W338" s="2">
        <f t="shared" si="29"/>
        <v>170777.22284435184</v>
      </c>
    </row>
    <row r="339" spans="1:23">
      <c r="A339">
        <v>1332</v>
      </c>
      <c r="B339">
        <v>5</v>
      </c>
      <c r="C339">
        <v>4</v>
      </c>
      <c r="D339">
        <v>2.0350000000000001</v>
      </c>
      <c r="E339" s="2">
        <f t="shared" si="25"/>
        <v>2</v>
      </c>
      <c r="F339" s="2">
        <f t="shared" si="26"/>
        <v>854</v>
      </c>
      <c r="G339">
        <v>1.008</v>
      </c>
      <c r="H339">
        <v>0.55800000000000005</v>
      </c>
      <c r="I339">
        <v>0.433</v>
      </c>
      <c r="J339">
        <v>0.38200000000000001</v>
      </c>
      <c r="K339">
        <v>0.28199999999999997</v>
      </c>
      <c r="L339">
        <v>-99.998999999999995</v>
      </c>
      <c r="M339">
        <v>-99.998999999999995</v>
      </c>
      <c r="Q339" s="2">
        <f t="shared" si="27"/>
        <v>-1.0862686508434241</v>
      </c>
      <c r="T339" s="2">
        <f t="shared" si="28"/>
        <v>195799.98332451296</v>
      </c>
      <c r="W339" s="2">
        <f t="shared" si="29"/>
        <v>195799.98332451296</v>
      </c>
    </row>
    <row r="340" spans="1:23">
      <c r="A340">
        <v>1333</v>
      </c>
      <c r="B340">
        <v>5</v>
      </c>
      <c r="C340">
        <v>4</v>
      </c>
      <c r="D340">
        <v>2.6619999999999999</v>
      </c>
      <c r="E340" s="2">
        <f t="shared" si="25"/>
        <v>2.5</v>
      </c>
      <c r="F340" s="2">
        <f t="shared" si="26"/>
        <v>917</v>
      </c>
      <c r="G340">
        <v>1.1060000000000001</v>
      </c>
      <c r="H340">
        <v>0.55800000000000005</v>
      </c>
      <c r="I340">
        <v>0.433</v>
      </c>
      <c r="J340">
        <v>0.38200000000000001</v>
      </c>
      <c r="K340">
        <v>0.28199999999999997</v>
      </c>
      <c r="L340">
        <v>-99.998999999999995</v>
      </c>
      <c r="M340">
        <v>-99.998999999999995</v>
      </c>
      <c r="Q340" s="2">
        <f t="shared" si="27"/>
        <v>-0.91754350528460826</v>
      </c>
      <c r="T340" s="2">
        <f t="shared" si="28"/>
        <v>210037.07118391493</v>
      </c>
      <c r="W340" s="2">
        <f t="shared" si="29"/>
        <v>210037.07118391493</v>
      </c>
    </row>
    <row r="341" spans="1:23">
      <c r="A341">
        <v>1334</v>
      </c>
      <c r="B341">
        <v>5</v>
      </c>
      <c r="C341">
        <v>4</v>
      </c>
      <c r="D341">
        <v>2.3969999999999998</v>
      </c>
      <c r="E341" s="2">
        <f t="shared" si="25"/>
        <v>2.5</v>
      </c>
      <c r="F341" s="2">
        <f t="shared" si="26"/>
        <v>894</v>
      </c>
      <c r="G341">
        <v>1.1759999999999999</v>
      </c>
      <c r="H341">
        <v>0.55800000000000005</v>
      </c>
      <c r="I341">
        <v>0.433</v>
      </c>
      <c r="J341">
        <v>0.38200000000000001</v>
      </c>
      <c r="K341">
        <v>0.28199999999999997</v>
      </c>
      <c r="L341">
        <v>-99.998999999999995</v>
      </c>
      <c r="M341">
        <v>-99.998999999999995</v>
      </c>
      <c r="Q341" s="2">
        <f t="shared" si="27"/>
        <v>-0.9888547709514125</v>
      </c>
      <c r="T341" s="2">
        <f t="shared" si="28"/>
        <v>204019.80119549143</v>
      </c>
      <c r="W341" s="2">
        <f t="shared" si="29"/>
        <v>204019.80119549143</v>
      </c>
    </row>
    <row r="342" spans="1:23">
      <c r="A342">
        <v>1335</v>
      </c>
      <c r="B342">
        <v>5</v>
      </c>
      <c r="C342">
        <v>4</v>
      </c>
      <c r="D342">
        <v>0.91800000000000004</v>
      </c>
      <c r="E342" s="2">
        <f t="shared" si="25"/>
        <v>1</v>
      </c>
      <c r="F342" s="2">
        <f t="shared" si="26"/>
        <v>714</v>
      </c>
      <c r="G342">
        <v>1.2190000000000001</v>
      </c>
      <c r="H342">
        <v>0.55800000000000005</v>
      </c>
      <c r="I342">
        <v>0.433</v>
      </c>
      <c r="J342">
        <v>0.38200000000000001</v>
      </c>
      <c r="K342">
        <v>0.28199999999999997</v>
      </c>
      <c r="L342">
        <v>-99.998999999999995</v>
      </c>
      <c r="M342">
        <v>-99.998999999999995</v>
      </c>
      <c r="Q342" s="2">
        <f t="shared" si="27"/>
        <v>-1.3868523631068967</v>
      </c>
      <c r="T342" s="2">
        <f t="shared" si="28"/>
        <v>170436.62265632785</v>
      </c>
      <c r="W342" s="2">
        <f t="shared" si="29"/>
        <v>170436.62265632785</v>
      </c>
    </row>
    <row r="343" spans="1:23">
      <c r="A343">
        <v>1336</v>
      </c>
      <c r="B343">
        <v>5</v>
      </c>
      <c r="C343">
        <v>4</v>
      </c>
      <c r="D343">
        <v>-1.8660000000000001</v>
      </c>
      <c r="E343" s="2">
        <f t="shared" si="25"/>
        <v>-2</v>
      </c>
      <c r="F343" s="2">
        <f t="shared" si="26"/>
        <v>259</v>
      </c>
      <c r="G343">
        <v>1.2509999999999999</v>
      </c>
      <c r="H343">
        <v>0.55800000000000005</v>
      </c>
      <c r="I343">
        <v>0.433</v>
      </c>
      <c r="J343">
        <v>0.38200000000000001</v>
      </c>
      <c r="K343">
        <v>0.28199999999999997</v>
      </c>
      <c r="L343">
        <v>-99.998999999999995</v>
      </c>
      <c r="M343">
        <v>-99.998999999999995</v>
      </c>
      <c r="Q343" s="2">
        <f t="shared" si="27"/>
        <v>-2.1360243012819264</v>
      </c>
      <c r="T343" s="2">
        <f t="shared" si="28"/>
        <v>107221.22775907876</v>
      </c>
      <c r="W343" s="2">
        <f t="shared" si="29"/>
        <v>107221.22775907876</v>
      </c>
    </row>
    <row r="344" spans="1:23">
      <c r="A344">
        <v>1337</v>
      </c>
      <c r="B344">
        <v>5</v>
      </c>
      <c r="C344">
        <v>4</v>
      </c>
      <c r="D344">
        <v>0.55300000000000005</v>
      </c>
      <c r="E344" s="2">
        <f t="shared" si="25"/>
        <v>0.5</v>
      </c>
      <c r="F344" s="2">
        <f t="shared" si="26"/>
        <v>657</v>
      </c>
      <c r="G344">
        <v>1.278</v>
      </c>
      <c r="H344">
        <v>0.55800000000000005</v>
      </c>
      <c r="I344">
        <v>0.433</v>
      </c>
      <c r="J344">
        <v>0.38200000000000001</v>
      </c>
      <c r="K344">
        <v>0.28199999999999997</v>
      </c>
      <c r="L344">
        <v>-99.998999999999995</v>
      </c>
      <c r="M344">
        <v>-99.998999999999995</v>
      </c>
      <c r="Q344" s="2">
        <f t="shared" si="27"/>
        <v>-1.48507354034608</v>
      </c>
      <c r="T344" s="2">
        <f t="shared" si="28"/>
        <v>162148.68474774456</v>
      </c>
      <c r="W344" s="2">
        <f t="shared" si="29"/>
        <v>162148.68474774456</v>
      </c>
    </row>
    <row r="345" spans="1:23">
      <c r="A345">
        <v>1338</v>
      </c>
      <c r="B345">
        <v>5</v>
      </c>
      <c r="C345">
        <v>4</v>
      </c>
      <c r="D345">
        <v>1.385</v>
      </c>
      <c r="E345" s="2">
        <f t="shared" si="25"/>
        <v>1.5</v>
      </c>
      <c r="F345" s="2">
        <f t="shared" si="26"/>
        <v>785</v>
      </c>
      <c r="G345">
        <v>1.288</v>
      </c>
      <c r="H345">
        <v>0.55800000000000005</v>
      </c>
      <c r="I345">
        <v>0.433</v>
      </c>
      <c r="J345">
        <v>0.38200000000000001</v>
      </c>
      <c r="K345">
        <v>0.28199999999999997</v>
      </c>
      <c r="L345">
        <v>-99.998999999999995</v>
      </c>
      <c r="M345">
        <v>-99.998999999999995</v>
      </c>
      <c r="Q345" s="2">
        <f t="shared" si="27"/>
        <v>-1.2611830760638871</v>
      </c>
      <c r="T345" s="2">
        <f t="shared" si="28"/>
        <v>181040.64184347418</v>
      </c>
      <c r="W345" s="2">
        <f t="shared" si="29"/>
        <v>181040.64184347418</v>
      </c>
    </row>
    <row r="346" spans="1:23">
      <c r="A346">
        <v>1339</v>
      </c>
      <c r="B346">
        <v>5</v>
      </c>
      <c r="C346">
        <v>4</v>
      </c>
      <c r="D346">
        <v>0.83799999999999997</v>
      </c>
      <c r="E346" s="2">
        <f t="shared" si="25"/>
        <v>1</v>
      </c>
      <c r="F346" s="2">
        <f t="shared" si="26"/>
        <v>703</v>
      </c>
      <c r="G346">
        <v>1.258</v>
      </c>
      <c r="H346">
        <v>0.55800000000000005</v>
      </c>
      <c r="I346">
        <v>0.433</v>
      </c>
      <c r="J346">
        <v>0.38200000000000001</v>
      </c>
      <c r="K346">
        <v>0.28199999999999997</v>
      </c>
      <c r="L346">
        <v>-99.998999999999995</v>
      </c>
      <c r="M346">
        <v>-99.998999999999995</v>
      </c>
      <c r="Q346" s="2">
        <f t="shared" si="27"/>
        <v>-1.4083802923647999</v>
      </c>
      <c r="T346" s="2">
        <f t="shared" si="28"/>
        <v>168620.08832020004</v>
      </c>
      <c r="W346" s="2">
        <f t="shared" si="29"/>
        <v>168620.08832020004</v>
      </c>
    </row>
    <row r="347" spans="1:23">
      <c r="A347">
        <v>1340</v>
      </c>
      <c r="B347">
        <v>5</v>
      </c>
      <c r="C347">
        <v>4</v>
      </c>
      <c r="D347">
        <v>2.9929999999999999</v>
      </c>
      <c r="E347" s="2">
        <f t="shared" si="25"/>
        <v>3</v>
      </c>
      <c r="F347" s="2">
        <f t="shared" si="26"/>
        <v>936</v>
      </c>
      <c r="G347">
        <v>1.163</v>
      </c>
      <c r="H347">
        <v>0.55800000000000005</v>
      </c>
      <c r="I347">
        <v>0.433</v>
      </c>
      <c r="J347">
        <v>0.38200000000000001</v>
      </c>
      <c r="K347">
        <v>0.28199999999999997</v>
      </c>
      <c r="L347">
        <v>-99.998999999999995</v>
      </c>
      <c r="M347">
        <v>-99.998999999999995</v>
      </c>
      <c r="Q347" s="2">
        <f t="shared" si="27"/>
        <v>-0.82847169798003406</v>
      </c>
      <c r="T347" s="2">
        <f t="shared" si="28"/>
        <v>217552.9819996439</v>
      </c>
      <c r="W347" s="2">
        <f t="shared" si="29"/>
        <v>217552.9819996439</v>
      </c>
    </row>
    <row r="348" spans="1:23">
      <c r="A348">
        <v>1341</v>
      </c>
      <c r="B348">
        <v>5</v>
      </c>
      <c r="C348">
        <v>4</v>
      </c>
      <c r="D348">
        <v>4.976</v>
      </c>
      <c r="E348" s="2">
        <f t="shared" si="25"/>
        <v>5</v>
      </c>
      <c r="F348" s="2">
        <f t="shared" si="26"/>
        <v>999</v>
      </c>
      <c r="G348">
        <v>0.97799999999999998</v>
      </c>
      <c r="H348">
        <v>0.55800000000000005</v>
      </c>
      <c r="I348">
        <v>0.433</v>
      </c>
      <c r="J348">
        <v>0.38200000000000001</v>
      </c>
      <c r="K348">
        <v>0.28199999999999997</v>
      </c>
      <c r="L348">
        <v>-99.998999999999995</v>
      </c>
      <c r="M348">
        <v>-99.998999999999995</v>
      </c>
      <c r="Q348" s="2">
        <f t="shared" si="27"/>
        <v>-0.29484815149975985</v>
      </c>
      <c r="T348" s="2">
        <f t="shared" si="28"/>
        <v>262580.32685641292</v>
      </c>
      <c r="W348" s="2">
        <f t="shared" si="29"/>
        <v>262580.32685641292</v>
      </c>
    </row>
    <row r="349" spans="1:23">
      <c r="A349">
        <v>1342</v>
      </c>
      <c r="B349">
        <v>5</v>
      </c>
      <c r="C349">
        <v>4</v>
      </c>
      <c r="D349">
        <v>1.36</v>
      </c>
      <c r="E349" s="2">
        <f t="shared" si="25"/>
        <v>1.5</v>
      </c>
      <c r="F349" s="2">
        <f t="shared" si="26"/>
        <v>782</v>
      </c>
      <c r="G349">
        <v>0.69899999999999995</v>
      </c>
      <c r="H349">
        <v>0.55800000000000005</v>
      </c>
      <c r="I349">
        <v>0.433</v>
      </c>
      <c r="J349">
        <v>0.38200000000000001</v>
      </c>
      <c r="K349">
        <v>0.28199999999999997</v>
      </c>
      <c r="L349">
        <v>-99.998999999999995</v>
      </c>
      <c r="M349">
        <v>-99.998999999999995</v>
      </c>
      <c r="Q349" s="2">
        <f t="shared" si="27"/>
        <v>-1.2679105539569819</v>
      </c>
      <c r="T349" s="2">
        <f t="shared" si="28"/>
        <v>180472.97486343421</v>
      </c>
      <c r="W349" s="2">
        <f t="shared" si="29"/>
        <v>180472.97486343421</v>
      </c>
    </row>
    <row r="350" spans="1:23">
      <c r="A350">
        <v>1343</v>
      </c>
      <c r="B350">
        <v>5</v>
      </c>
      <c r="C350">
        <v>4</v>
      </c>
      <c r="D350">
        <v>0.53100000000000003</v>
      </c>
      <c r="E350" s="2">
        <f t="shared" si="25"/>
        <v>0.5</v>
      </c>
      <c r="F350" s="2">
        <f t="shared" si="26"/>
        <v>654</v>
      </c>
      <c r="G350">
        <v>0.34899999999999998</v>
      </c>
      <c r="H350">
        <v>0.55800000000000005</v>
      </c>
      <c r="I350">
        <v>0.433</v>
      </c>
      <c r="J350">
        <v>0.38200000000000001</v>
      </c>
      <c r="K350">
        <v>0.28199999999999997</v>
      </c>
      <c r="L350">
        <v>-99.998999999999995</v>
      </c>
      <c r="M350">
        <v>-99.998999999999995</v>
      </c>
      <c r="Q350" s="2">
        <f t="shared" si="27"/>
        <v>-1.4909937208920032</v>
      </c>
      <c r="T350" s="2">
        <f t="shared" si="28"/>
        <v>161649.13780530941</v>
      </c>
      <c r="W350" s="2">
        <f t="shared" si="29"/>
        <v>161649.13780530941</v>
      </c>
    </row>
    <row r="351" spans="1:23">
      <c r="A351">
        <v>1344</v>
      </c>
      <c r="B351">
        <v>5</v>
      </c>
      <c r="C351">
        <v>4</v>
      </c>
      <c r="D351">
        <v>0.26800000000000002</v>
      </c>
      <c r="E351" s="2">
        <f t="shared" si="25"/>
        <v>0.5</v>
      </c>
      <c r="F351" s="2">
        <f t="shared" si="26"/>
        <v>611</v>
      </c>
      <c r="G351">
        <v>-3.7999999999999999E-2</v>
      </c>
      <c r="H351">
        <v>0.55800000000000005</v>
      </c>
      <c r="I351">
        <v>0.433</v>
      </c>
      <c r="J351">
        <v>0.38200000000000001</v>
      </c>
      <c r="K351">
        <v>0.28199999999999997</v>
      </c>
      <c r="L351">
        <v>-99.998999999999995</v>
      </c>
      <c r="M351">
        <v>-99.998999999999995</v>
      </c>
      <c r="Q351" s="2">
        <f t="shared" si="27"/>
        <v>-1.5617667883273598</v>
      </c>
      <c r="T351" s="2">
        <f t="shared" si="28"/>
        <v>155677.2811752891</v>
      </c>
      <c r="W351" s="2">
        <f t="shared" si="29"/>
        <v>155677.2811752891</v>
      </c>
    </row>
    <row r="352" spans="1:23">
      <c r="A352">
        <v>1345</v>
      </c>
      <c r="B352">
        <v>5</v>
      </c>
      <c r="C352">
        <v>4</v>
      </c>
      <c r="D352">
        <v>-0.13800000000000001</v>
      </c>
      <c r="E352" s="2">
        <f t="shared" si="25"/>
        <v>0</v>
      </c>
      <c r="F352" s="2">
        <f t="shared" si="26"/>
        <v>546</v>
      </c>
      <c r="G352">
        <v>-0.42399999999999999</v>
      </c>
      <c r="H352">
        <v>0.55800000000000005</v>
      </c>
      <c r="I352">
        <v>0.433</v>
      </c>
      <c r="J352">
        <v>0.38200000000000001</v>
      </c>
      <c r="K352">
        <v>0.28199999999999997</v>
      </c>
      <c r="L352">
        <v>-99.998999999999995</v>
      </c>
      <c r="M352">
        <v>-99.998999999999995</v>
      </c>
      <c r="Q352" s="2">
        <f t="shared" si="27"/>
        <v>-1.6710210293112184</v>
      </c>
      <c r="T352" s="2">
        <f t="shared" si="28"/>
        <v>146458.36941944028</v>
      </c>
      <c r="W352" s="2">
        <f t="shared" si="29"/>
        <v>146458.36941944028</v>
      </c>
    </row>
    <row r="353" spans="1:23">
      <c r="A353">
        <v>1346</v>
      </c>
      <c r="B353">
        <v>5</v>
      </c>
      <c r="C353">
        <v>4</v>
      </c>
      <c r="D353">
        <v>-5.2149999999999999</v>
      </c>
      <c r="E353" s="2">
        <f t="shared" si="25"/>
        <v>-5</v>
      </c>
      <c r="F353" s="2">
        <f t="shared" si="26"/>
        <v>9</v>
      </c>
      <c r="G353">
        <v>-0.76900000000000002</v>
      </c>
      <c r="H353">
        <v>0.55800000000000005</v>
      </c>
      <c r="I353">
        <v>0.433</v>
      </c>
      <c r="J353">
        <v>0.38200000000000001</v>
      </c>
      <c r="K353">
        <v>0.28199999999999997</v>
      </c>
      <c r="L353">
        <v>-99.998999999999995</v>
      </c>
      <c r="M353">
        <v>-99.998999999999995</v>
      </c>
      <c r="Q353" s="2">
        <f t="shared" si="27"/>
        <v>-3.0372372398408967</v>
      </c>
      <c r="T353" s="2">
        <f t="shared" si="28"/>
        <v>31176.55911292677</v>
      </c>
      <c r="W353" s="2">
        <f t="shared" si="29"/>
        <v>31176.55911292677</v>
      </c>
    </row>
    <row r="354" spans="1:23">
      <c r="A354">
        <v>1347</v>
      </c>
      <c r="B354">
        <v>5</v>
      </c>
      <c r="C354">
        <v>4</v>
      </c>
      <c r="D354">
        <v>-1.7749999999999999</v>
      </c>
      <c r="E354" s="2">
        <f t="shared" si="25"/>
        <v>-2</v>
      </c>
      <c r="F354" s="2">
        <f t="shared" si="26"/>
        <v>278</v>
      </c>
      <c r="G354">
        <v>-1.036</v>
      </c>
      <c r="H354">
        <v>0.55800000000000005</v>
      </c>
      <c r="I354">
        <v>0.433</v>
      </c>
      <c r="J354">
        <v>0.38200000000000001</v>
      </c>
      <c r="K354">
        <v>0.28199999999999997</v>
      </c>
      <c r="L354">
        <v>-99.998999999999995</v>
      </c>
      <c r="M354">
        <v>-99.998999999999995</v>
      </c>
      <c r="Q354" s="2">
        <f t="shared" si="27"/>
        <v>-2.1115362817510612</v>
      </c>
      <c r="T354" s="2">
        <f t="shared" si="28"/>
        <v>109287.53556642422</v>
      </c>
      <c r="W354" s="2">
        <f t="shared" si="29"/>
        <v>109287.53556642422</v>
      </c>
    </row>
    <row r="355" spans="1:23">
      <c r="A355">
        <v>1348</v>
      </c>
      <c r="B355">
        <v>5</v>
      </c>
      <c r="C355">
        <v>4</v>
      </c>
      <c r="D355">
        <v>0.30199999999999999</v>
      </c>
      <c r="E355" s="2">
        <f t="shared" si="25"/>
        <v>0.5</v>
      </c>
      <c r="F355" s="2">
        <f t="shared" si="26"/>
        <v>622</v>
      </c>
      <c r="G355">
        <v>-1.222</v>
      </c>
      <c r="H355">
        <v>0.55800000000000005</v>
      </c>
      <c r="I355">
        <v>0.433</v>
      </c>
      <c r="J355">
        <v>0.38200000000000001</v>
      </c>
      <c r="K355">
        <v>0.28199999999999997</v>
      </c>
      <c r="L355">
        <v>-99.998999999999995</v>
      </c>
      <c r="M355">
        <v>-99.998999999999995</v>
      </c>
      <c r="Q355" s="2">
        <f t="shared" si="27"/>
        <v>-1.552617418392751</v>
      </c>
      <c r="T355" s="2">
        <f t="shared" si="28"/>
        <v>156449.30826814345</v>
      </c>
      <c r="W355" s="2">
        <f t="shared" si="29"/>
        <v>156449.30826814345</v>
      </c>
    </row>
    <row r="356" spans="1:23">
      <c r="A356">
        <v>1349</v>
      </c>
      <c r="B356">
        <v>5</v>
      </c>
      <c r="C356">
        <v>4</v>
      </c>
      <c r="D356">
        <v>-4.0039999999999996</v>
      </c>
      <c r="E356" s="2">
        <f t="shared" si="25"/>
        <v>-4</v>
      </c>
      <c r="F356" s="2">
        <f t="shared" si="26"/>
        <v>38</v>
      </c>
      <c r="G356">
        <v>-1.3280000000000001</v>
      </c>
      <c r="H356">
        <v>0.55800000000000005</v>
      </c>
      <c r="I356">
        <v>0.433</v>
      </c>
      <c r="J356">
        <v>0.38200000000000001</v>
      </c>
      <c r="K356">
        <v>0.28199999999999997</v>
      </c>
      <c r="L356">
        <v>-99.998999999999995</v>
      </c>
      <c r="M356">
        <v>-99.998999999999995</v>
      </c>
      <c r="Q356" s="2">
        <f t="shared" si="27"/>
        <v>-2.7113582106993874</v>
      </c>
      <c r="T356" s="2">
        <f t="shared" si="28"/>
        <v>58674.34762606211</v>
      </c>
      <c r="W356" s="2">
        <f t="shared" si="29"/>
        <v>58674.34762606211</v>
      </c>
    </row>
    <row r="357" spans="1:23">
      <c r="A357">
        <v>1350</v>
      </c>
      <c r="B357">
        <v>5</v>
      </c>
      <c r="C357">
        <v>4</v>
      </c>
      <c r="D357">
        <v>-0.52300000000000002</v>
      </c>
      <c r="E357" s="2">
        <f t="shared" si="25"/>
        <v>-0.5</v>
      </c>
      <c r="F357" s="2">
        <f t="shared" si="26"/>
        <v>479</v>
      </c>
      <c r="G357">
        <v>-1.3540000000000001</v>
      </c>
      <c r="H357">
        <v>0.55800000000000005</v>
      </c>
      <c r="I357">
        <v>0.433</v>
      </c>
      <c r="J357">
        <v>0.38200000000000001</v>
      </c>
      <c r="K357">
        <v>0.28199999999999997</v>
      </c>
      <c r="L357">
        <v>-99.998999999999995</v>
      </c>
      <c r="M357">
        <v>-99.998999999999995</v>
      </c>
      <c r="Q357" s="2">
        <f t="shared" si="27"/>
        <v>-1.7746241888648773</v>
      </c>
      <c r="T357" s="2">
        <f t="shared" si="28"/>
        <v>137716.29792682501</v>
      </c>
      <c r="W357" s="2">
        <f t="shared" si="29"/>
        <v>137716.29792682501</v>
      </c>
    </row>
    <row r="358" spans="1:23">
      <c r="A358">
        <v>1351</v>
      </c>
      <c r="B358">
        <v>5</v>
      </c>
      <c r="C358">
        <v>4</v>
      </c>
      <c r="D358">
        <v>-0.46</v>
      </c>
      <c r="E358" s="2">
        <f t="shared" si="25"/>
        <v>-0.5</v>
      </c>
      <c r="F358" s="2">
        <f t="shared" si="26"/>
        <v>486</v>
      </c>
      <c r="G358">
        <v>-1.3149999999999999</v>
      </c>
      <c r="H358">
        <v>0.55800000000000005</v>
      </c>
      <c r="I358">
        <v>0.433</v>
      </c>
      <c r="J358">
        <v>0.38200000000000001</v>
      </c>
      <c r="K358">
        <v>0.28199999999999997</v>
      </c>
      <c r="L358">
        <v>-99.998999999999995</v>
      </c>
      <c r="M358">
        <v>-99.998999999999995</v>
      </c>
      <c r="Q358" s="2">
        <f t="shared" si="27"/>
        <v>-1.7576709445742784</v>
      </c>
      <c r="T358" s="2">
        <f t="shared" si="28"/>
        <v>139146.81871652571</v>
      </c>
      <c r="W358" s="2">
        <f t="shared" si="29"/>
        <v>139146.81871652571</v>
      </c>
    </row>
    <row r="359" spans="1:23">
      <c r="A359">
        <v>1352</v>
      </c>
      <c r="B359">
        <v>5</v>
      </c>
      <c r="C359">
        <v>4</v>
      </c>
      <c r="D359">
        <v>-4.0860000000000003</v>
      </c>
      <c r="E359" s="2">
        <f t="shared" si="25"/>
        <v>-4</v>
      </c>
      <c r="F359" s="2">
        <f t="shared" si="26"/>
        <v>29</v>
      </c>
      <c r="G359">
        <v>-1.218</v>
      </c>
      <c r="H359">
        <v>0.55800000000000005</v>
      </c>
      <c r="I359">
        <v>0.433</v>
      </c>
      <c r="J359">
        <v>0.38200000000000001</v>
      </c>
      <c r="K359">
        <v>0.28199999999999997</v>
      </c>
      <c r="L359">
        <v>-99.998999999999995</v>
      </c>
      <c r="M359">
        <v>-99.998999999999995</v>
      </c>
      <c r="Q359" s="2">
        <f t="shared" si="27"/>
        <v>-2.7334243381887386</v>
      </c>
      <c r="T359" s="2">
        <f t="shared" si="28"/>
        <v>56812.399931531021</v>
      </c>
      <c r="W359" s="2">
        <f t="shared" si="29"/>
        <v>56812.399931531021</v>
      </c>
    </row>
    <row r="360" spans="1:23">
      <c r="A360">
        <v>1353</v>
      </c>
      <c r="B360">
        <v>5</v>
      </c>
      <c r="C360">
        <v>4</v>
      </c>
      <c r="D360">
        <v>-1.292</v>
      </c>
      <c r="E360" s="2">
        <f t="shared" si="25"/>
        <v>-1.5</v>
      </c>
      <c r="F360" s="2">
        <f t="shared" si="26"/>
        <v>355</v>
      </c>
      <c r="G360">
        <v>-1.0740000000000001</v>
      </c>
      <c r="H360">
        <v>0.55800000000000005</v>
      </c>
      <c r="I360">
        <v>0.433</v>
      </c>
      <c r="J360">
        <v>0.38200000000000001</v>
      </c>
      <c r="K360">
        <v>0.28199999999999997</v>
      </c>
      <c r="L360">
        <v>-99.998999999999995</v>
      </c>
      <c r="M360">
        <v>-99.998999999999995</v>
      </c>
      <c r="Q360" s="2">
        <f t="shared" si="27"/>
        <v>-1.9815614088564713</v>
      </c>
      <c r="T360" s="2">
        <f t="shared" si="28"/>
        <v>120254.86162079609</v>
      </c>
      <c r="W360" s="2">
        <f t="shared" si="29"/>
        <v>120254.86162079609</v>
      </c>
    </row>
    <row r="361" spans="1:23">
      <c r="A361">
        <v>1354</v>
      </c>
      <c r="B361">
        <v>5</v>
      </c>
      <c r="C361">
        <v>4</v>
      </c>
      <c r="D361">
        <v>-0.26800000000000002</v>
      </c>
      <c r="E361" s="2">
        <f t="shared" si="25"/>
        <v>-0.5</v>
      </c>
      <c r="F361" s="2">
        <f t="shared" si="26"/>
        <v>521</v>
      </c>
      <c r="G361">
        <v>-0.90800000000000003</v>
      </c>
      <c r="H361">
        <v>0.55800000000000005</v>
      </c>
      <c r="I361">
        <v>0.433</v>
      </c>
      <c r="J361">
        <v>0.38200000000000001</v>
      </c>
      <c r="K361">
        <v>0.28199999999999997</v>
      </c>
      <c r="L361">
        <v>-99.998999999999995</v>
      </c>
      <c r="M361">
        <v>-99.998999999999995</v>
      </c>
      <c r="Q361" s="2">
        <f t="shared" si="27"/>
        <v>-1.706003914355311</v>
      </c>
      <c r="T361" s="2">
        <f t="shared" si="28"/>
        <v>143506.50112323253</v>
      </c>
      <c r="W361" s="2">
        <f t="shared" si="29"/>
        <v>143506.50112323253</v>
      </c>
    </row>
    <row r="362" spans="1:23">
      <c r="A362">
        <v>1355</v>
      </c>
      <c r="B362">
        <v>5</v>
      </c>
      <c r="C362">
        <v>4</v>
      </c>
      <c r="D362">
        <v>-0.32700000000000001</v>
      </c>
      <c r="E362" s="2">
        <f t="shared" si="25"/>
        <v>-0.5</v>
      </c>
      <c r="F362" s="2">
        <f t="shared" si="26"/>
        <v>514</v>
      </c>
      <c r="G362">
        <v>-0.75</v>
      </c>
      <c r="H362">
        <v>0.55800000000000005</v>
      </c>
      <c r="I362">
        <v>0.433</v>
      </c>
      <c r="J362">
        <v>0.38200000000000001</v>
      </c>
      <c r="K362">
        <v>0.28199999999999997</v>
      </c>
      <c r="L362">
        <v>-99.998999999999995</v>
      </c>
      <c r="M362">
        <v>-99.998999999999995</v>
      </c>
      <c r="Q362" s="2">
        <f t="shared" si="27"/>
        <v>-1.7218807621830146</v>
      </c>
      <c r="T362" s="2">
        <f t="shared" si="28"/>
        <v>142166.80705033825</v>
      </c>
      <c r="W362" s="2">
        <f t="shared" si="29"/>
        <v>142166.80705033825</v>
      </c>
    </row>
    <row r="363" spans="1:23">
      <c r="A363">
        <v>1356</v>
      </c>
      <c r="B363">
        <v>5</v>
      </c>
      <c r="C363">
        <v>4</v>
      </c>
      <c r="D363">
        <v>0.94699999999999995</v>
      </c>
      <c r="E363" s="2">
        <f t="shared" si="25"/>
        <v>1</v>
      </c>
      <c r="F363" s="2">
        <f t="shared" si="26"/>
        <v>718</v>
      </c>
      <c r="G363">
        <v>-0.628</v>
      </c>
      <c r="H363">
        <v>0.55800000000000005</v>
      </c>
      <c r="I363">
        <v>0.433</v>
      </c>
      <c r="J363">
        <v>0.38200000000000001</v>
      </c>
      <c r="K363">
        <v>0.28199999999999997</v>
      </c>
      <c r="L363">
        <v>-99.998999999999995</v>
      </c>
      <c r="M363">
        <v>-99.998999999999995</v>
      </c>
      <c r="Q363" s="2">
        <f t="shared" si="27"/>
        <v>-1.3790484887509069</v>
      </c>
      <c r="T363" s="2">
        <f t="shared" si="28"/>
        <v>171095.11635317421</v>
      </c>
      <c r="W363" s="2">
        <f t="shared" si="29"/>
        <v>171095.11635317421</v>
      </c>
    </row>
    <row r="364" spans="1:23">
      <c r="A364">
        <v>1357</v>
      </c>
      <c r="B364">
        <v>5</v>
      </c>
      <c r="C364">
        <v>4</v>
      </c>
      <c r="D364">
        <v>3.0110000000000001</v>
      </c>
      <c r="E364" s="2">
        <f t="shared" si="25"/>
        <v>3</v>
      </c>
      <c r="F364" s="2">
        <f t="shared" si="26"/>
        <v>938</v>
      </c>
      <c r="G364">
        <v>-0.56000000000000005</v>
      </c>
      <c r="H364">
        <v>0.55800000000000005</v>
      </c>
      <c r="I364">
        <v>0.433</v>
      </c>
      <c r="J364">
        <v>0.38200000000000001</v>
      </c>
      <c r="K364">
        <v>0.28199999999999997</v>
      </c>
      <c r="L364">
        <v>-99.998999999999995</v>
      </c>
      <c r="M364">
        <v>-99.998999999999995</v>
      </c>
      <c r="Q364" s="2">
        <f t="shared" si="27"/>
        <v>-0.82362791389700574</v>
      </c>
      <c r="T364" s="2">
        <f t="shared" si="28"/>
        <v>217961.70222527266</v>
      </c>
      <c r="W364" s="2">
        <f t="shared" si="29"/>
        <v>217961.70222527266</v>
      </c>
    </row>
    <row r="365" spans="1:23">
      <c r="A365">
        <v>1358</v>
      </c>
      <c r="B365">
        <v>5</v>
      </c>
      <c r="C365">
        <v>4</v>
      </c>
      <c r="D365">
        <v>-2.3149999999999999</v>
      </c>
      <c r="E365" s="2">
        <f t="shared" si="25"/>
        <v>-2.5</v>
      </c>
      <c r="F365" s="2">
        <f t="shared" si="26"/>
        <v>201</v>
      </c>
      <c r="G365">
        <v>-0.55100000000000005</v>
      </c>
      <c r="H365">
        <v>0.55800000000000005</v>
      </c>
      <c r="I365">
        <v>0.433</v>
      </c>
      <c r="J365">
        <v>0.38200000000000001</v>
      </c>
      <c r="K365">
        <v>0.28199999999999997</v>
      </c>
      <c r="L365">
        <v>-99.998999999999995</v>
      </c>
      <c r="M365">
        <v>-99.998999999999995</v>
      </c>
      <c r="Q365" s="2">
        <f t="shared" si="27"/>
        <v>-2.2568498042419076</v>
      </c>
      <c r="T365" s="2">
        <f t="shared" si="28"/>
        <v>97025.928797561239</v>
      </c>
      <c r="W365" s="2">
        <f t="shared" si="29"/>
        <v>97025.928797561239</v>
      </c>
    </row>
    <row r="366" spans="1:23">
      <c r="A366">
        <v>1359</v>
      </c>
      <c r="B366">
        <v>5</v>
      </c>
      <c r="C366">
        <v>4</v>
      </c>
      <c r="D366">
        <v>0.245</v>
      </c>
      <c r="E366" s="2">
        <f t="shared" si="25"/>
        <v>0</v>
      </c>
      <c r="F366" s="2">
        <f t="shared" si="26"/>
        <v>609</v>
      </c>
      <c r="G366">
        <v>-0.58099999999999996</v>
      </c>
      <c r="H366">
        <v>0.55800000000000005</v>
      </c>
      <c r="I366">
        <v>0.433</v>
      </c>
      <c r="J366">
        <v>0.38200000000000001</v>
      </c>
      <c r="K366">
        <v>0.28199999999999997</v>
      </c>
      <c r="L366">
        <v>-99.998999999999995</v>
      </c>
      <c r="M366">
        <v>-99.998999999999995</v>
      </c>
      <c r="Q366" s="2">
        <f t="shared" si="27"/>
        <v>-1.567956067989007</v>
      </c>
      <c r="T366" s="2">
        <f t="shared" si="28"/>
        <v>155155.02755365235</v>
      </c>
      <c r="W366" s="2">
        <f t="shared" si="29"/>
        <v>155155.02755365235</v>
      </c>
    </row>
    <row r="367" spans="1:23">
      <c r="A367">
        <v>1360</v>
      </c>
      <c r="B367">
        <v>5</v>
      </c>
      <c r="C367">
        <v>4</v>
      </c>
      <c r="D367">
        <v>-3.806</v>
      </c>
      <c r="E367" s="2">
        <f t="shared" si="25"/>
        <v>-4</v>
      </c>
      <c r="F367" s="2">
        <f t="shared" si="26"/>
        <v>52</v>
      </c>
      <c r="G367">
        <v>-0.63400000000000001</v>
      </c>
      <c r="H367">
        <v>0.55800000000000005</v>
      </c>
      <c r="I367">
        <v>0.433</v>
      </c>
      <c r="J367">
        <v>0.38200000000000001</v>
      </c>
      <c r="K367">
        <v>0.28199999999999997</v>
      </c>
      <c r="L367">
        <v>-99.998999999999995</v>
      </c>
      <c r="M367">
        <v>-99.998999999999995</v>
      </c>
      <c r="Q367" s="2">
        <f t="shared" si="27"/>
        <v>-2.6580765857860778</v>
      </c>
      <c r="T367" s="2">
        <f t="shared" si="28"/>
        <v>63170.27010797846</v>
      </c>
      <c r="W367" s="2">
        <f t="shared" si="29"/>
        <v>63170.27010797846</v>
      </c>
    </row>
    <row r="368" spans="1:23">
      <c r="A368">
        <v>1361</v>
      </c>
      <c r="B368">
        <v>5</v>
      </c>
      <c r="C368">
        <v>4</v>
      </c>
      <c r="D368">
        <v>-1.002</v>
      </c>
      <c r="E368" s="2">
        <f t="shared" si="25"/>
        <v>-1</v>
      </c>
      <c r="F368" s="2">
        <f t="shared" si="26"/>
        <v>395</v>
      </c>
      <c r="G368">
        <v>-0.69799999999999995</v>
      </c>
      <c r="H368">
        <v>0.55800000000000005</v>
      </c>
      <c r="I368">
        <v>0.433</v>
      </c>
      <c r="J368">
        <v>0.38200000000000001</v>
      </c>
      <c r="K368">
        <v>0.28199999999999997</v>
      </c>
      <c r="L368">
        <v>-99.998999999999995</v>
      </c>
      <c r="M368">
        <v>-99.998999999999995</v>
      </c>
      <c r="Q368" s="2">
        <f t="shared" si="27"/>
        <v>-1.9035226652965722</v>
      </c>
      <c r="T368" s="2">
        <f t="shared" si="28"/>
        <v>126839.79858925953</v>
      </c>
      <c r="W368" s="2">
        <f t="shared" si="29"/>
        <v>126839.79858925953</v>
      </c>
    </row>
    <row r="369" spans="1:23">
      <c r="A369">
        <v>1362</v>
      </c>
      <c r="B369">
        <v>5</v>
      </c>
      <c r="C369">
        <v>4</v>
      </c>
      <c r="D369">
        <v>1.2490000000000001</v>
      </c>
      <c r="E369" s="2">
        <f t="shared" si="25"/>
        <v>1</v>
      </c>
      <c r="F369" s="2">
        <f t="shared" si="26"/>
        <v>766</v>
      </c>
      <c r="G369">
        <v>-0.78</v>
      </c>
      <c r="H369">
        <v>0.55800000000000005</v>
      </c>
      <c r="I369">
        <v>0.433</v>
      </c>
      <c r="J369">
        <v>0.38200000000000001</v>
      </c>
      <c r="K369">
        <v>0.28199999999999997</v>
      </c>
      <c r="L369">
        <v>-99.998999999999995</v>
      </c>
      <c r="M369">
        <v>-99.998999999999995</v>
      </c>
      <c r="Q369" s="2">
        <f t="shared" si="27"/>
        <v>-1.2977805558023225</v>
      </c>
      <c r="T369" s="2">
        <f t="shared" si="28"/>
        <v>177952.53347205685</v>
      </c>
      <c r="W369" s="2">
        <f t="shared" si="29"/>
        <v>177952.53347205685</v>
      </c>
    </row>
    <row r="370" spans="1:23">
      <c r="A370">
        <v>1363</v>
      </c>
      <c r="B370">
        <v>5</v>
      </c>
      <c r="C370">
        <v>4</v>
      </c>
      <c r="D370">
        <v>1.0589999999999999</v>
      </c>
      <c r="E370" s="2">
        <f t="shared" si="25"/>
        <v>1</v>
      </c>
      <c r="F370" s="2">
        <f t="shared" si="26"/>
        <v>740</v>
      </c>
      <c r="G370">
        <v>-0.89100000000000001</v>
      </c>
      <c r="H370">
        <v>0.55800000000000005</v>
      </c>
      <c r="I370">
        <v>0.433</v>
      </c>
      <c r="J370">
        <v>0.38200000000000001</v>
      </c>
      <c r="K370">
        <v>0.28199999999999997</v>
      </c>
      <c r="L370">
        <v>-99.998999999999995</v>
      </c>
      <c r="M370">
        <v>-99.998999999999995</v>
      </c>
      <c r="Q370" s="2">
        <f t="shared" si="27"/>
        <v>-1.3489093877898426</v>
      </c>
      <c r="T370" s="2">
        <f t="shared" si="28"/>
        <v>173638.26442375319</v>
      </c>
      <c r="W370" s="2">
        <f t="shared" si="29"/>
        <v>173638.26442375319</v>
      </c>
    </row>
    <row r="371" spans="1:23">
      <c r="A371">
        <v>1364</v>
      </c>
      <c r="B371">
        <v>5</v>
      </c>
      <c r="C371">
        <v>4</v>
      </c>
      <c r="D371">
        <v>-0.83599999999999997</v>
      </c>
      <c r="E371" s="2">
        <f t="shared" si="25"/>
        <v>-1</v>
      </c>
      <c r="F371" s="2">
        <f t="shared" si="26"/>
        <v>417</v>
      </c>
      <c r="G371">
        <v>-1.026</v>
      </c>
      <c r="H371">
        <v>0.55800000000000005</v>
      </c>
      <c r="I371">
        <v>0.433</v>
      </c>
      <c r="J371">
        <v>0.38200000000000001</v>
      </c>
      <c r="K371">
        <v>0.28199999999999997</v>
      </c>
      <c r="L371">
        <v>-99.998999999999995</v>
      </c>
      <c r="M371">
        <v>-99.998999999999995</v>
      </c>
      <c r="Q371" s="2">
        <f t="shared" si="27"/>
        <v>-1.8588522120864233</v>
      </c>
      <c r="T371" s="2">
        <f t="shared" si="28"/>
        <v>130609.10733672482</v>
      </c>
      <c r="W371" s="2">
        <f t="shared" si="29"/>
        <v>130609.10733672482</v>
      </c>
    </row>
    <row r="372" spans="1:23">
      <c r="A372">
        <v>1365</v>
      </c>
      <c r="B372">
        <v>5</v>
      </c>
      <c r="C372">
        <v>4</v>
      </c>
      <c r="D372">
        <v>-2.6760000000000002</v>
      </c>
      <c r="E372" s="2">
        <f t="shared" si="25"/>
        <v>-2.5</v>
      </c>
      <c r="F372" s="2">
        <f t="shared" si="26"/>
        <v>153</v>
      </c>
      <c r="G372">
        <v>-1.165</v>
      </c>
      <c r="H372">
        <v>0.55800000000000005</v>
      </c>
      <c r="I372">
        <v>0.433</v>
      </c>
      <c r="J372">
        <v>0.38200000000000001</v>
      </c>
      <c r="K372">
        <v>0.28199999999999997</v>
      </c>
      <c r="L372">
        <v>-99.998999999999995</v>
      </c>
      <c r="M372">
        <v>-99.998999999999995</v>
      </c>
      <c r="Q372" s="2">
        <f t="shared" si="27"/>
        <v>-2.3539945850181958</v>
      </c>
      <c r="T372" s="2">
        <f t="shared" si="28"/>
        <v>88828.817605784308</v>
      </c>
      <c r="W372" s="2">
        <f t="shared" si="29"/>
        <v>88828.817605784308</v>
      </c>
    </row>
    <row r="373" spans="1:23">
      <c r="A373">
        <v>1366</v>
      </c>
      <c r="B373">
        <v>5</v>
      </c>
      <c r="C373">
        <v>4</v>
      </c>
      <c r="D373">
        <v>-2.714</v>
      </c>
      <c r="E373" s="2">
        <f t="shared" si="25"/>
        <v>-2.5</v>
      </c>
      <c r="F373" s="2">
        <f t="shared" si="26"/>
        <v>146</v>
      </c>
      <c r="G373">
        <v>-1.2829999999999999</v>
      </c>
      <c r="H373">
        <v>0.55800000000000005</v>
      </c>
      <c r="I373">
        <v>0.433</v>
      </c>
      <c r="J373">
        <v>0.38200000000000001</v>
      </c>
      <c r="K373">
        <v>0.28199999999999997</v>
      </c>
      <c r="L373">
        <v>-99.998999999999995</v>
      </c>
      <c r="M373">
        <v>-99.998999999999995</v>
      </c>
      <c r="Q373" s="2">
        <f t="shared" si="27"/>
        <v>-2.3642203514156996</v>
      </c>
      <c r="T373" s="2">
        <f t="shared" si="28"/>
        <v>87965.9637961236</v>
      </c>
      <c r="W373" s="2">
        <f t="shared" si="29"/>
        <v>87965.9637961236</v>
      </c>
    </row>
    <row r="374" spans="1:23">
      <c r="A374">
        <v>1367</v>
      </c>
      <c r="B374">
        <v>5</v>
      </c>
      <c r="C374">
        <v>4</v>
      </c>
      <c r="D374">
        <v>-2.1869999999999998</v>
      </c>
      <c r="E374" s="2">
        <f t="shared" si="25"/>
        <v>-2</v>
      </c>
      <c r="F374" s="2">
        <f t="shared" si="26"/>
        <v>218</v>
      </c>
      <c r="G374">
        <v>-1.369</v>
      </c>
      <c r="H374">
        <v>0.55800000000000005</v>
      </c>
      <c r="I374">
        <v>0.433</v>
      </c>
      <c r="J374">
        <v>0.38200000000000001</v>
      </c>
      <c r="K374">
        <v>0.28199999999999997</v>
      </c>
      <c r="L374">
        <v>-99.998999999999995</v>
      </c>
      <c r="M374">
        <v>-99.998999999999995</v>
      </c>
      <c r="Q374" s="2">
        <f t="shared" si="27"/>
        <v>-2.2224051174292625</v>
      </c>
      <c r="T374" s="2">
        <f t="shared" si="28"/>
        <v>99932.383735365816</v>
      </c>
      <c r="W374" s="2">
        <f t="shared" si="29"/>
        <v>99932.383735365816</v>
      </c>
    </row>
    <row r="375" spans="1:23">
      <c r="A375">
        <v>1368</v>
      </c>
      <c r="B375">
        <v>5</v>
      </c>
      <c r="C375">
        <v>4</v>
      </c>
      <c r="D375">
        <v>3.0289999999999999</v>
      </c>
      <c r="E375" s="2">
        <f t="shared" si="25"/>
        <v>3</v>
      </c>
      <c r="F375" s="2">
        <f t="shared" si="26"/>
        <v>939</v>
      </c>
      <c r="G375">
        <v>-1.4259999999999999</v>
      </c>
      <c r="H375">
        <v>0.55800000000000005</v>
      </c>
      <c r="I375">
        <v>0.433</v>
      </c>
      <c r="J375">
        <v>0.38200000000000001</v>
      </c>
      <c r="K375">
        <v>0.28199999999999997</v>
      </c>
      <c r="L375">
        <v>-99.998999999999995</v>
      </c>
      <c r="M375">
        <v>-99.998999999999995</v>
      </c>
      <c r="Q375" s="2">
        <f t="shared" si="27"/>
        <v>-0.81878412981397763</v>
      </c>
      <c r="T375" s="2">
        <f t="shared" si="28"/>
        <v>218370.42245090142</v>
      </c>
      <c r="W375" s="2">
        <f t="shared" si="29"/>
        <v>218370.42245090142</v>
      </c>
    </row>
    <row r="376" spans="1:23">
      <c r="A376">
        <v>1369</v>
      </c>
      <c r="B376">
        <v>5</v>
      </c>
      <c r="C376">
        <v>4</v>
      </c>
      <c r="D376">
        <v>-4.0309999999999997</v>
      </c>
      <c r="E376" s="2">
        <f t="shared" si="25"/>
        <v>-4</v>
      </c>
      <c r="F376" s="2">
        <f t="shared" si="26"/>
        <v>37</v>
      </c>
      <c r="G376">
        <v>-1.4550000000000001</v>
      </c>
      <c r="H376">
        <v>0.55800000000000005</v>
      </c>
      <c r="I376">
        <v>0.433</v>
      </c>
      <c r="J376">
        <v>0.38200000000000001</v>
      </c>
      <c r="K376">
        <v>0.28199999999999997</v>
      </c>
      <c r="L376">
        <v>-99.998999999999995</v>
      </c>
      <c r="M376">
        <v>-99.998999999999995</v>
      </c>
      <c r="Q376" s="2">
        <f t="shared" si="27"/>
        <v>-2.7186238868239299</v>
      </c>
      <c r="T376" s="2">
        <f t="shared" si="28"/>
        <v>58061.267287618946</v>
      </c>
      <c r="W376" s="2">
        <f t="shared" si="29"/>
        <v>58061.267287618946</v>
      </c>
    </row>
    <row r="377" spans="1:23">
      <c r="A377">
        <v>1370</v>
      </c>
      <c r="B377">
        <v>5</v>
      </c>
      <c r="C377">
        <v>4</v>
      </c>
      <c r="D377">
        <v>-4.8499999999999996</v>
      </c>
      <c r="E377" s="2">
        <f t="shared" si="25"/>
        <v>-5</v>
      </c>
      <c r="F377" s="2">
        <f t="shared" si="26"/>
        <v>13</v>
      </c>
      <c r="G377">
        <v>-1.4359999999999999</v>
      </c>
      <c r="H377">
        <v>0.55800000000000005</v>
      </c>
      <c r="I377">
        <v>0.433</v>
      </c>
      <c r="J377">
        <v>0.38200000000000001</v>
      </c>
      <c r="K377">
        <v>0.28199999999999997</v>
      </c>
      <c r="L377">
        <v>-99.998999999999995</v>
      </c>
      <c r="M377">
        <v>-99.998999999999995</v>
      </c>
      <c r="Q377" s="2">
        <f t="shared" si="27"/>
        <v>-2.9390160626017137</v>
      </c>
      <c r="T377" s="2">
        <f t="shared" si="28"/>
        <v>39464.497021510062</v>
      </c>
      <c r="W377" s="2">
        <f t="shared" si="29"/>
        <v>39464.497021510062</v>
      </c>
    </row>
    <row r="378" spans="1:23">
      <c r="A378">
        <v>1371</v>
      </c>
      <c r="B378">
        <v>5</v>
      </c>
      <c r="C378">
        <v>4</v>
      </c>
      <c r="D378">
        <v>-1.78</v>
      </c>
      <c r="E378" s="2">
        <f t="shared" si="25"/>
        <v>-2</v>
      </c>
      <c r="F378" s="2">
        <f t="shared" si="26"/>
        <v>276</v>
      </c>
      <c r="G378">
        <v>-1.3620000000000001</v>
      </c>
      <c r="H378">
        <v>0.55800000000000005</v>
      </c>
      <c r="I378">
        <v>0.433</v>
      </c>
      <c r="J378">
        <v>0.38200000000000001</v>
      </c>
      <c r="K378">
        <v>0.28199999999999997</v>
      </c>
      <c r="L378">
        <v>-99.998999999999995</v>
      </c>
      <c r="M378">
        <v>-99.998999999999995</v>
      </c>
      <c r="Q378" s="2">
        <f t="shared" si="27"/>
        <v>-2.1128817773296804</v>
      </c>
      <c r="T378" s="2">
        <f t="shared" si="28"/>
        <v>109174.00217041621</v>
      </c>
      <c r="W378" s="2">
        <f t="shared" si="29"/>
        <v>109174.00217041621</v>
      </c>
    </row>
    <row r="379" spans="1:23">
      <c r="A379">
        <v>1372</v>
      </c>
      <c r="B379">
        <v>5</v>
      </c>
      <c r="C379">
        <v>4</v>
      </c>
      <c r="D379">
        <v>-0.441</v>
      </c>
      <c r="E379" s="2">
        <f t="shared" si="25"/>
        <v>-0.5</v>
      </c>
      <c r="F379" s="2">
        <f t="shared" si="26"/>
        <v>488</v>
      </c>
      <c r="G379">
        <v>-1.254</v>
      </c>
      <c r="H379">
        <v>0.55800000000000005</v>
      </c>
      <c r="I379">
        <v>0.433</v>
      </c>
      <c r="J379">
        <v>0.38200000000000001</v>
      </c>
      <c r="K379">
        <v>0.28199999999999997</v>
      </c>
      <c r="L379">
        <v>-99.998999999999995</v>
      </c>
      <c r="M379">
        <v>-99.998999999999995</v>
      </c>
      <c r="Q379" s="2">
        <f t="shared" si="27"/>
        <v>-1.7525580613755265</v>
      </c>
      <c r="T379" s="2">
        <f t="shared" si="28"/>
        <v>139578.24562135607</v>
      </c>
      <c r="W379" s="2">
        <f t="shared" si="29"/>
        <v>139578.24562135607</v>
      </c>
    </row>
    <row r="380" spans="1:23">
      <c r="A380">
        <v>1373</v>
      </c>
      <c r="B380">
        <v>5</v>
      </c>
      <c r="C380">
        <v>4</v>
      </c>
      <c r="D380">
        <v>3.3450000000000002</v>
      </c>
      <c r="E380" s="2">
        <f t="shared" si="25"/>
        <v>3.5</v>
      </c>
      <c r="F380" s="2">
        <f t="shared" si="26"/>
        <v>952</v>
      </c>
      <c r="G380">
        <v>-1.139</v>
      </c>
      <c r="H380">
        <v>0.55800000000000005</v>
      </c>
      <c r="I380">
        <v>0.433</v>
      </c>
      <c r="J380">
        <v>0.38200000000000001</v>
      </c>
      <c r="K380">
        <v>0.28199999999999997</v>
      </c>
      <c r="L380">
        <v>-99.998999999999995</v>
      </c>
      <c r="M380">
        <v>-99.998999999999995</v>
      </c>
      <c r="Q380" s="2">
        <f t="shared" si="27"/>
        <v>-0.73374880924526009</v>
      </c>
      <c r="T380" s="2">
        <f t="shared" si="28"/>
        <v>225545.73307860643</v>
      </c>
      <c r="W380" s="2">
        <f t="shared" si="29"/>
        <v>225545.73307860643</v>
      </c>
    </row>
    <row r="381" spans="1:23">
      <c r="A381">
        <v>1374</v>
      </c>
      <c r="B381">
        <v>5</v>
      </c>
      <c r="C381">
        <v>4</v>
      </c>
      <c r="D381">
        <v>-5.26</v>
      </c>
      <c r="E381" s="2">
        <f t="shared" si="25"/>
        <v>-5.5</v>
      </c>
      <c r="F381" s="2">
        <f t="shared" si="26"/>
        <v>8</v>
      </c>
      <c r="G381">
        <v>-1.034</v>
      </c>
      <c r="H381">
        <v>0.55800000000000005</v>
      </c>
      <c r="I381">
        <v>0.433</v>
      </c>
      <c r="J381">
        <v>0.38200000000000001</v>
      </c>
      <c r="K381">
        <v>0.28199999999999997</v>
      </c>
      <c r="L381">
        <v>-99.998999999999995</v>
      </c>
      <c r="M381">
        <v>-99.998999999999995</v>
      </c>
      <c r="Q381" s="2">
        <f t="shared" si="27"/>
        <v>-3.0493467000484671</v>
      </c>
      <c r="T381" s="2">
        <f t="shared" si="28"/>
        <v>30154.758548854879</v>
      </c>
      <c r="W381" s="2">
        <f t="shared" si="29"/>
        <v>30154.758548854879</v>
      </c>
    </row>
    <row r="382" spans="1:23">
      <c r="A382">
        <v>1375</v>
      </c>
      <c r="B382">
        <v>5</v>
      </c>
      <c r="C382">
        <v>4</v>
      </c>
      <c r="D382">
        <v>-0.48699999999999999</v>
      </c>
      <c r="E382" s="2">
        <f t="shared" si="25"/>
        <v>-0.5</v>
      </c>
      <c r="F382" s="2">
        <f t="shared" si="26"/>
        <v>484</v>
      </c>
      <c r="G382">
        <v>-0.93100000000000005</v>
      </c>
      <c r="H382">
        <v>0.55800000000000005</v>
      </c>
      <c r="I382">
        <v>0.433</v>
      </c>
      <c r="J382">
        <v>0.38200000000000001</v>
      </c>
      <c r="K382">
        <v>0.28199999999999997</v>
      </c>
      <c r="L382">
        <v>-99.998999999999995</v>
      </c>
      <c r="M382">
        <v>-99.998999999999995</v>
      </c>
      <c r="Q382" s="2">
        <f t="shared" si="27"/>
        <v>-1.7649366206988208</v>
      </c>
      <c r="T382" s="2">
        <f t="shared" si="28"/>
        <v>138533.73837808255</v>
      </c>
      <c r="W382" s="2">
        <f t="shared" si="29"/>
        <v>138533.73837808255</v>
      </c>
    </row>
    <row r="383" spans="1:23">
      <c r="A383">
        <v>1376</v>
      </c>
      <c r="B383">
        <v>5</v>
      </c>
      <c r="C383">
        <v>4</v>
      </c>
      <c r="D383">
        <v>-0.57499999999999996</v>
      </c>
      <c r="E383" s="2">
        <f t="shared" si="25"/>
        <v>-0.5</v>
      </c>
      <c r="F383" s="2">
        <f t="shared" si="26"/>
        <v>469</v>
      </c>
      <c r="G383">
        <v>-0.84199999999999997</v>
      </c>
      <c r="H383">
        <v>0.55800000000000005</v>
      </c>
      <c r="I383">
        <v>0.433</v>
      </c>
      <c r="J383">
        <v>0.38200000000000001</v>
      </c>
      <c r="K383">
        <v>0.28199999999999997</v>
      </c>
      <c r="L383">
        <v>-99.998999999999995</v>
      </c>
      <c r="M383">
        <v>-99.998999999999995</v>
      </c>
      <c r="Q383" s="2">
        <f t="shared" si="27"/>
        <v>-1.7886173428825143</v>
      </c>
      <c r="T383" s="2">
        <f t="shared" si="28"/>
        <v>136535.5506083419</v>
      </c>
      <c r="W383" s="2">
        <f t="shared" si="29"/>
        <v>136535.5506083419</v>
      </c>
    </row>
    <row r="384" spans="1:23">
      <c r="A384">
        <v>1377</v>
      </c>
      <c r="B384">
        <v>5</v>
      </c>
      <c r="C384">
        <v>4</v>
      </c>
      <c r="D384">
        <v>1.181</v>
      </c>
      <c r="E384" s="2">
        <f t="shared" si="25"/>
        <v>1</v>
      </c>
      <c r="F384" s="2">
        <f t="shared" si="26"/>
        <v>758</v>
      </c>
      <c r="G384">
        <v>-0.78100000000000003</v>
      </c>
      <c r="H384">
        <v>0.55800000000000005</v>
      </c>
      <c r="I384">
        <v>0.433</v>
      </c>
      <c r="J384">
        <v>0.38200000000000001</v>
      </c>
      <c r="K384">
        <v>0.28199999999999997</v>
      </c>
      <c r="L384">
        <v>-99.998999999999995</v>
      </c>
      <c r="M384">
        <v>-99.998999999999995</v>
      </c>
      <c r="Q384" s="2">
        <f t="shared" si="27"/>
        <v>-1.3160792956715401</v>
      </c>
      <c r="T384" s="2">
        <f t="shared" si="28"/>
        <v>176408.47928634816</v>
      </c>
      <c r="W384" s="2">
        <f t="shared" si="29"/>
        <v>176408.47928634816</v>
      </c>
    </row>
    <row r="385" spans="1:23">
      <c r="A385">
        <v>1378</v>
      </c>
      <c r="B385">
        <v>5</v>
      </c>
      <c r="C385">
        <v>4</v>
      </c>
      <c r="D385">
        <v>-0.54</v>
      </c>
      <c r="E385" s="2">
        <f t="shared" si="25"/>
        <v>-0.5</v>
      </c>
      <c r="F385" s="2">
        <f t="shared" si="26"/>
        <v>476</v>
      </c>
      <c r="G385">
        <v>-0.75900000000000001</v>
      </c>
      <c r="H385">
        <v>0.55800000000000005</v>
      </c>
      <c r="I385">
        <v>0.433</v>
      </c>
      <c r="J385">
        <v>0.38200000000000001</v>
      </c>
      <c r="K385">
        <v>0.28199999999999997</v>
      </c>
      <c r="L385">
        <v>-99.998999999999995</v>
      </c>
      <c r="M385">
        <v>-99.998999999999995</v>
      </c>
      <c r="Q385" s="2">
        <f t="shared" si="27"/>
        <v>-1.7791988738321816</v>
      </c>
      <c r="T385" s="2">
        <f t="shared" si="28"/>
        <v>137330.28438039785</v>
      </c>
      <c r="W385" s="2">
        <f t="shared" si="29"/>
        <v>137330.28438039785</v>
      </c>
    </row>
    <row r="386" spans="1:23">
      <c r="A386">
        <v>1379</v>
      </c>
      <c r="B386">
        <v>5</v>
      </c>
      <c r="C386">
        <v>4</v>
      </c>
      <c r="D386">
        <v>-0.64700000000000002</v>
      </c>
      <c r="E386" s="2">
        <f t="shared" si="25"/>
        <v>-0.5</v>
      </c>
      <c r="F386" s="2">
        <f t="shared" si="26"/>
        <v>457</v>
      </c>
      <c r="G386">
        <v>-0.77200000000000002</v>
      </c>
      <c r="H386">
        <v>0.55800000000000005</v>
      </c>
      <c r="I386">
        <v>0.433</v>
      </c>
      <c r="J386">
        <v>0.38200000000000001</v>
      </c>
      <c r="K386">
        <v>0.28199999999999997</v>
      </c>
      <c r="L386">
        <v>-99.998999999999995</v>
      </c>
      <c r="M386">
        <v>-99.998999999999995</v>
      </c>
      <c r="Q386" s="2">
        <f t="shared" si="27"/>
        <v>-1.8079924792146271</v>
      </c>
      <c r="T386" s="2">
        <f t="shared" si="28"/>
        <v>134900.66970582685</v>
      </c>
      <c r="W386" s="2">
        <f t="shared" si="29"/>
        <v>134900.66970582685</v>
      </c>
    </row>
    <row r="387" spans="1:23">
      <c r="A387">
        <v>1380</v>
      </c>
      <c r="B387">
        <v>5</v>
      </c>
      <c r="C387">
        <v>4</v>
      </c>
      <c r="D387">
        <v>1.528</v>
      </c>
      <c r="E387" s="2">
        <f t="shared" ref="E387:E450" si="30">IF(D387&gt;0,MROUND(D387,0.5),MROUND(D387,-0.5))</f>
        <v>1.5</v>
      </c>
      <c r="F387" s="2">
        <f t="shared" ref="F387:F450" si="31">RANK(D387,$D$3:$D$1011,1)</f>
        <v>801</v>
      </c>
      <c r="G387">
        <v>-0.81100000000000005</v>
      </c>
      <c r="H387">
        <v>0.55800000000000005</v>
      </c>
      <c r="I387">
        <v>0.433</v>
      </c>
      <c r="J387">
        <v>0.38200000000000001</v>
      </c>
      <c r="K387">
        <v>0.28199999999999997</v>
      </c>
      <c r="L387">
        <v>-99.998999999999995</v>
      </c>
      <c r="M387">
        <v>-99.998999999999995</v>
      </c>
      <c r="Q387" s="2">
        <f t="shared" ref="Q387:Q450" si="32">$Q$1022+($Q$1021*D387)</f>
        <v>-1.2227019025153854</v>
      </c>
      <c r="T387" s="2">
        <f t="shared" ref="T387:T450" si="33">$T$1025+(Q387*$T$1024)</f>
        <v>184287.69696930269</v>
      </c>
      <c r="W387" s="2">
        <f t="shared" ref="W387:W450" si="34">$T$1025+(Q387*$T$1024)</f>
        <v>184287.69696930269</v>
      </c>
    </row>
    <row r="388" spans="1:23">
      <c r="A388">
        <v>1381</v>
      </c>
      <c r="B388">
        <v>5</v>
      </c>
      <c r="C388">
        <v>4</v>
      </c>
      <c r="D388">
        <v>-1.857</v>
      </c>
      <c r="E388" s="2">
        <f t="shared" si="30"/>
        <v>-2</v>
      </c>
      <c r="F388" s="2">
        <f t="shared" si="31"/>
        <v>263</v>
      </c>
      <c r="G388">
        <v>-0.86299999999999999</v>
      </c>
      <c r="H388">
        <v>0.55800000000000005</v>
      </c>
      <c r="I388">
        <v>0.433</v>
      </c>
      <c r="J388">
        <v>0.38200000000000001</v>
      </c>
      <c r="K388">
        <v>0.28199999999999997</v>
      </c>
      <c r="L388">
        <v>-99.998999999999995</v>
      </c>
      <c r="M388">
        <v>-99.998999999999995</v>
      </c>
      <c r="Q388" s="2">
        <f t="shared" si="32"/>
        <v>-2.133602409240412</v>
      </c>
      <c r="T388" s="2">
        <f t="shared" si="33"/>
        <v>107425.58787189316</v>
      </c>
      <c r="W388" s="2">
        <f t="shared" si="34"/>
        <v>107425.58787189316</v>
      </c>
    </row>
    <row r="389" spans="1:23">
      <c r="A389">
        <v>1382</v>
      </c>
      <c r="B389">
        <v>5</v>
      </c>
      <c r="C389">
        <v>4</v>
      </c>
      <c r="D389">
        <v>-2.1379999999999999</v>
      </c>
      <c r="E389" s="2">
        <f t="shared" si="30"/>
        <v>-2</v>
      </c>
      <c r="F389" s="2">
        <f t="shared" si="31"/>
        <v>228</v>
      </c>
      <c r="G389">
        <v>-0.89900000000000002</v>
      </c>
      <c r="H389">
        <v>0.55800000000000005</v>
      </c>
      <c r="I389">
        <v>0.433</v>
      </c>
      <c r="J389">
        <v>0.38200000000000001</v>
      </c>
      <c r="K389">
        <v>0.28199999999999997</v>
      </c>
      <c r="L389">
        <v>-99.998999999999995</v>
      </c>
      <c r="M389">
        <v>-99.998999999999995</v>
      </c>
      <c r="Q389" s="2">
        <f t="shared" si="32"/>
        <v>-2.2092192607587968</v>
      </c>
      <c r="T389" s="2">
        <f t="shared" si="33"/>
        <v>101045.01101624413</v>
      </c>
      <c r="W389" s="2">
        <f t="shared" si="34"/>
        <v>101045.01101624413</v>
      </c>
    </row>
    <row r="390" spans="1:23">
      <c r="A390">
        <v>1383</v>
      </c>
      <c r="B390">
        <v>5</v>
      </c>
      <c r="C390">
        <v>4</v>
      </c>
      <c r="D390">
        <v>-1.8069999999999999</v>
      </c>
      <c r="E390" s="2">
        <f t="shared" si="30"/>
        <v>-2</v>
      </c>
      <c r="F390" s="2">
        <f t="shared" si="31"/>
        <v>270</v>
      </c>
      <c r="G390">
        <v>-0.89800000000000002</v>
      </c>
      <c r="H390">
        <v>0.55800000000000005</v>
      </c>
      <c r="I390">
        <v>0.433</v>
      </c>
      <c r="J390">
        <v>0.38200000000000001</v>
      </c>
      <c r="K390">
        <v>0.28199999999999997</v>
      </c>
      <c r="L390">
        <v>-99.998999999999995</v>
      </c>
      <c r="M390">
        <v>-99.998999999999995</v>
      </c>
      <c r="Q390" s="2">
        <f t="shared" si="32"/>
        <v>-2.1201474534542228</v>
      </c>
      <c r="T390" s="2">
        <f t="shared" si="33"/>
        <v>108560.92183197304</v>
      </c>
      <c r="W390" s="2">
        <f t="shared" si="34"/>
        <v>108560.92183197304</v>
      </c>
    </row>
    <row r="391" spans="1:23">
      <c r="A391">
        <v>1384</v>
      </c>
      <c r="B391">
        <v>5</v>
      </c>
      <c r="C391">
        <v>4</v>
      </c>
      <c r="D391">
        <v>-0.999</v>
      </c>
      <c r="E391" s="2">
        <f t="shared" si="30"/>
        <v>-1</v>
      </c>
      <c r="F391" s="2">
        <f t="shared" si="31"/>
        <v>396</v>
      </c>
      <c r="G391">
        <v>-0.84699999999999998</v>
      </c>
      <c r="H391">
        <v>0.55800000000000005</v>
      </c>
      <c r="I391">
        <v>0.433</v>
      </c>
      <c r="J391">
        <v>0.38200000000000001</v>
      </c>
      <c r="K391">
        <v>0.28199999999999997</v>
      </c>
      <c r="L391">
        <v>-99.998999999999995</v>
      </c>
      <c r="M391">
        <v>-99.998999999999995</v>
      </c>
      <c r="Q391" s="2">
        <f t="shared" si="32"/>
        <v>-1.9027153679494009</v>
      </c>
      <c r="T391" s="2">
        <f t="shared" si="33"/>
        <v>126907.91862686432</v>
      </c>
      <c r="W391" s="2">
        <f t="shared" si="34"/>
        <v>126907.91862686432</v>
      </c>
    </row>
    <row r="392" spans="1:23">
      <c r="A392">
        <v>1385</v>
      </c>
      <c r="B392">
        <v>5</v>
      </c>
      <c r="C392">
        <v>4</v>
      </c>
      <c r="D392">
        <v>4.8000000000000001E-2</v>
      </c>
      <c r="E392" s="2">
        <f t="shared" si="30"/>
        <v>0</v>
      </c>
      <c r="F392" s="2">
        <f t="shared" si="31"/>
        <v>576</v>
      </c>
      <c r="G392">
        <v>-0.74399999999999999</v>
      </c>
      <c r="H392">
        <v>0.55800000000000005</v>
      </c>
      <c r="I392">
        <v>0.433</v>
      </c>
      <c r="J392">
        <v>0.38200000000000001</v>
      </c>
      <c r="K392">
        <v>0.28199999999999997</v>
      </c>
      <c r="L392">
        <v>-99.998999999999995</v>
      </c>
      <c r="M392">
        <v>-99.998999999999995</v>
      </c>
      <c r="Q392" s="2">
        <f t="shared" si="32"/>
        <v>-1.6209685937865934</v>
      </c>
      <c r="T392" s="2">
        <f t="shared" si="33"/>
        <v>150681.81175093754</v>
      </c>
      <c r="W392" s="2">
        <f t="shared" si="34"/>
        <v>150681.81175093754</v>
      </c>
    </row>
    <row r="393" spans="1:23">
      <c r="A393">
        <v>1386</v>
      </c>
      <c r="B393">
        <v>5</v>
      </c>
      <c r="C393">
        <v>4</v>
      </c>
      <c r="D393">
        <v>-2.8540000000000001</v>
      </c>
      <c r="E393" s="2">
        <f t="shared" si="30"/>
        <v>-3</v>
      </c>
      <c r="F393" s="2">
        <f t="shared" si="31"/>
        <v>125</v>
      </c>
      <c r="G393">
        <v>-0.58499999999999996</v>
      </c>
      <c r="H393">
        <v>0.55800000000000005</v>
      </c>
      <c r="I393">
        <v>0.433</v>
      </c>
      <c r="J393">
        <v>0.38200000000000001</v>
      </c>
      <c r="K393">
        <v>0.28199999999999997</v>
      </c>
      <c r="L393">
        <v>-99.998999999999995</v>
      </c>
      <c r="M393">
        <v>-99.998999999999995</v>
      </c>
      <c r="Q393" s="2">
        <f t="shared" si="32"/>
        <v>-2.4018942276170301</v>
      </c>
      <c r="T393" s="2">
        <f t="shared" si="33"/>
        <v>84787.028707899881</v>
      </c>
      <c r="W393" s="2">
        <f t="shared" si="34"/>
        <v>84787.028707899881</v>
      </c>
    </row>
    <row r="394" spans="1:23">
      <c r="A394">
        <v>1387</v>
      </c>
      <c r="B394">
        <v>5</v>
      </c>
      <c r="C394">
        <v>4</v>
      </c>
      <c r="D394">
        <v>-3.1019999999999999</v>
      </c>
      <c r="E394" s="2">
        <f t="shared" si="30"/>
        <v>-3</v>
      </c>
      <c r="F394" s="2">
        <f t="shared" si="31"/>
        <v>102</v>
      </c>
      <c r="G394">
        <v>-0.36699999999999999</v>
      </c>
      <c r="H394">
        <v>0.55800000000000005</v>
      </c>
      <c r="I394">
        <v>0.433</v>
      </c>
      <c r="J394">
        <v>0.38200000000000001</v>
      </c>
      <c r="K394">
        <v>0.28199999999999997</v>
      </c>
      <c r="L394">
        <v>-99.998999999999995</v>
      </c>
      <c r="M394">
        <v>-99.998999999999995</v>
      </c>
      <c r="Q394" s="2">
        <f t="shared" si="32"/>
        <v>-2.4686308083165298</v>
      </c>
      <c r="T394" s="2">
        <f t="shared" si="33"/>
        <v>79155.772265903535</v>
      </c>
      <c r="W394" s="2">
        <f t="shared" si="34"/>
        <v>79155.772265903535</v>
      </c>
    </row>
    <row r="395" spans="1:23">
      <c r="A395">
        <v>1388</v>
      </c>
      <c r="B395">
        <v>5</v>
      </c>
      <c r="C395">
        <v>4</v>
      </c>
      <c r="D395">
        <v>1.2589999999999999</v>
      </c>
      <c r="E395" s="2">
        <f t="shared" si="30"/>
        <v>1.5</v>
      </c>
      <c r="F395" s="2">
        <f t="shared" si="31"/>
        <v>767</v>
      </c>
      <c r="G395">
        <v>-0.106</v>
      </c>
      <c r="H395">
        <v>0.55800000000000005</v>
      </c>
      <c r="I395">
        <v>0.433</v>
      </c>
      <c r="J395">
        <v>0.38200000000000001</v>
      </c>
      <c r="K395">
        <v>0.28199999999999997</v>
      </c>
      <c r="L395">
        <v>-99.998999999999995</v>
      </c>
      <c r="M395">
        <v>-99.998999999999995</v>
      </c>
      <c r="Q395" s="2">
        <f t="shared" si="32"/>
        <v>-1.2950895646450846</v>
      </c>
      <c r="T395" s="2">
        <f t="shared" si="33"/>
        <v>178179.60026407283</v>
      </c>
      <c r="W395" s="2">
        <f t="shared" si="34"/>
        <v>178179.60026407283</v>
      </c>
    </row>
    <row r="396" spans="1:23">
      <c r="A396">
        <v>1389</v>
      </c>
      <c r="B396">
        <v>5</v>
      </c>
      <c r="C396">
        <v>4</v>
      </c>
      <c r="D396">
        <v>2.9329999999999998</v>
      </c>
      <c r="E396" s="2">
        <f t="shared" si="30"/>
        <v>3</v>
      </c>
      <c r="F396" s="2">
        <f t="shared" si="31"/>
        <v>933</v>
      </c>
      <c r="G396">
        <v>0.16700000000000001</v>
      </c>
      <c r="H396">
        <v>0.55800000000000005</v>
      </c>
      <c r="I396">
        <v>0.433</v>
      </c>
      <c r="J396">
        <v>0.38200000000000001</v>
      </c>
      <c r="K396">
        <v>0.28199999999999997</v>
      </c>
      <c r="L396">
        <v>-99.998999999999995</v>
      </c>
      <c r="M396">
        <v>-99.998999999999995</v>
      </c>
      <c r="Q396" s="2">
        <f t="shared" si="32"/>
        <v>-0.84461764492346136</v>
      </c>
      <c r="T396" s="2">
        <f t="shared" si="33"/>
        <v>216190.58124754799</v>
      </c>
      <c r="W396" s="2">
        <f t="shared" si="34"/>
        <v>216190.58124754799</v>
      </c>
    </row>
    <row r="397" spans="1:23">
      <c r="A397">
        <v>1390</v>
      </c>
      <c r="B397">
        <v>5</v>
      </c>
      <c r="C397">
        <v>4</v>
      </c>
      <c r="D397">
        <v>-1.0029999999999999</v>
      </c>
      <c r="E397" s="2">
        <f t="shared" si="30"/>
        <v>-1</v>
      </c>
      <c r="F397" s="2">
        <f t="shared" si="31"/>
        <v>394</v>
      </c>
      <c r="G397">
        <v>0.42499999999999999</v>
      </c>
      <c r="H397">
        <v>0.55800000000000005</v>
      </c>
      <c r="I397">
        <v>0.433</v>
      </c>
      <c r="J397">
        <v>0.38200000000000001</v>
      </c>
      <c r="K397">
        <v>0.28199999999999997</v>
      </c>
      <c r="L397">
        <v>-99.998999999999995</v>
      </c>
      <c r="M397">
        <v>-99.998999999999995</v>
      </c>
      <c r="Q397" s="2">
        <f t="shared" si="32"/>
        <v>-1.9037917644122961</v>
      </c>
      <c r="T397" s="2">
        <f t="shared" si="33"/>
        <v>126817.09191005793</v>
      </c>
      <c r="W397" s="2">
        <f t="shared" si="34"/>
        <v>126817.09191005793</v>
      </c>
    </row>
    <row r="398" spans="1:23">
      <c r="A398">
        <v>1391</v>
      </c>
      <c r="B398">
        <v>5</v>
      </c>
      <c r="C398">
        <v>4</v>
      </c>
      <c r="D398">
        <v>2.4020000000000001</v>
      </c>
      <c r="E398" s="2">
        <f t="shared" si="30"/>
        <v>2.5</v>
      </c>
      <c r="F398" s="2">
        <f t="shared" si="31"/>
        <v>897</v>
      </c>
      <c r="G398">
        <v>0.66300000000000003</v>
      </c>
      <c r="H398">
        <v>0.55800000000000005</v>
      </c>
      <c r="I398">
        <v>0.437</v>
      </c>
      <c r="J398">
        <v>0.38200000000000001</v>
      </c>
      <c r="K398">
        <v>0.28199999999999997</v>
      </c>
      <c r="L398">
        <v>-99.998999999999995</v>
      </c>
      <c r="M398">
        <v>-99.998999999999995</v>
      </c>
      <c r="Q398" s="2">
        <f t="shared" si="32"/>
        <v>-0.98750927537279343</v>
      </c>
      <c r="T398" s="2">
        <f t="shared" si="33"/>
        <v>204133.33459149941</v>
      </c>
      <c r="W398" s="2">
        <f t="shared" si="34"/>
        <v>204133.33459149941</v>
      </c>
    </row>
    <row r="399" spans="1:23">
      <c r="A399">
        <v>1392</v>
      </c>
      <c r="B399">
        <v>5</v>
      </c>
      <c r="C399">
        <v>4</v>
      </c>
      <c r="D399">
        <v>-0.96499999999999997</v>
      </c>
      <c r="E399" s="2">
        <f t="shared" si="30"/>
        <v>-1</v>
      </c>
      <c r="F399" s="2">
        <f t="shared" si="31"/>
        <v>398</v>
      </c>
      <c r="G399">
        <v>0.871</v>
      </c>
      <c r="H399">
        <v>0.55800000000000005</v>
      </c>
      <c r="I399">
        <v>0.437</v>
      </c>
      <c r="J399">
        <v>0.38200000000000001</v>
      </c>
      <c r="K399">
        <v>0.28199999999999997</v>
      </c>
      <c r="L399">
        <v>-99.998999999999995</v>
      </c>
      <c r="M399">
        <v>-99.998999999999995</v>
      </c>
      <c r="Q399" s="2">
        <f t="shared" si="32"/>
        <v>-1.8935659980147921</v>
      </c>
      <c r="T399" s="2">
        <f t="shared" si="33"/>
        <v>127679.94571971867</v>
      </c>
      <c r="W399" s="2">
        <f t="shared" si="34"/>
        <v>127679.94571971867</v>
      </c>
    </row>
    <row r="400" spans="1:23">
      <c r="A400">
        <v>1393</v>
      </c>
      <c r="B400">
        <v>5</v>
      </c>
      <c r="C400">
        <v>4</v>
      </c>
      <c r="D400">
        <v>-0.58399999999999996</v>
      </c>
      <c r="E400" s="2">
        <f t="shared" si="30"/>
        <v>-0.5</v>
      </c>
      <c r="F400" s="2">
        <f t="shared" si="31"/>
        <v>467</v>
      </c>
      <c r="G400">
        <v>1.0469999999999999</v>
      </c>
      <c r="H400">
        <v>0.55800000000000005</v>
      </c>
      <c r="I400">
        <v>0.437</v>
      </c>
      <c r="J400">
        <v>0.38200000000000001</v>
      </c>
      <c r="K400">
        <v>0.28199999999999997</v>
      </c>
      <c r="L400">
        <v>-99.998999999999995</v>
      </c>
      <c r="M400">
        <v>-99.998999999999995</v>
      </c>
      <c r="Q400" s="2">
        <f t="shared" si="32"/>
        <v>-1.7910392349240283</v>
      </c>
      <c r="T400" s="2">
        <f t="shared" si="33"/>
        <v>136331.19049552755</v>
      </c>
      <c r="W400" s="2">
        <f t="shared" si="34"/>
        <v>136331.19049552755</v>
      </c>
    </row>
    <row r="401" spans="1:23">
      <c r="A401">
        <v>1394</v>
      </c>
      <c r="B401">
        <v>5</v>
      </c>
      <c r="C401">
        <v>4</v>
      </c>
      <c r="D401">
        <v>3.7429999999999999</v>
      </c>
      <c r="E401" s="2">
        <f t="shared" si="30"/>
        <v>3.5</v>
      </c>
      <c r="F401" s="2">
        <f t="shared" si="31"/>
        <v>969</v>
      </c>
      <c r="G401">
        <v>1.175</v>
      </c>
      <c r="H401">
        <v>0.55800000000000005</v>
      </c>
      <c r="I401">
        <v>0.437</v>
      </c>
      <c r="J401">
        <v>0.38200000000000001</v>
      </c>
      <c r="K401">
        <v>0.28199999999999997</v>
      </c>
      <c r="L401">
        <v>-99.998999999999995</v>
      </c>
      <c r="M401">
        <v>-99.998999999999995</v>
      </c>
      <c r="Q401" s="2">
        <f t="shared" si="32"/>
        <v>-0.62664736118719211</v>
      </c>
      <c r="T401" s="2">
        <f t="shared" si="33"/>
        <v>234582.99140084244</v>
      </c>
      <c r="W401" s="2">
        <f t="shared" si="34"/>
        <v>234582.99140084244</v>
      </c>
    </row>
    <row r="402" spans="1:23">
      <c r="A402">
        <v>1395</v>
      </c>
      <c r="B402">
        <v>5</v>
      </c>
      <c r="C402">
        <v>4</v>
      </c>
      <c r="D402">
        <v>2.54</v>
      </c>
      <c r="E402" s="2">
        <f t="shared" si="30"/>
        <v>2.5</v>
      </c>
      <c r="F402" s="2">
        <f t="shared" si="31"/>
        <v>904</v>
      </c>
      <c r="G402">
        <v>1.2330000000000001</v>
      </c>
      <c r="H402">
        <v>0.55800000000000005</v>
      </c>
      <c r="I402">
        <v>0.437</v>
      </c>
      <c r="J402">
        <v>0.38200000000000001</v>
      </c>
      <c r="K402">
        <v>0.28199999999999997</v>
      </c>
      <c r="L402">
        <v>-99.998999999999995</v>
      </c>
      <c r="M402">
        <v>-99.998999999999995</v>
      </c>
      <c r="Q402" s="2">
        <f t="shared" si="32"/>
        <v>-0.9503735974029105</v>
      </c>
      <c r="T402" s="2">
        <f t="shared" si="33"/>
        <v>207266.85632131997</v>
      </c>
      <c r="W402" s="2">
        <f t="shared" si="34"/>
        <v>207266.85632131997</v>
      </c>
    </row>
    <row r="403" spans="1:23">
      <c r="A403">
        <v>1396</v>
      </c>
      <c r="B403">
        <v>5</v>
      </c>
      <c r="C403">
        <v>4</v>
      </c>
      <c r="D403">
        <v>4.1289999999999996</v>
      </c>
      <c r="E403" s="2">
        <f t="shared" si="30"/>
        <v>4</v>
      </c>
      <c r="F403" s="2">
        <f t="shared" si="31"/>
        <v>979</v>
      </c>
      <c r="G403">
        <v>1.212</v>
      </c>
      <c r="H403">
        <v>0.55800000000000005</v>
      </c>
      <c r="I403">
        <v>0.437</v>
      </c>
      <c r="J403">
        <v>0.38200000000000001</v>
      </c>
      <c r="K403">
        <v>0.28199999999999997</v>
      </c>
      <c r="L403">
        <v>-99.998999999999995</v>
      </c>
      <c r="M403">
        <v>-99.998999999999995</v>
      </c>
      <c r="Q403" s="2">
        <f t="shared" si="32"/>
        <v>-0.52277510251780956</v>
      </c>
      <c r="T403" s="2">
        <f t="shared" si="33"/>
        <v>243347.76957265931</v>
      </c>
      <c r="W403" s="2">
        <f t="shared" si="34"/>
        <v>243347.76957265931</v>
      </c>
    </row>
    <row r="404" spans="1:23">
      <c r="A404">
        <v>1397</v>
      </c>
      <c r="B404">
        <v>5</v>
      </c>
      <c r="C404">
        <v>4</v>
      </c>
      <c r="D404">
        <v>-1.018</v>
      </c>
      <c r="E404" s="2">
        <f t="shared" si="30"/>
        <v>-1</v>
      </c>
      <c r="F404" s="2">
        <f t="shared" si="31"/>
        <v>390</v>
      </c>
      <c r="G404">
        <v>1.121</v>
      </c>
      <c r="H404">
        <v>0.55800000000000005</v>
      </c>
      <c r="I404">
        <v>0.437</v>
      </c>
      <c r="J404">
        <v>0.38200000000000001</v>
      </c>
      <c r="K404">
        <v>0.28199999999999997</v>
      </c>
      <c r="L404">
        <v>-99.998999999999995</v>
      </c>
      <c r="M404">
        <v>-99.998999999999995</v>
      </c>
      <c r="Q404" s="2">
        <f t="shared" si="32"/>
        <v>-1.9078282511481528</v>
      </c>
      <c r="T404" s="2">
        <f t="shared" si="33"/>
        <v>126476.49172203397</v>
      </c>
      <c r="W404" s="2">
        <f t="shared" si="34"/>
        <v>126476.49172203397</v>
      </c>
    </row>
    <row r="405" spans="1:23">
      <c r="A405">
        <v>1398</v>
      </c>
      <c r="B405">
        <v>5</v>
      </c>
      <c r="C405">
        <v>4</v>
      </c>
      <c r="D405">
        <v>2.1520000000000001</v>
      </c>
      <c r="E405" s="2">
        <f t="shared" si="30"/>
        <v>2</v>
      </c>
      <c r="F405" s="2">
        <f t="shared" si="31"/>
        <v>870</v>
      </c>
      <c r="G405">
        <v>0.98899999999999999</v>
      </c>
      <c r="H405">
        <v>0.55800000000000005</v>
      </c>
      <c r="I405">
        <v>0.437</v>
      </c>
      <c r="J405">
        <v>0.38200000000000001</v>
      </c>
      <c r="K405">
        <v>0.28199999999999997</v>
      </c>
      <c r="L405">
        <v>-99.998999999999995</v>
      </c>
      <c r="M405">
        <v>-99.998999999999995</v>
      </c>
      <c r="Q405" s="2">
        <f t="shared" si="32"/>
        <v>-1.0547840543037408</v>
      </c>
      <c r="T405" s="2">
        <f t="shared" si="33"/>
        <v>198456.6647910999</v>
      </c>
      <c r="W405" s="2">
        <f t="shared" si="34"/>
        <v>198456.6647910999</v>
      </c>
    </row>
    <row r="406" spans="1:23">
      <c r="A406">
        <v>1399</v>
      </c>
      <c r="B406">
        <v>5</v>
      </c>
      <c r="C406">
        <v>4</v>
      </c>
      <c r="D406">
        <v>0.157</v>
      </c>
      <c r="E406" s="2">
        <f t="shared" si="30"/>
        <v>0</v>
      </c>
      <c r="F406" s="2">
        <f t="shared" si="31"/>
        <v>592</v>
      </c>
      <c r="G406">
        <v>0.83399999999999996</v>
      </c>
      <c r="H406">
        <v>0.55800000000000005</v>
      </c>
      <c r="I406">
        <v>0.437</v>
      </c>
      <c r="J406">
        <v>0.38200000000000001</v>
      </c>
      <c r="K406">
        <v>0.28199999999999997</v>
      </c>
      <c r="L406">
        <v>-99.998999999999995</v>
      </c>
      <c r="M406">
        <v>-99.998999999999995</v>
      </c>
      <c r="Q406" s="2">
        <f t="shared" si="32"/>
        <v>-1.5916367901727004</v>
      </c>
      <c r="T406" s="2">
        <f t="shared" si="33"/>
        <v>153156.83978391171</v>
      </c>
      <c r="W406" s="2">
        <f t="shared" si="34"/>
        <v>153156.83978391171</v>
      </c>
    </row>
    <row r="407" spans="1:23">
      <c r="A407">
        <v>1400</v>
      </c>
      <c r="B407">
        <v>5</v>
      </c>
      <c r="C407">
        <v>4</v>
      </c>
      <c r="D407">
        <v>-0.125</v>
      </c>
      <c r="E407" s="2">
        <f t="shared" si="30"/>
        <v>0</v>
      </c>
      <c r="F407" s="2">
        <f t="shared" si="31"/>
        <v>550</v>
      </c>
      <c r="G407">
        <v>0.68100000000000005</v>
      </c>
      <c r="H407">
        <v>0.55800000000000005</v>
      </c>
      <c r="I407">
        <v>0.437</v>
      </c>
      <c r="J407">
        <v>0.38200000000000001</v>
      </c>
      <c r="K407">
        <v>0.28199999999999997</v>
      </c>
      <c r="L407">
        <v>-99.998999999999995</v>
      </c>
      <c r="M407">
        <v>-99.998999999999995</v>
      </c>
      <c r="Q407" s="2">
        <f t="shared" si="32"/>
        <v>-1.667522740806809</v>
      </c>
      <c r="T407" s="2">
        <f t="shared" si="33"/>
        <v>146753.55624906108</v>
      </c>
      <c r="W407" s="2">
        <f t="shared" si="34"/>
        <v>146753.55624906108</v>
      </c>
    </row>
    <row r="408" spans="1:23">
      <c r="A408">
        <v>1401</v>
      </c>
      <c r="B408">
        <v>5</v>
      </c>
      <c r="C408">
        <v>4</v>
      </c>
      <c r="D408">
        <v>-0.59499999999999997</v>
      </c>
      <c r="E408" s="2">
        <f t="shared" si="30"/>
        <v>-0.5</v>
      </c>
      <c r="F408" s="2">
        <f t="shared" si="31"/>
        <v>465</v>
      </c>
      <c r="G408">
        <v>0.54700000000000004</v>
      </c>
      <c r="H408">
        <v>0.55800000000000005</v>
      </c>
      <c r="I408">
        <v>0.437</v>
      </c>
      <c r="J408">
        <v>0.38200000000000001</v>
      </c>
      <c r="K408">
        <v>0.28199999999999997</v>
      </c>
      <c r="L408">
        <v>-99.998999999999995</v>
      </c>
      <c r="M408">
        <v>-99.998999999999995</v>
      </c>
      <c r="Q408" s="2">
        <f t="shared" si="32"/>
        <v>-1.7939993251969901</v>
      </c>
      <c r="T408" s="2">
        <f t="shared" si="33"/>
        <v>136081.41702430995</v>
      </c>
      <c r="W408" s="2">
        <f t="shared" si="34"/>
        <v>136081.41702430995</v>
      </c>
    </row>
    <row r="409" spans="1:23">
      <c r="A409">
        <v>1402</v>
      </c>
      <c r="B409">
        <v>5</v>
      </c>
      <c r="C409">
        <v>4</v>
      </c>
      <c r="D409">
        <v>-1.526</v>
      </c>
      <c r="E409" s="2">
        <f t="shared" si="30"/>
        <v>-1.5</v>
      </c>
      <c r="F409" s="2">
        <f t="shared" si="31"/>
        <v>324</v>
      </c>
      <c r="G409">
        <v>0.44400000000000001</v>
      </c>
      <c r="H409">
        <v>0.55800000000000005</v>
      </c>
      <c r="I409">
        <v>0.437</v>
      </c>
      <c r="J409">
        <v>0.38200000000000001</v>
      </c>
      <c r="K409">
        <v>0.28199999999999997</v>
      </c>
      <c r="L409">
        <v>-99.998999999999995</v>
      </c>
      <c r="M409">
        <v>-99.998999999999995</v>
      </c>
      <c r="Q409" s="2">
        <f t="shared" si="32"/>
        <v>-2.044530601935838</v>
      </c>
      <c r="T409" s="2">
        <f t="shared" si="33"/>
        <v>114941.49868762211</v>
      </c>
      <c r="W409" s="2">
        <f t="shared" si="34"/>
        <v>114941.49868762211</v>
      </c>
    </row>
    <row r="410" spans="1:23">
      <c r="A410">
        <v>1403</v>
      </c>
      <c r="B410">
        <v>5</v>
      </c>
      <c r="C410">
        <v>4</v>
      </c>
      <c r="D410">
        <v>2.7909999999999999</v>
      </c>
      <c r="E410" s="2">
        <f t="shared" si="30"/>
        <v>3</v>
      </c>
      <c r="F410" s="2">
        <f t="shared" si="31"/>
        <v>927</v>
      </c>
      <c r="G410">
        <v>0.37</v>
      </c>
      <c r="H410">
        <v>0.55800000000000005</v>
      </c>
      <c r="I410">
        <v>0.437</v>
      </c>
      <c r="J410">
        <v>0.38200000000000001</v>
      </c>
      <c r="K410">
        <v>0.28199999999999997</v>
      </c>
      <c r="L410">
        <v>-99.998999999999995</v>
      </c>
      <c r="M410">
        <v>-99.998999999999995</v>
      </c>
      <c r="Q410" s="2">
        <f t="shared" si="32"/>
        <v>-0.88282971935623944</v>
      </c>
      <c r="T410" s="2">
        <f t="shared" si="33"/>
        <v>212966.23280092108</v>
      </c>
      <c r="W410" s="2">
        <f t="shared" si="34"/>
        <v>212966.23280092108</v>
      </c>
    </row>
    <row r="411" spans="1:23">
      <c r="A411">
        <v>1404</v>
      </c>
      <c r="B411">
        <v>5</v>
      </c>
      <c r="C411">
        <v>4</v>
      </c>
      <c r="D411">
        <v>-5.0999999999999997E-2</v>
      </c>
      <c r="E411" s="2">
        <f t="shared" si="30"/>
        <v>0</v>
      </c>
      <c r="F411" s="2">
        <f t="shared" si="31"/>
        <v>558</v>
      </c>
      <c r="G411">
        <v>0.315</v>
      </c>
      <c r="H411">
        <v>0.55800000000000005</v>
      </c>
      <c r="I411">
        <v>0.437</v>
      </c>
      <c r="J411">
        <v>0.38200000000000001</v>
      </c>
      <c r="K411">
        <v>0.28199999999999997</v>
      </c>
      <c r="L411">
        <v>-99.998999999999995</v>
      </c>
      <c r="M411">
        <v>-99.998999999999995</v>
      </c>
      <c r="Q411" s="2">
        <f t="shared" si="32"/>
        <v>-1.6476094062432487</v>
      </c>
      <c r="T411" s="2">
        <f t="shared" si="33"/>
        <v>148433.8505099793</v>
      </c>
      <c r="W411" s="2">
        <f t="shared" si="34"/>
        <v>148433.8505099793</v>
      </c>
    </row>
    <row r="412" spans="1:23">
      <c r="A412">
        <v>1405</v>
      </c>
      <c r="B412">
        <v>5</v>
      </c>
      <c r="C412">
        <v>4</v>
      </c>
      <c r="D412">
        <v>-1.5489999999999999</v>
      </c>
      <c r="E412" s="2">
        <f t="shared" si="30"/>
        <v>-1.5</v>
      </c>
      <c r="F412" s="2">
        <f t="shared" si="31"/>
        <v>317</v>
      </c>
      <c r="G412">
        <v>0.27700000000000002</v>
      </c>
      <c r="H412">
        <v>0.55800000000000005</v>
      </c>
      <c r="I412">
        <v>0.437</v>
      </c>
      <c r="J412">
        <v>0.38200000000000001</v>
      </c>
      <c r="K412">
        <v>0.28199999999999997</v>
      </c>
      <c r="L412">
        <v>-99.998999999999995</v>
      </c>
      <c r="M412">
        <v>-99.998999999999995</v>
      </c>
      <c r="Q412" s="2">
        <f t="shared" si="32"/>
        <v>-2.0507198815974852</v>
      </c>
      <c r="T412" s="2">
        <f t="shared" si="33"/>
        <v>114419.24506598536</v>
      </c>
      <c r="W412" s="2">
        <f t="shared" si="34"/>
        <v>114419.24506598536</v>
      </c>
    </row>
    <row r="413" spans="1:23">
      <c r="A413">
        <v>1406</v>
      </c>
      <c r="B413">
        <v>5</v>
      </c>
      <c r="C413">
        <v>4</v>
      </c>
      <c r="D413">
        <v>0.219</v>
      </c>
      <c r="E413" s="2">
        <f t="shared" si="30"/>
        <v>0</v>
      </c>
      <c r="F413" s="2">
        <f t="shared" si="31"/>
        <v>599</v>
      </c>
      <c r="G413">
        <v>0.25700000000000001</v>
      </c>
      <c r="H413">
        <v>0.55800000000000005</v>
      </c>
      <c r="I413">
        <v>0.437</v>
      </c>
      <c r="J413">
        <v>0.38200000000000001</v>
      </c>
      <c r="K413">
        <v>0.28199999999999997</v>
      </c>
      <c r="L413">
        <v>-99.998999999999995</v>
      </c>
      <c r="M413">
        <v>-99.998999999999995</v>
      </c>
      <c r="Q413" s="2">
        <f t="shared" si="32"/>
        <v>-1.5749526449978255</v>
      </c>
      <c r="T413" s="2">
        <f t="shared" si="33"/>
        <v>154564.65389441079</v>
      </c>
      <c r="W413" s="2">
        <f t="shared" si="34"/>
        <v>154564.65389441079</v>
      </c>
    </row>
    <row r="414" spans="1:23">
      <c r="A414">
        <v>1407</v>
      </c>
      <c r="B414">
        <v>5</v>
      </c>
      <c r="C414">
        <v>4</v>
      </c>
      <c r="D414">
        <v>0.78500000000000003</v>
      </c>
      <c r="E414" s="2">
        <f t="shared" si="30"/>
        <v>1</v>
      </c>
      <c r="F414" s="2">
        <f t="shared" si="31"/>
        <v>695</v>
      </c>
      <c r="G414">
        <v>0.24</v>
      </c>
      <c r="H414">
        <v>0.55800000000000005</v>
      </c>
      <c r="I414">
        <v>0.437</v>
      </c>
      <c r="J414">
        <v>0.38200000000000001</v>
      </c>
      <c r="K414">
        <v>0.28199999999999997</v>
      </c>
      <c r="L414">
        <v>-99.998999999999995</v>
      </c>
      <c r="M414">
        <v>-99.998999999999995</v>
      </c>
      <c r="Q414" s="2">
        <f t="shared" si="32"/>
        <v>-1.4226425454981608</v>
      </c>
      <c r="T414" s="2">
        <f t="shared" si="33"/>
        <v>167416.63432251531</v>
      </c>
      <c r="W414" s="2">
        <f t="shared" si="34"/>
        <v>167416.63432251531</v>
      </c>
    </row>
    <row r="415" spans="1:23">
      <c r="A415">
        <v>1408</v>
      </c>
      <c r="B415">
        <v>5</v>
      </c>
      <c r="C415">
        <v>4</v>
      </c>
      <c r="D415">
        <v>3.4750000000000001</v>
      </c>
      <c r="E415" s="2">
        <f t="shared" si="30"/>
        <v>3.5</v>
      </c>
      <c r="F415" s="2">
        <f t="shared" si="31"/>
        <v>960</v>
      </c>
      <c r="G415">
        <v>0.20899999999999999</v>
      </c>
      <c r="H415">
        <v>0.55800000000000005</v>
      </c>
      <c r="I415">
        <v>0.437</v>
      </c>
      <c r="J415">
        <v>0.38200000000000001</v>
      </c>
      <c r="K415">
        <v>0.28199999999999997</v>
      </c>
      <c r="L415">
        <v>-99.998999999999995</v>
      </c>
      <c r="M415">
        <v>-99.998999999999995</v>
      </c>
      <c r="Q415" s="2">
        <f t="shared" si="32"/>
        <v>-0.69876592420116757</v>
      </c>
      <c r="T415" s="2">
        <f t="shared" si="33"/>
        <v>228497.60137481417</v>
      </c>
      <c r="W415" s="2">
        <f t="shared" si="34"/>
        <v>228497.60137481417</v>
      </c>
    </row>
    <row r="416" spans="1:23">
      <c r="A416">
        <v>1409</v>
      </c>
      <c r="B416">
        <v>5</v>
      </c>
      <c r="C416">
        <v>4</v>
      </c>
      <c r="D416">
        <v>1.274</v>
      </c>
      <c r="E416" s="2">
        <f t="shared" si="30"/>
        <v>1.5</v>
      </c>
      <c r="F416" s="2">
        <f t="shared" si="31"/>
        <v>769</v>
      </c>
      <c r="G416">
        <v>0.159</v>
      </c>
      <c r="H416">
        <v>0.55800000000000005</v>
      </c>
      <c r="I416">
        <v>0.437</v>
      </c>
      <c r="J416">
        <v>0.38200000000000001</v>
      </c>
      <c r="K416">
        <v>0.28199999999999997</v>
      </c>
      <c r="L416">
        <v>-99.998999999999995</v>
      </c>
      <c r="M416">
        <v>-99.998999999999995</v>
      </c>
      <c r="Q416" s="2">
        <f t="shared" si="32"/>
        <v>-1.2910530779092277</v>
      </c>
      <c r="T416" s="2">
        <f t="shared" si="33"/>
        <v>178520.20045209679</v>
      </c>
      <c r="W416" s="2">
        <f t="shared" si="34"/>
        <v>178520.20045209679</v>
      </c>
    </row>
    <row r="417" spans="1:23">
      <c r="A417">
        <v>1410</v>
      </c>
      <c r="B417">
        <v>5</v>
      </c>
      <c r="C417">
        <v>4</v>
      </c>
      <c r="D417">
        <v>-1.986</v>
      </c>
      <c r="E417" s="2">
        <f t="shared" si="30"/>
        <v>-2</v>
      </c>
      <c r="F417" s="2">
        <f t="shared" si="31"/>
        <v>246</v>
      </c>
      <c r="G417">
        <v>0.105</v>
      </c>
      <c r="H417">
        <v>0.55800000000000005</v>
      </c>
      <c r="I417">
        <v>0.437</v>
      </c>
      <c r="J417">
        <v>0.38200000000000001</v>
      </c>
      <c r="K417">
        <v>0.28199999999999997</v>
      </c>
      <c r="L417">
        <v>-99.998999999999995</v>
      </c>
      <c r="M417">
        <v>-99.998999999999995</v>
      </c>
      <c r="Q417" s="2">
        <f t="shared" si="32"/>
        <v>-2.168316195168781</v>
      </c>
      <c r="T417" s="2">
        <f t="shared" si="33"/>
        <v>104496.42625488702</v>
      </c>
      <c r="W417" s="2">
        <f t="shared" si="34"/>
        <v>104496.42625488702</v>
      </c>
    </row>
    <row r="418" spans="1:23">
      <c r="A418">
        <v>1411</v>
      </c>
      <c r="B418">
        <v>5</v>
      </c>
      <c r="C418">
        <v>4</v>
      </c>
      <c r="D418">
        <v>-1.4319999999999999</v>
      </c>
      <c r="E418" s="2">
        <f t="shared" si="30"/>
        <v>-1.5</v>
      </c>
      <c r="F418" s="2">
        <f t="shared" si="31"/>
        <v>340</v>
      </c>
      <c r="G418">
        <v>7.2999999999999995E-2</v>
      </c>
      <c r="H418">
        <v>0.55800000000000005</v>
      </c>
      <c r="I418">
        <v>0.437</v>
      </c>
      <c r="J418">
        <v>0.38200000000000001</v>
      </c>
      <c r="K418">
        <v>0.28199999999999997</v>
      </c>
      <c r="L418">
        <v>-99.998999999999995</v>
      </c>
      <c r="M418">
        <v>-99.998999999999995</v>
      </c>
      <c r="Q418" s="2">
        <f t="shared" si="32"/>
        <v>-2.0192352850578015</v>
      </c>
      <c r="T418" s="2">
        <f t="shared" si="33"/>
        <v>117075.92653257237</v>
      </c>
      <c r="W418" s="2">
        <f t="shared" si="34"/>
        <v>117075.92653257237</v>
      </c>
    </row>
    <row r="419" spans="1:23">
      <c r="A419">
        <v>1412</v>
      </c>
      <c r="B419">
        <v>5</v>
      </c>
      <c r="C419">
        <v>4</v>
      </c>
      <c r="D419">
        <v>-3.0590000000000002</v>
      </c>
      <c r="E419" s="2">
        <f t="shared" si="30"/>
        <v>-3</v>
      </c>
      <c r="F419" s="2">
        <f t="shared" si="31"/>
        <v>107</v>
      </c>
      <c r="G419">
        <v>7.5999999999999998E-2</v>
      </c>
      <c r="H419">
        <v>0.55800000000000005</v>
      </c>
      <c r="I419">
        <v>0.437</v>
      </c>
      <c r="J419">
        <v>0.38200000000000001</v>
      </c>
      <c r="K419">
        <v>0.28199999999999997</v>
      </c>
      <c r="L419">
        <v>-99.998999999999995</v>
      </c>
      <c r="M419">
        <v>-99.998999999999995</v>
      </c>
      <c r="Q419" s="2">
        <f t="shared" si="32"/>
        <v>-2.4570595463404068</v>
      </c>
      <c r="T419" s="2">
        <f t="shared" si="33"/>
        <v>80132.15947157226</v>
      </c>
      <c r="W419" s="2">
        <f t="shared" si="34"/>
        <v>80132.15947157226</v>
      </c>
    </row>
    <row r="420" spans="1:23">
      <c r="A420">
        <v>1413</v>
      </c>
      <c r="B420">
        <v>5</v>
      </c>
      <c r="C420">
        <v>4</v>
      </c>
      <c r="D420">
        <v>0.64100000000000001</v>
      </c>
      <c r="E420" s="2">
        <f t="shared" si="30"/>
        <v>0.5</v>
      </c>
      <c r="F420" s="2">
        <f t="shared" si="31"/>
        <v>674</v>
      </c>
      <c r="G420">
        <v>0.105</v>
      </c>
      <c r="H420">
        <v>0.55800000000000005</v>
      </c>
      <c r="I420">
        <v>0.437</v>
      </c>
      <c r="J420">
        <v>0.38200000000000001</v>
      </c>
      <c r="K420">
        <v>0.28199999999999997</v>
      </c>
      <c r="L420">
        <v>-99.998999999999995</v>
      </c>
      <c r="M420">
        <v>-99.998999999999995</v>
      </c>
      <c r="Q420" s="2">
        <f t="shared" si="32"/>
        <v>-1.4613928181623865</v>
      </c>
      <c r="T420" s="2">
        <f t="shared" si="33"/>
        <v>164146.87251748517</v>
      </c>
      <c r="W420" s="2">
        <f t="shared" si="34"/>
        <v>164146.87251748517</v>
      </c>
    </row>
    <row r="421" spans="1:23">
      <c r="A421">
        <v>1414</v>
      </c>
      <c r="B421">
        <v>5</v>
      </c>
      <c r="C421">
        <v>4</v>
      </c>
      <c r="D421">
        <v>3.5870000000000002</v>
      </c>
      <c r="E421" s="2">
        <f t="shared" si="30"/>
        <v>3.5</v>
      </c>
      <c r="F421" s="2">
        <f t="shared" si="31"/>
        <v>966</v>
      </c>
      <c r="G421">
        <v>0.13300000000000001</v>
      </c>
      <c r="H421">
        <v>0.55800000000000005</v>
      </c>
      <c r="I421">
        <v>0.437</v>
      </c>
      <c r="J421">
        <v>0.38200000000000001</v>
      </c>
      <c r="K421">
        <v>0.28199999999999997</v>
      </c>
      <c r="L421">
        <v>-99.998999999999995</v>
      </c>
      <c r="M421">
        <v>-99.998999999999995</v>
      </c>
      <c r="Q421" s="2">
        <f t="shared" si="32"/>
        <v>-0.66862682324010314</v>
      </c>
      <c r="T421" s="2">
        <f t="shared" si="33"/>
        <v>231040.74944539316</v>
      </c>
      <c r="W421" s="2">
        <f t="shared" si="34"/>
        <v>231040.74944539316</v>
      </c>
    </row>
    <row r="422" spans="1:23">
      <c r="A422">
        <v>1415</v>
      </c>
      <c r="B422">
        <v>5</v>
      </c>
      <c r="C422">
        <v>4</v>
      </c>
      <c r="D422">
        <v>-2.2959999999999998</v>
      </c>
      <c r="E422" s="2">
        <f t="shared" si="30"/>
        <v>-2.5</v>
      </c>
      <c r="F422" s="2">
        <f t="shared" si="31"/>
        <v>204</v>
      </c>
      <c r="G422">
        <v>0.13400000000000001</v>
      </c>
      <c r="H422">
        <v>0.55800000000000005</v>
      </c>
      <c r="I422">
        <v>0.437</v>
      </c>
      <c r="J422">
        <v>0.38200000000000001</v>
      </c>
      <c r="K422">
        <v>0.28199999999999997</v>
      </c>
      <c r="L422">
        <v>-99.998999999999995</v>
      </c>
      <c r="M422">
        <v>-99.998999999999995</v>
      </c>
      <c r="Q422" s="2">
        <f t="shared" si="32"/>
        <v>-2.2517369210431557</v>
      </c>
      <c r="T422" s="2">
        <f t="shared" si="33"/>
        <v>97457.355702391593</v>
      </c>
      <c r="W422" s="2">
        <f t="shared" si="34"/>
        <v>97457.355702391593</v>
      </c>
    </row>
    <row r="423" spans="1:23">
      <c r="A423">
        <v>1416</v>
      </c>
      <c r="B423">
        <v>5</v>
      </c>
      <c r="C423">
        <v>4</v>
      </c>
      <c r="D423">
        <v>1.0680000000000001</v>
      </c>
      <c r="E423" s="2">
        <f t="shared" si="30"/>
        <v>1</v>
      </c>
      <c r="F423" s="2">
        <f t="shared" si="31"/>
        <v>741</v>
      </c>
      <c r="G423">
        <v>0.104</v>
      </c>
      <c r="H423">
        <v>0.55800000000000005</v>
      </c>
      <c r="I423">
        <v>0.437</v>
      </c>
      <c r="J423">
        <v>0.38200000000000001</v>
      </c>
      <c r="K423">
        <v>0.28199999999999997</v>
      </c>
      <c r="L423">
        <v>-99.998999999999995</v>
      </c>
      <c r="M423">
        <v>-99.998999999999995</v>
      </c>
      <c r="Q423" s="2">
        <f t="shared" si="32"/>
        <v>-1.3464874957483284</v>
      </c>
      <c r="T423" s="2">
        <f t="shared" si="33"/>
        <v>173842.6245365676</v>
      </c>
      <c r="W423" s="2">
        <f t="shared" si="34"/>
        <v>173842.6245365676</v>
      </c>
    </row>
    <row r="424" spans="1:23">
      <c r="A424">
        <v>1417</v>
      </c>
      <c r="B424">
        <v>5</v>
      </c>
      <c r="C424">
        <v>4</v>
      </c>
      <c r="D424">
        <v>4.6710000000000003</v>
      </c>
      <c r="E424" s="2">
        <f t="shared" si="30"/>
        <v>4.5</v>
      </c>
      <c r="F424" s="2">
        <f t="shared" si="31"/>
        <v>992</v>
      </c>
      <c r="G424">
        <v>2.9000000000000001E-2</v>
      </c>
      <c r="H424">
        <v>0.55800000000000005</v>
      </c>
      <c r="I424">
        <v>0.437</v>
      </c>
      <c r="J424">
        <v>0.38200000000000001</v>
      </c>
      <c r="K424">
        <v>0.28199999999999997</v>
      </c>
      <c r="L424">
        <v>-99.998999999999995</v>
      </c>
      <c r="M424">
        <v>-99.998999999999995</v>
      </c>
      <c r="Q424" s="2">
        <f t="shared" si="32"/>
        <v>-0.37692338179551554</v>
      </c>
      <c r="T424" s="2">
        <f t="shared" si="33"/>
        <v>255654.78969992549</v>
      </c>
      <c r="W424" s="2">
        <f t="shared" si="34"/>
        <v>255654.78969992549</v>
      </c>
    </row>
    <row r="425" spans="1:23">
      <c r="A425">
        <v>1418</v>
      </c>
      <c r="B425">
        <v>5</v>
      </c>
      <c r="C425">
        <v>4</v>
      </c>
      <c r="D425">
        <v>-1.353</v>
      </c>
      <c r="E425" s="2">
        <f t="shared" si="30"/>
        <v>-1.5</v>
      </c>
      <c r="F425" s="2">
        <f t="shared" si="31"/>
        <v>346</v>
      </c>
      <c r="G425">
        <v>-9.6000000000000002E-2</v>
      </c>
      <c r="H425">
        <v>0.55800000000000005</v>
      </c>
      <c r="I425">
        <v>0.437</v>
      </c>
      <c r="J425">
        <v>0.38100000000000001</v>
      </c>
      <c r="K425">
        <v>0.28199999999999997</v>
      </c>
      <c r="L425">
        <v>-99.998999999999995</v>
      </c>
      <c r="M425">
        <v>-99.998999999999995</v>
      </c>
      <c r="Q425" s="2">
        <f t="shared" si="32"/>
        <v>-1.9979764549156223</v>
      </c>
      <c r="T425" s="2">
        <f t="shared" si="33"/>
        <v>118869.75418949861</v>
      </c>
      <c r="W425" s="2">
        <f t="shared" si="34"/>
        <v>118869.75418949861</v>
      </c>
    </row>
    <row r="426" spans="1:23">
      <c r="A426">
        <v>1419</v>
      </c>
      <c r="B426">
        <v>5</v>
      </c>
      <c r="C426">
        <v>4</v>
      </c>
      <c r="D426">
        <v>-0.191</v>
      </c>
      <c r="E426" s="2">
        <f t="shared" si="30"/>
        <v>0</v>
      </c>
      <c r="F426" s="2">
        <f t="shared" si="31"/>
        <v>539</v>
      </c>
      <c r="G426">
        <v>-0.24399999999999999</v>
      </c>
      <c r="H426">
        <v>0.55800000000000005</v>
      </c>
      <c r="I426">
        <v>0.437</v>
      </c>
      <c r="J426">
        <v>0.38100000000000001</v>
      </c>
      <c r="K426">
        <v>0.28199999999999997</v>
      </c>
      <c r="L426">
        <v>-99.998999999999995</v>
      </c>
      <c r="M426">
        <v>-99.998999999999995</v>
      </c>
      <c r="Q426" s="2">
        <f t="shared" si="32"/>
        <v>-1.6852832824445791</v>
      </c>
      <c r="T426" s="2">
        <f t="shared" si="33"/>
        <v>145254.91542175558</v>
      </c>
      <c r="W426" s="2">
        <f t="shared" si="34"/>
        <v>145254.91542175558</v>
      </c>
    </row>
    <row r="427" spans="1:23">
      <c r="A427">
        <v>1420</v>
      </c>
      <c r="B427">
        <v>5</v>
      </c>
      <c r="C427">
        <v>4</v>
      </c>
      <c r="D427">
        <v>1.3939999999999999</v>
      </c>
      <c r="E427" s="2">
        <f t="shared" si="30"/>
        <v>1.5</v>
      </c>
      <c r="F427" s="2">
        <f t="shared" si="31"/>
        <v>787</v>
      </c>
      <c r="G427">
        <v>-0.39100000000000001</v>
      </c>
      <c r="H427">
        <v>0.55800000000000005</v>
      </c>
      <c r="I427">
        <v>0.437</v>
      </c>
      <c r="J427">
        <v>0.38100000000000001</v>
      </c>
      <c r="K427">
        <v>0.28199999999999997</v>
      </c>
      <c r="L427">
        <v>-99.998999999999995</v>
      </c>
      <c r="M427">
        <v>-99.998999999999995</v>
      </c>
      <c r="Q427" s="2">
        <f t="shared" si="32"/>
        <v>-1.2587611840223731</v>
      </c>
      <c r="T427" s="2">
        <f t="shared" si="33"/>
        <v>181245.00195628856</v>
      </c>
      <c r="W427" s="2">
        <f t="shared" si="34"/>
        <v>181245.00195628856</v>
      </c>
    </row>
    <row r="428" spans="1:23">
      <c r="A428">
        <v>1421</v>
      </c>
      <c r="B428">
        <v>5</v>
      </c>
      <c r="C428">
        <v>4</v>
      </c>
      <c r="D428">
        <v>-5.8630000000000004</v>
      </c>
      <c r="E428" s="2">
        <f t="shared" si="30"/>
        <v>-6</v>
      </c>
      <c r="F428" s="2">
        <f t="shared" si="31"/>
        <v>5</v>
      </c>
      <c r="G428">
        <v>-0.51</v>
      </c>
      <c r="H428">
        <v>0.55800000000000005</v>
      </c>
      <c r="I428">
        <v>0.437</v>
      </c>
      <c r="J428">
        <v>0.38100000000000001</v>
      </c>
      <c r="K428">
        <v>0.28199999999999997</v>
      </c>
      <c r="L428">
        <v>-99.998999999999995</v>
      </c>
      <c r="M428">
        <v>-99.998999999999995</v>
      </c>
      <c r="Q428" s="2">
        <f t="shared" si="32"/>
        <v>-3.2116134668299123</v>
      </c>
      <c r="T428" s="2">
        <f t="shared" si="33"/>
        <v>16462.630990291189</v>
      </c>
      <c r="W428" s="2">
        <f t="shared" si="34"/>
        <v>16462.630990291189</v>
      </c>
    </row>
    <row r="429" spans="1:23">
      <c r="A429">
        <v>1422</v>
      </c>
      <c r="B429">
        <v>5</v>
      </c>
      <c r="C429">
        <v>4</v>
      </c>
      <c r="D429">
        <v>-1.3240000000000001</v>
      </c>
      <c r="E429" s="2">
        <f t="shared" si="30"/>
        <v>-1.5</v>
      </c>
      <c r="F429" s="2">
        <f t="shared" si="31"/>
        <v>350</v>
      </c>
      <c r="G429">
        <v>-0.57199999999999995</v>
      </c>
      <c r="H429">
        <v>0.55800000000000005</v>
      </c>
      <c r="I429">
        <v>0.437</v>
      </c>
      <c r="J429">
        <v>0.38100000000000001</v>
      </c>
      <c r="K429">
        <v>0.28199999999999997</v>
      </c>
      <c r="L429">
        <v>-99.998999999999995</v>
      </c>
      <c r="M429">
        <v>-99.998999999999995</v>
      </c>
      <c r="Q429" s="2">
        <f t="shared" si="32"/>
        <v>-1.9901725805596324</v>
      </c>
      <c r="T429" s="2">
        <f t="shared" si="33"/>
        <v>119528.24788634494</v>
      </c>
      <c r="W429" s="2">
        <f t="shared" si="34"/>
        <v>119528.24788634494</v>
      </c>
    </row>
    <row r="430" spans="1:23">
      <c r="A430">
        <v>1423</v>
      </c>
      <c r="B430">
        <v>5</v>
      </c>
      <c r="C430">
        <v>4</v>
      </c>
      <c r="D430">
        <v>1.556</v>
      </c>
      <c r="E430" s="2">
        <f t="shared" si="30"/>
        <v>1.5</v>
      </c>
      <c r="F430" s="2">
        <f t="shared" si="31"/>
        <v>810</v>
      </c>
      <c r="G430">
        <v>-0.58199999999999996</v>
      </c>
      <c r="H430">
        <v>0.55800000000000005</v>
      </c>
      <c r="I430">
        <v>0.437</v>
      </c>
      <c r="J430">
        <v>0.38100000000000001</v>
      </c>
      <c r="K430">
        <v>0.28199999999999997</v>
      </c>
      <c r="L430">
        <v>-99.998999999999995</v>
      </c>
      <c r="M430">
        <v>-99.998999999999995</v>
      </c>
      <c r="Q430" s="2">
        <f t="shared" si="32"/>
        <v>-1.2151671272751192</v>
      </c>
      <c r="T430" s="2">
        <f t="shared" si="33"/>
        <v>184923.48398694745</v>
      </c>
      <c r="W430" s="2">
        <f t="shared" si="34"/>
        <v>184923.48398694745</v>
      </c>
    </row>
    <row r="431" spans="1:23">
      <c r="A431">
        <v>1424</v>
      </c>
      <c r="B431">
        <v>5</v>
      </c>
      <c r="C431">
        <v>4</v>
      </c>
      <c r="D431">
        <v>-2.161</v>
      </c>
      <c r="E431" s="2">
        <f t="shared" si="30"/>
        <v>-2</v>
      </c>
      <c r="F431" s="2">
        <f t="shared" si="31"/>
        <v>222</v>
      </c>
      <c r="G431">
        <v>-0.55200000000000005</v>
      </c>
      <c r="H431">
        <v>0.55800000000000005</v>
      </c>
      <c r="I431">
        <v>0.437</v>
      </c>
      <c r="J431">
        <v>0.38100000000000001</v>
      </c>
      <c r="K431">
        <v>0.28199999999999997</v>
      </c>
      <c r="L431">
        <v>-99.998999999999995</v>
      </c>
      <c r="M431">
        <v>-99.998999999999995</v>
      </c>
      <c r="Q431" s="2">
        <f t="shared" si="32"/>
        <v>-2.215408540420444</v>
      </c>
      <c r="T431" s="2">
        <f t="shared" si="33"/>
        <v>100522.75739460735</v>
      </c>
      <c r="W431" s="2">
        <f t="shared" si="34"/>
        <v>100522.75739460735</v>
      </c>
    </row>
    <row r="432" spans="1:23">
      <c r="A432">
        <v>1425</v>
      </c>
      <c r="B432">
        <v>5</v>
      </c>
      <c r="C432">
        <v>4</v>
      </c>
      <c r="D432">
        <v>-1.7869999999999999</v>
      </c>
      <c r="E432" s="2">
        <f t="shared" si="30"/>
        <v>-2</v>
      </c>
      <c r="F432" s="2">
        <f t="shared" si="31"/>
        <v>274</v>
      </c>
      <c r="G432">
        <v>-0.48599999999999999</v>
      </c>
      <c r="H432">
        <v>0.55800000000000005</v>
      </c>
      <c r="I432">
        <v>0.437</v>
      </c>
      <c r="J432">
        <v>0.38100000000000001</v>
      </c>
      <c r="K432">
        <v>0.28199999999999997</v>
      </c>
      <c r="L432">
        <v>-99.998999999999995</v>
      </c>
      <c r="M432">
        <v>-99.998999999999995</v>
      </c>
      <c r="Q432" s="2">
        <f t="shared" si="32"/>
        <v>-2.114765471139747</v>
      </c>
      <c r="T432" s="2">
        <f t="shared" si="33"/>
        <v>109015.05541600502</v>
      </c>
      <c r="W432" s="2">
        <f t="shared" si="34"/>
        <v>109015.05541600502</v>
      </c>
    </row>
    <row r="433" spans="1:23">
      <c r="A433">
        <v>1426</v>
      </c>
      <c r="B433">
        <v>5</v>
      </c>
      <c r="C433">
        <v>4</v>
      </c>
      <c r="D433">
        <v>3.298</v>
      </c>
      <c r="E433" s="2">
        <f t="shared" si="30"/>
        <v>3.5</v>
      </c>
      <c r="F433" s="2">
        <f t="shared" si="31"/>
        <v>949</v>
      </c>
      <c r="G433">
        <v>-0.39900000000000002</v>
      </c>
      <c r="H433">
        <v>0.55800000000000005</v>
      </c>
      <c r="I433">
        <v>0.437</v>
      </c>
      <c r="J433">
        <v>0.38100000000000001</v>
      </c>
      <c r="K433">
        <v>0.28199999999999997</v>
      </c>
      <c r="L433">
        <v>-99.998999999999995</v>
      </c>
      <c r="M433">
        <v>-99.998999999999995</v>
      </c>
      <c r="Q433" s="2">
        <f t="shared" si="32"/>
        <v>-0.74639646768427825</v>
      </c>
      <c r="T433" s="2">
        <f t="shared" si="33"/>
        <v>224478.51915613131</v>
      </c>
      <c r="W433" s="2">
        <f t="shared" si="34"/>
        <v>224478.51915613131</v>
      </c>
    </row>
    <row r="434" spans="1:23">
      <c r="A434">
        <v>1427</v>
      </c>
      <c r="B434">
        <v>5</v>
      </c>
      <c r="C434">
        <v>4</v>
      </c>
      <c r="D434">
        <v>-2.5219999999999998</v>
      </c>
      <c r="E434" s="2">
        <f t="shared" si="30"/>
        <v>-2.5</v>
      </c>
      <c r="F434" s="2">
        <f t="shared" si="31"/>
        <v>174</v>
      </c>
      <c r="G434">
        <v>-0.30599999999999999</v>
      </c>
      <c r="H434">
        <v>0.55800000000000005</v>
      </c>
      <c r="I434">
        <v>0.437</v>
      </c>
      <c r="J434">
        <v>0.38100000000000001</v>
      </c>
      <c r="K434">
        <v>0.28199999999999997</v>
      </c>
      <c r="L434">
        <v>-99.998999999999995</v>
      </c>
      <c r="M434">
        <v>-99.998999999999995</v>
      </c>
      <c r="Q434" s="2">
        <f t="shared" si="32"/>
        <v>-2.3125533211967317</v>
      </c>
      <c r="T434" s="2">
        <f t="shared" si="33"/>
        <v>92325.646202830452</v>
      </c>
      <c r="W434" s="2">
        <f t="shared" si="34"/>
        <v>92325.646202830452</v>
      </c>
    </row>
    <row r="435" spans="1:23">
      <c r="A435">
        <v>1428</v>
      </c>
      <c r="B435">
        <v>5</v>
      </c>
      <c r="C435">
        <v>4</v>
      </c>
      <c r="D435">
        <v>0.55500000000000005</v>
      </c>
      <c r="E435" s="2">
        <f t="shared" si="30"/>
        <v>0.5</v>
      </c>
      <c r="F435" s="2">
        <f t="shared" si="31"/>
        <v>660</v>
      </c>
      <c r="G435">
        <v>-0.21</v>
      </c>
      <c r="H435">
        <v>0.55800000000000005</v>
      </c>
      <c r="I435">
        <v>0.437</v>
      </c>
      <c r="J435">
        <v>0.38100000000000001</v>
      </c>
      <c r="K435">
        <v>0.28199999999999997</v>
      </c>
      <c r="L435">
        <v>-99.998999999999995</v>
      </c>
      <c r="M435">
        <v>-99.998999999999995</v>
      </c>
      <c r="Q435" s="2">
        <f t="shared" si="32"/>
        <v>-1.4845353421146323</v>
      </c>
      <c r="T435" s="2">
        <f t="shared" si="33"/>
        <v>162194.09810614775</v>
      </c>
      <c r="W435" s="2">
        <f t="shared" si="34"/>
        <v>162194.09810614775</v>
      </c>
    </row>
    <row r="436" spans="1:23">
      <c r="A436">
        <v>1429</v>
      </c>
      <c r="B436">
        <v>5</v>
      </c>
      <c r="C436">
        <v>4</v>
      </c>
      <c r="D436">
        <v>1.32</v>
      </c>
      <c r="E436" s="2">
        <f t="shared" si="30"/>
        <v>1.5</v>
      </c>
      <c r="F436" s="2">
        <f t="shared" si="31"/>
        <v>779</v>
      </c>
      <c r="G436">
        <v>-0.115</v>
      </c>
      <c r="H436">
        <v>0.55800000000000005</v>
      </c>
      <c r="I436">
        <v>0.437</v>
      </c>
      <c r="J436">
        <v>0.38100000000000001</v>
      </c>
      <c r="K436">
        <v>0.28199999999999997</v>
      </c>
      <c r="L436">
        <v>-99.998999999999995</v>
      </c>
      <c r="M436">
        <v>-99.998999999999995</v>
      </c>
      <c r="Q436" s="2">
        <f t="shared" si="32"/>
        <v>-1.2786745185859334</v>
      </c>
      <c r="T436" s="2">
        <f t="shared" si="33"/>
        <v>179564.70769537031</v>
      </c>
      <c r="W436" s="2">
        <f t="shared" si="34"/>
        <v>179564.70769537031</v>
      </c>
    </row>
    <row r="437" spans="1:23">
      <c r="A437">
        <v>1430</v>
      </c>
      <c r="B437">
        <v>5</v>
      </c>
      <c r="C437">
        <v>4</v>
      </c>
      <c r="D437">
        <v>-2.665</v>
      </c>
      <c r="E437" s="2">
        <f t="shared" si="30"/>
        <v>-2.5</v>
      </c>
      <c r="F437" s="2">
        <f t="shared" si="31"/>
        <v>156</v>
      </c>
      <c r="G437">
        <v>-2.5999999999999999E-2</v>
      </c>
      <c r="H437">
        <v>0.55800000000000005</v>
      </c>
      <c r="I437">
        <v>0.437</v>
      </c>
      <c r="J437">
        <v>0.38100000000000001</v>
      </c>
      <c r="K437">
        <v>0.28199999999999997</v>
      </c>
      <c r="L437">
        <v>-99.998999999999995</v>
      </c>
      <c r="M437">
        <v>-99.998999999999995</v>
      </c>
      <c r="Q437" s="2">
        <f t="shared" si="32"/>
        <v>-2.351034494745234</v>
      </c>
      <c r="T437" s="2">
        <f t="shared" si="33"/>
        <v>89078.591077001911</v>
      </c>
      <c r="W437" s="2">
        <f t="shared" si="34"/>
        <v>89078.591077001911</v>
      </c>
    </row>
    <row r="438" spans="1:23">
      <c r="A438">
        <v>1431</v>
      </c>
      <c r="B438">
        <v>5</v>
      </c>
      <c r="C438">
        <v>4</v>
      </c>
      <c r="D438">
        <v>-0.23200000000000001</v>
      </c>
      <c r="E438" s="2">
        <f t="shared" si="30"/>
        <v>0</v>
      </c>
      <c r="F438" s="2">
        <f t="shared" si="31"/>
        <v>530</v>
      </c>
      <c r="G438">
        <v>6.0999999999999999E-2</v>
      </c>
      <c r="H438">
        <v>0.55800000000000005</v>
      </c>
      <c r="I438">
        <v>0.437</v>
      </c>
      <c r="J438">
        <v>0.38100000000000001</v>
      </c>
      <c r="K438">
        <v>0.28199999999999997</v>
      </c>
      <c r="L438">
        <v>-99.998999999999995</v>
      </c>
      <c r="M438">
        <v>-99.998999999999995</v>
      </c>
      <c r="Q438" s="2">
        <f t="shared" si="32"/>
        <v>-1.6963163461892545</v>
      </c>
      <c r="T438" s="2">
        <f t="shared" si="33"/>
        <v>144323.94157449005</v>
      </c>
      <c r="W438" s="2">
        <f t="shared" si="34"/>
        <v>144323.94157449005</v>
      </c>
    </row>
    <row r="439" spans="1:23">
      <c r="A439">
        <v>1432</v>
      </c>
      <c r="B439">
        <v>5</v>
      </c>
      <c r="C439">
        <v>4</v>
      </c>
      <c r="D439">
        <v>2.8540000000000001</v>
      </c>
      <c r="E439" s="2">
        <f t="shared" si="30"/>
        <v>3</v>
      </c>
      <c r="F439" s="2">
        <f t="shared" si="31"/>
        <v>929</v>
      </c>
      <c r="G439">
        <v>0.13400000000000001</v>
      </c>
      <c r="H439">
        <v>0.55800000000000005</v>
      </c>
      <c r="I439">
        <v>0.437</v>
      </c>
      <c r="J439">
        <v>0.38100000000000001</v>
      </c>
      <c r="K439">
        <v>0.28199999999999997</v>
      </c>
      <c r="L439">
        <v>-99.998999999999995</v>
      </c>
      <c r="M439">
        <v>-99.998999999999995</v>
      </c>
      <c r="Q439" s="2">
        <f t="shared" si="32"/>
        <v>-0.86587647506564069</v>
      </c>
      <c r="T439" s="2">
        <f t="shared" si="33"/>
        <v>214396.75359062175</v>
      </c>
      <c r="W439" s="2">
        <f t="shared" si="34"/>
        <v>214396.75359062175</v>
      </c>
    </row>
    <row r="440" spans="1:23">
      <c r="A440">
        <v>1433</v>
      </c>
      <c r="B440">
        <v>5</v>
      </c>
      <c r="C440">
        <v>4</v>
      </c>
      <c r="D440">
        <v>-0.371</v>
      </c>
      <c r="E440" s="2">
        <f t="shared" si="30"/>
        <v>-0.5</v>
      </c>
      <c r="F440" s="2">
        <f t="shared" si="31"/>
        <v>506</v>
      </c>
      <c r="G440">
        <v>0.17799999999999999</v>
      </c>
      <c r="H440">
        <v>0.55000000000000004</v>
      </c>
      <c r="I440">
        <v>0.437</v>
      </c>
      <c r="J440">
        <v>0.38100000000000001</v>
      </c>
      <c r="K440">
        <v>0.29399999999999998</v>
      </c>
      <c r="L440">
        <v>-99.998999999999995</v>
      </c>
      <c r="M440">
        <v>-99.998999999999995</v>
      </c>
      <c r="Q440" s="2">
        <f t="shared" si="32"/>
        <v>-1.7337211232748613</v>
      </c>
      <c r="T440" s="2">
        <f t="shared" si="33"/>
        <v>141167.71316546793</v>
      </c>
      <c r="W440" s="2">
        <f t="shared" si="34"/>
        <v>141167.71316546793</v>
      </c>
    </row>
    <row r="441" spans="1:23">
      <c r="A441">
        <v>1434</v>
      </c>
      <c r="B441">
        <v>5</v>
      </c>
      <c r="C441">
        <v>4</v>
      </c>
      <c r="D441">
        <v>0.64100000000000001</v>
      </c>
      <c r="E441" s="2">
        <f t="shared" si="30"/>
        <v>0.5</v>
      </c>
      <c r="F441" s="2">
        <f t="shared" si="31"/>
        <v>674</v>
      </c>
      <c r="G441">
        <v>0.19600000000000001</v>
      </c>
      <c r="H441">
        <v>0.55000000000000004</v>
      </c>
      <c r="I441">
        <v>0.437</v>
      </c>
      <c r="J441">
        <v>0.38100000000000001</v>
      </c>
      <c r="K441">
        <v>0.29399999999999998</v>
      </c>
      <c r="L441">
        <v>-99.998999999999995</v>
      </c>
      <c r="M441">
        <v>-99.998999999999995</v>
      </c>
      <c r="Q441" s="2">
        <f t="shared" si="32"/>
        <v>-1.4613928181623865</v>
      </c>
      <c r="T441" s="2">
        <f t="shared" si="33"/>
        <v>164146.87251748517</v>
      </c>
      <c r="W441" s="2">
        <f t="shared" si="34"/>
        <v>164146.87251748517</v>
      </c>
    </row>
    <row r="442" spans="1:23">
      <c r="A442">
        <v>1435</v>
      </c>
      <c r="B442">
        <v>5</v>
      </c>
      <c r="C442">
        <v>4</v>
      </c>
      <c r="D442">
        <v>0.85099999999999998</v>
      </c>
      <c r="E442" s="2">
        <f t="shared" si="30"/>
        <v>1</v>
      </c>
      <c r="F442" s="2">
        <f t="shared" si="31"/>
        <v>705</v>
      </c>
      <c r="G442">
        <v>0.192</v>
      </c>
      <c r="H442">
        <v>0.55000000000000004</v>
      </c>
      <c r="I442">
        <v>0.437</v>
      </c>
      <c r="J442">
        <v>0.38100000000000001</v>
      </c>
      <c r="K442">
        <v>0.29399999999999998</v>
      </c>
      <c r="L442">
        <v>-99.998999999999995</v>
      </c>
      <c r="M442">
        <v>-99.998999999999995</v>
      </c>
      <c r="Q442" s="2">
        <f t="shared" si="32"/>
        <v>-1.4048820038603906</v>
      </c>
      <c r="T442" s="2">
        <f t="shared" si="33"/>
        <v>168915.27514982078</v>
      </c>
      <c r="W442" s="2">
        <f t="shared" si="34"/>
        <v>168915.27514982078</v>
      </c>
    </row>
    <row r="443" spans="1:23">
      <c r="A443">
        <v>1436</v>
      </c>
      <c r="B443">
        <v>5</v>
      </c>
      <c r="C443">
        <v>4</v>
      </c>
      <c r="D443">
        <v>-2.8359999999999999</v>
      </c>
      <c r="E443" s="2">
        <f t="shared" si="30"/>
        <v>-3</v>
      </c>
      <c r="F443" s="2">
        <f t="shared" si="31"/>
        <v>130</v>
      </c>
      <c r="G443">
        <v>0.17199999999999999</v>
      </c>
      <c r="H443">
        <v>0.55000000000000004</v>
      </c>
      <c r="I443">
        <v>0.437</v>
      </c>
      <c r="J443">
        <v>0.38100000000000001</v>
      </c>
      <c r="K443">
        <v>0.29399999999999998</v>
      </c>
      <c r="L443">
        <v>-99.998999999999995</v>
      </c>
      <c r="M443">
        <v>-99.998999999999995</v>
      </c>
      <c r="Q443" s="2">
        <f t="shared" si="32"/>
        <v>-2.3970504435340017</v>
      </c>
      <c r="T443" s="2">
        <f t="shared" si="33"/>
        <v>85195.748933528666</v>
      </c>
      <c r="W443" s="2">
        <f t="shared" si="34"/>
        <v>85195.748933528666</v>
      </c>
    </row>
    <row r="444" spans="1:23">
      <c r="A444">
        <v>1437</v>
      </c>
      <c r="B444">
        <v>5</v>
      </c>
      <c r="C444">
        <v>4</v>
      </c>
      <c r="D444">
        <v>-1.204</v>
      </c>
      <c r="E444" s="2">
        <f t="shared" si="30"/>
        <v>-1</v>
      </c>
      <c r="F444" s="2">
        <f t="shared" si="31"/>
        <v>370</v>
      </c>
      <c r="G444">
        <v>0.14499999999999999</v>
      </c>
      <c r="H444">
        <v>0.55000000000000004</v>
      </c>
      <c r="I444">
        <v>0.437</v>
      </c>
      <c r="J444">
        <v>0.38100000000000001</v>
      </c>
      <c r="K444">
        <v>0.29399999999999998</v>
      </c>
      <c r="L444">
        <v>-99.998999999999995</v>
      </c>
      <c r="M444">
        <v>-99.998999999999995</v>
      </c>
      <c r="Q444" s="2">
        <f t="shared" si="32"/>
        <v>-1.9578806866727776</v>
      </c>
      <c r="T444" s="2">
        <f t="shared" si="33"/>
        <v>122253.04939053673</v>
      </c>
      <c r="W444" s="2">
        <f t="shared" si="34"/>
        <v>122253.04939053673</v>
      </c>
    </row>
    <row r="445" spans="1:23">
      <c r="A445">
        <v>1438</v>
      </c>
      <c r="B445">
        <v>5</v>
      </c>
      <c r="C445">
        <v>4</v>
      </c>
      <c r="D445">
        <v>3.4569999999999999</v>
      </c>
      <c r="E445" s="2">
        <f t="shared" si="30"/>
        <v>3.5</v>
      </c>
      <c r="F445" s="2">
        <f t="shared" si="31"/>
        <v>959</v>
      </c>
      <c r="G445">
        <v>9.6000000000000002E-2</v>
      </c>
      <c r="H445">
        <v>0.55000000000000004</v>
      </c>
      <c r="I445">
        <v>0.437</v>
      </c>
      <c r="J445">
        <v>0.38100000000000001</v>
      </c>
      <c r="K445">
        <v>0.29399999999999998</v>
      </c>
      <c r="L445">
        <v>-99.998999999999995</v>
      </c>
      <c r="M445">
        <v>-99.998999999999995</v>
      </c>
      <c r="Q445" s="2">
        <f t="shared" si="32"/>
        <v>-0.70360970828419578</v>
      </c>
      <c r="T445" s="2">
        <f t="shared" si="33"/>
        <v>228088.88114918541</v>
      </c>
      <c r="W445" s="2">
        <f t="shared" si="34"/>
        <v>228088.88114918541</v>
      </c>
    </row>
    <row r="446" spans="1:23">
      <c r="A446">
        <v>1439</v>
      </c>
      <c r="B446">
        <v>5</v>
      </c>
      <c r="C446">
        <v>4</v>
      </c>
      <c r="D446">
        <v>0.82</v>
      </c>
      <c r="E446" s="2">
        <f t="shared" si="30"/>
        <v>1</v>
      </c>
      <c r="F446" s="2">
        <f t="shared" si="31"/>
        <v>701</v>
      </c>
      <c r="G446">
        <v>3.0000000000000001E-3</v>
      </c>
      <c r="H446">
        <v>0.55000000000000004</v>
      </c>
      <c r="I446">
        <v>0.437</v>
      </c>
      <c r="J446">
        <v>0.38100000000000001</v>
      </c>
      <c r="K446">
        <v>0.29399999999999998</v>
      </c>
      <c r="L446">
        <v>-99.998999999999995</v>
      </c>
      <c r="M446">
        <v>-99.998999999999995</v>
      </c>
      <c r="Q446" s="2">
        <f t="shared" si="32"/>
        <v>-1.4132240764478281</v>
      </c>
      <c r="T446" s="2">
        <f t="shared" si="33"/>
        <v>168211.36809457125</v>
      </c>
      <c r="W446" s="2">
        <f t="shared" si="34"/>
        <v>168211.36809457125</v>
      </c>
    </row>
    <row r="447" spans="1:23">
      <c r="A447">
        <v>1440</v>
      </c>
      <c r="B447">
        <v>5</v>
      </c>
      <c r="C447">
        <v>4</v>
      </c>
      <c r="D447">
        <v>-0.88600000000000001</v>
      </c>
      <c r="E447" s="2">
        <f t="shared" si="30"/>
        <v>-1</v>
      </c>
      <c r="F447" s="2">
        <f t="shared" si="31"/>
        <v>409</v>
      </c>
      <c r="G447">
        <v>-0.13300000000000001</v>
      </c>
      <c r="H447">
        <v>0.55000000000000004</v>
      </c>
      <c r="I447">
        <v>0.437</v>
      </c>
      <c r="J447">
        <v>0.38100000000000001</v>
      </c>
      <c r="K447">
        <v>0.29399999999999998</v>
      </c>
      <c r="L447">
        <v>-99.998999999999995</v>
      </c>
      <c r="M447">
        <v>-99.998999999999995</v>
      </c>
      <c r="Q447" s="2">
        <f t="shared" si="32"/>
        <v>-1.8723071678726126</v>
      </c>
      <c r="T447" s="2">
        <f t="shared" si="33"/>
        <v>129473.77337664491</v>
      </c>
      <c r="W447" s="2">
        <f t="shared" si="34"/>
        <v>129473.77337664491</v>
      </c>
    </row>
    <row r="448" spans="1:23">
      <c r="A448">
        <v>1441</v>
      </c>
      <c r="B448">
        <v>5</v>
      </c>
      <c r="C448">
        <v>4</v>
      </c>
      <c r="D448">
        <v>0.78600000000000003</v>
      </c>
      <c r="E448" s="2">
        <f t="shared" si="30"/>
        <v>1</v>
      </c>
      <c r="F448" s="2">
        <f t="shared" si="31"/>
        <v>696</v>
      </c>
      <c r="G448">
        <v>-0.30499999999999999</v>
      </c>
      <c r="H448">
        <v>0.55000000000000004</v>
      </c>
      <c r="I448">
        <v>0.437</v>
      </c>
      <c r="J448">
        <v>0.38100000000000001</v>
      </c>
      <c r="K448">
        <v>0.29399999999999998</v>
      </c>
      <c r="L448">
        <v>-99.998999999999995</v>
      </c>
      <c r="M448">
        <v>-99.998999999999995</v>
      </c>
      <c r="Q448" s="2">
        <f t="shared" si="32"/>
        <v>-1.4223734463824369</v>
      </c>
      <c r="T448" s="2">
        <f t="shared" si="33"/>
        <v>167439.34100171691</v>
      </c>
      <c r="W448" s="2">
        <f t="shared" si="34"/>
        <v>167439.34100171691</v>
      </c>
    </row>
    <row r="449" spans="1:23">
      <c r="A449">
        <v>1442</v>
      </c>
      <c r="B449">
        <v>5</v>
      </c>
      <c r="C449">
        <v>4</v>
      </c>
      <c r="D449">
        <v>-0.32400000000000001</v>
      </c>
      <c r="E449" s="2">
        <f t="shared" si="30"/>
        <v>-0.5</v>
      </c>
      <c r="F449" s="2">
        <f t="shared" si="31"/>
        <v>515</v>
      </c>
      <c r="G449">
        <v>-0.50600000000000001</v>
      </c>
      <c r="H449">
        <v>0.55000000000000004</v>
      </c>
      <c r="I449">
        <v>0.437</v>
      </c>
      <c r="J449">
        <v>0.38100000000000001</v>
      </c>
      <c r="K449">
        <v>0.29399999999999998</v>
      </c>
      <c r="L449">
        <v>-99.998999999999995</v>
      </c>
      <c r="M449">
        <v>-99.998999999999995</v>
      </c>
      <c r="Q449" s="2">
        <f t="shared" si="32"/>
        <v>-1.7210734648358432</v>
      </c>
      <c r="T449" s="2">
        <f t="shared" si="33"/>
        <v>142234.92708794304</v>
      </c>
      <c r="W449" s="2">
        <f t="shared" si="34"/>
        <v>142234.92708794304</v>
      </c>
    </row>
    <row r="450" spans="1:23">
      <c r="A450">
        <v>1443</v>
      </c>
      <c r="B450">
        <v>5</v>
      </c>
      <c r="C450">
        <v>4</v>
      </c>
      <c r="D450">
        <v>0.86399999999999999</v>
      </c>
      <c r="E450" s="2">
        <f t="shared" si="30"/>
        <v>1</v>
      </c>
      <c r="F450" s="2">
        <f t="shared" si="31"/>
        <v>707</v>
      </c>
      <c r="G450">
        <v>-0.72199999999999998</v>
      </c>
      <c r="H450">
        <v>0.55000000000000004</v>
      </c>
      <c r="I450">
        <v>0.437</v>
      </c>
      <c r="J450">
        <v>0.38100000000000001</v>
      </c>
      <c r="K450">
        <v>0.29399999999999998</v>
      </c>
      <c r="L450">
        <v>-99.998999999999995</v>
      </c>
      <c r="M450">
        <v>-99.998999999999995</v>
      </c>
      <c r="Q450" s="2">
        <f t="shared" si="32"/>
        <v>-1.4013837153559814</v>
      </c>
      <c r="T450" s="2">
        <f t="shared" si="33"/>
        <v>169210.46197944158</v>
      </c>
      <c r="W450" s="2">
        <f t="shared" si="34"/>
        <v>169210.46197944158</v>
      </c>
    </row>
    <row r="451" spans="1:23">
      <c r="A451">
        <v>1444</v>
      </c>
      <c r="B451">
        <v>5</v>
      </c>
      <c r="C451">
        <v>4</v>
      </c>
      <c r="D451">
        <v>-3.5859999999999999</v>
      </c>
      <c r="E451" s="2">
        <f t="shared" ref="E451:E514" si="35">IF(D451&gt;0,MROUND(D451,0.5),MROUND(D451,-0.5))</f>
        <v>-3.5</v>
      </c>
      <c r="F451" s="2">
        <f t="shared" ref="F451:F514" si="36">RANK(D451,$D$3:$D$1011,1)</f>
        <v>69</v>
      </c>
      <c r="G451">
        <v>-0.93500000000000005</v>
      </c>
      <c r="H451">
        <v>0.55000000000000004</v>
      </c>
      <c r="I451">
        <v>0.437</v>
      </c>
      <c r="J451">
        <v>0.38100000000000001</v>
      </c>
      <c r="K451">
        <v>0.29399999999999998</v>
      </c>
      <c r="L451">
        <v>-99.998999999999995</v>
      </c>
      <c r="M451">
        <v>-99.998999999999995</v>
      </c>
      <c r="Q451" s="2">
        <f t="shared" ref="Q451:Q514" si="37">$Q$1022+($Q$1021*D451)</f>
        <v>-2.5988747803268439</v>
      </c>
      <c r="T451" s="2">
        <f t="shared" ref="T451:T514" si="38">$T$1025+(Q451*$T$1024)</f>
        <v>68165.739532330073</v>
      </c>
      <c r="W451" s="2">
        <f t="shared" ref="W451:W514" si="39">$T$1025+(Q451*$T$1024)</f>
        <v>68165.739532330073</v>
      </c>
    </row>
    <row r="452" spans="1:23">
      <c r="A452">
        <v>1445</v>
      </c>
      <c r="B452">
        <v>5</v>
      </c>
      <c r="C452">
        <v>4</v>
      </c>
      <c r="D452">
        <v>-2.2999999999999998</v>
      </c>
      <c r="E452" s="2">
        <f t="shared" si="35"/>
        <v>-2.5</v>
      </c>
      <c r="F452" s="2">
        <f t="shared" si="36"/>
        <v>203</v>
      </c>
      <c r="G452">
        <v>-1.119</v>
      </c>
      <c r="H452">
        <v>0.55000000000000004</v>
      </c>
      <c r="I452">
        <v>0.437</v>
      </c>
      <c r="J452">
        <v>0.38100000000000001</v>
      </c>
      <c r="K452">
        <v>0.29399999999999998</v>
      </c>
      <c r="L452">
        <v>-99.998999999999995</v>
      </c>
      <c r="M452">
        <v>-99.998999999999995</v>
      </c>
      <c r="Q452" s="2">
        <f t="shared" si="37"/>
        <v>-2.2528133175060505</v>
      </c>
      <c r="T452" s="2">
        <f t="shared" si="38"/>
        <v>97366.528985585232</v>
      </c>
      <c r="W452" s="2">
        <f t="shared" si="39"/>
        <v>97366.528985585232</v>
      </c>
    </row>
    <row r="453" spans="1:23">
      <c r="A453">
        <v>1446</v>
      </c>
      <c r="B453">
        <v>5</v>
      </c>
      <c r="C453">
        <v>4</v>
      </c>
      <c r="D453">
        <v>-3.9039999999999999</v>
      </c>
      <c r="E453" s="2">
        <f t="shared" si="35"/>
        <v>-4</v>
      </c>
      <c r="F453" s="2">
        <f t="shared" si="36"/>
        <v>45</v>
      </c>
      <c r="G453">
        <v>-1.2669999999999999</v>
      </c>
      <c r="H453">
        <v>0.55000000000000004</v>
      </c>
      <c r="I453">
        <v>0.437</v>
      </c>
      <c r="J453">
        <v>0.38100000000000001</v>
      </c>
      <c r="K453">
        <v>0.29399999999999998</v>
      </c>
      <c r="L453">
        <v>-99.998999999999995</v>
      </c>
      <c r="M453">
        <v>-99.998999999999995</v>
      </c>
      <c r="Q453" s="2">
        <f t="shared" si="37"/>
        <v>-2.6844482991270091</v>
      </c>
      <c r="T453" s="2">
        <f t="shared" si="38"/>
        <v>60945.015546221868</v>
      </c>
      <c r="W453" s="2">
        <f t="shared" si="39"/>
        <v>60945.015546221868</v>
      </c>
    </row>
    <row r="454" spans="1:23">
      <c r="A454">
        <v>1447</v>
      </c>
      <c r="B454">
        <v>5</v>
      </c>
      <c r="C454">
        <v>4</v>
      </c>
      <c r="D454">
        <v>-1.351</v>
      </c>
      <c r="E454" s="2">
        <f t="shared" si="35"/>
        <v>-1.5</v>
      </c>
      <c r="F454" s="2">
        <f t="shared" si="36"/>
        <v>347</v>
      </c>
      <c r="G454">
        <v>-1.3859999999999999</v>
      </c>
      <c r="H454">
        <v>0.55000000000000004</v>
      </c>
      <c r="I454">
        <v>0.437</v>
      </c>
      <c r="J454">
        <v>0.38100000000000001</v>
      </c>
      <c r="K454">
        <v>0.29399999999999998</v>
      </c>
      <c r="L454">
        <v>-99.998999999999995</v>
      </c>
      <c r="M454">
        <v>-99.998999999999995</v>
      </c>
      <c r="Q454" s="2">
        <f t="shared" si="37"/>
        <v>-1.9974382566841746</v>
      </c>
      <c r="T454" s="2">
        <f t="shared" si="38"/>
        <v>118915.1675479018</v>
      </c>
      <c r="W454" s="2">
        <f t="shared" si="39"/>
        <v>118915.1675479018</v>
      </c>
    </row>
    <row r="455" spans="1:23">
      <c r="A455">
        <v>1448</v>
      </c>
      <c r="B455">
        <v>5</v>
      </c>
      <c r="C455">
        <v>4</v>
      </c>
      <c r="D455">
        <v>1.3009999999999999</v>
      </c>
      <c r="E455" s="2">
        <f t="shared" si="35"/>
        <v>1.5</v>
      </c>
      <c r="F455" s="2">
        <f t="shared" si="36"/>
        <v>776</v>
      </c>
      <c r="G455">
        <v>-1.5029999999999999</v>
      </c>
      <c r="H455">
        <v>0.55000000000000004</v>
      </c>
      <c r="I455">
        <v>0.437</v>
      </c>
      <c r="J455">
        <v>0.38100000000000001</v>
      </c>
      <c r="K455">
        <v>0.29399999999999998</v>
      </c>
      <c r="L455">
        <v>-99.998999999999995</v>
      </c>
      <c r="M455">
        <v>-99.998999999999995</v>
      </c>
      <c r="Q455" s="2">
        <f t="shared" si="37"/>
        <v>-1.2837874017846855</v>
      </c>
      <c r="T455" s="2">
        <f t="shared" si="38"/>
        <v>179133.28079053992</v>
      </c>
      <c r="W455" s="2">
        <f t="shared" si="39"/>
        <v>179133.28079053992</v>
      </c>
    </row>
    <row r="456" spans="1:23">
      <c r="A456">
        <v>1449</v>
      </c>
      <c r="B456">
        <v>5</v>
      </c>
      <c r="C456">
        <v>4</v>
      </c>
      <c r="D456">
        <v>0.50900000000000001</v>
      </c>
      <c r="E456" s="2">
        <f t="shared" si="35"/>
        <v>0.5</v>
      </c>
      <c r="F456" s="2">
        <f t="shared" si="36"/>
        <v>649</v>
      </c>
      <c r="G456">
        <v>-1.645</v>
      </c>
      <c r="H456">
        <v>0.55000000000000004</v>
      </c>
      <c r="I456">
        <v>0.437</v>
      </c>
      <c r="J456">
        <v>0.38100000000000001</v>
      </c>
      <c r="K456">
        <v>0.29399999999999998</v>
      </c>
      <c r="L456">
        <v>-99.998999999999995</v>
      </c>
      <c r="M456">
        <v>-99.998999999999995</v>
      </c>
      <c r="Q456" s="2">
        <f t="shared" si="37"/>
        <v>-1.4969139014379267</v>
      </c>
      <c r="T456" s="2">
        <f t="shared" si="38"/>
        <v>161149.59086287423</v>
      </c>
      <c r="W456" s="2">
        <f t="shared" si="39"/>
        <v>161149.59086287423</v>
      </c>
    </row>
    <row r="457" spans="1:23">
      <c r="A457">
        <v>1450</v>
      </c>
      <c r="B457">
        <v>5</v>
      </c>
      <c r="C457">
        <v>4</v>
      </c>
      <c r="D457">
        <v>-3.601</v>
      </c>
      <c r="E457" s="2">
        <f t="shared" si="35"/>
        <v>-3.5</v>
      </c>
      <c r="F457" s="2">
        <f t="shared" si="36"/>
        <v>68</v>
      </c>
      <c r="G457">
        <v>-1.8160000000000001</v>
      </c>
      <c r="H457">
        <v>0.55000000000000004</v>
      </c>
      <c r="I457">
        <v>0.437</v>
      </c>
      <c r="J457">
        <v>0.38100000000000001</v>
      </c>
      <c r="K457">
        <v>0.29399999999999998</v>
      </c>
      <c r="L457">
        <v>-99.998999999999995</v>
      </c>
      <c r="M457">
        <v>-99.998999999999995</v>
      </c>
      <c r="Q457" s="2">
        <f t="shared" si="37"/>
        <v>-2.6029112670627006</v>
      </c>
      <c r="T457" s="2">
        <f t="shared" si="38"/>
        <v>67825.13934430611</v>
      </c>
      <c r="W457" s="2">
        <f t="shared" si="39"/>
        <v>67825.13934430611</v>
      </c>
    </row>
    <row r="458" spans="1:23">
      <c r="A458">
        <v>1451</v>
      </c>
      <c r="B458">
        <v>5</v>
      </c>
      <c r="C458">
        <v>4</v>
      </c>
      <c r="D458">
        <v>-0.72</v>
      </c>
      <c r="E458" s="2">
        <f t="shared" si="35"/>
        <v>-0.5</v>
      </c>
      <c r="F458" s="2">
        <f t="shared" si="36"/>
        <v>441</v>
      </c>
      <c r="G458">
        <v>-2.0049999999999999</v>
      </c>
      <c r="H458">
        <v>0.55000000000000004</v>
      </c>
      <c r="I458">
        <v>0.437</v>
      </c>
      <c r="J458">
        <v>0.38100000000000001</v>
      </c>
      <c r="K458">
        <v>0.29399999999999998</v>
      </c>
      <c r="L458">
        <v>-99.998999999999995</v>
      </c>
      <c r="M458">
        <v>-99.998999999999995</v>
      </c>
      <c r="Q458" s="2">
        <f t="shared" si="37"/>
        <v>-1.8276367146624637</v>
      </c>
      <c r="T458" s="2">
        <f t="shared" si="38"/>
        <v>133243.08212411019</v>
      </c>
      <c r="W458" s="2">
        <f t="shared" si="39"/>
        <v>133243.08212411019</v>
      </c>
    </row>
    <row r="459" spans="1:23">
      <c r="A459">
        <v>1452</v>
      </c>
      <c r="B459">
        <v>5</v>
      </c>
      <c r="C459">
        <v>4</v>
      </c>
      <c r="D459">
        <v>9.6000000000000002E-2</v>
      </c>
      <c r="E459" s="2">
        <f t="shared" si="35"/>
        <v>0</v>
      </c>
      <c r="F459" s="2">
        <f t="shared" si="36"/>
        <v>581</v>
      </c>
      <c r="G459">
        <v>-2.206</v>
      </c>
      <c r="H459">
        <v>0.55000000000000004</v>
      </c>
      <c r="I459">
        <v>0.437</v>
      </c>
      <c r="J459">
        <v>0.38100000000000001</v>
      </c>
      <c r="K459">
        <v>0.29399999999999998</v>
      </c>
      <c r="L459">
        <v>-99.998999999999995</v>
      </c>
      <c r="M459">
        <v>-99.998999999999995</v>
      </c>
      <c r="Q459" s="2">
        <f t="shared" si="37"/>
        <v>-1.6080518362318517</v>
      </c>
      <c r="T459" s="2">
        <f t="shared" si="38"/>
        <v>151771.73235261423</v>
      </c>
      <c r="W459" s="2">
        <f t="shared" si="39"/>
        <v>151771.73235261423</v>
      </c>
    </row>
    <row r="460" spans="1:23">
      <c r="A460">
        <v>1453</v>
      </c>
      <c r="B460">
        <v>5</v>
      </c>
      <c r="C460">
        <v>4</v>
      </c>
      <c r="D460">
        <v>-1.786</v>
      </c>
      <c r="E460" s="2">
        <f t="shared" si="35"/>
        <v>-2</v>
      </c>
      <c r="F460" s="2">
        <f t="shared" si="36"/>
        <v>275</v>
      </c>
      <c r="G460">
        <v>-2.407</v>
      </c>
      <c r="H460">
        <v>0.55000000000000004</v>
      </c>
      <c r="I460">
        <v>0.437</v>
      </c>
      <c r="J460">
        <v>0.38100000000000001</v>
      </c>
      <c r="K460">
        <v>0.29399999999999998</v>
      </c>
      <c r="L460">
        <v>-99.998999999999995</v>
      </c>
      <c r="M460">
        <v>-99.998999999999995</v>
      </c>
      <c r="Q460" s="2">
        <f t="shared" si="37"/>
        <v>-2.1144963720240231</v>
      </c>
      <c r="T460" s="2">
        <f t="shared" si="38"/>
        <v>109037.76209520662</v>
      </c>
      <c r="W460" s="2">
        <f t="shared" si="39"/>
        <v>109037.76209520662</v>
      </c>
    </row>
    <row r="461" spans="1:23">
      <c r="A461">
        <v>1454</v>
      </c>
      <c r="B461">
        <v>5</v>
      </c>
      <c r="C461">
        <v>4</v>
      </c>
      <c r="D461">
        <v>-3.899</v>
      </c>
      <c r="E461" s="2">
        <f t="shared" si="35"/>
        <v>-4</v>
      </c>
      <c r="F461" s="2">
        <f t="shared" si="36"/>
        <v>46</v>
      </c>
      <c r="G461">
        <v>-2.5739999999999998</v>
      </c>
      <c r="H461">
        <v>0.55000000000000004</v>
      </c>
      <c r="I461">
        <v>0.437</v>
      </c>
      <c r="J461">
        <v>0.38100000000000001</v>
      </c>
      <c r="K461">
        <v>0.29399999999999998</v>
      </c>
      <c r="L461">
        <v>-99.998999999999995</v>
      </c>
      <c r="M461">
        <v>-99.998999999999995</v>
      </c>
      <c r="Q461" s="2">
        <f t="shared" si="37"/>
        <v>-2.6831028035483899</v>
      </c>
      <c r="T461" s="2">
        <f t="shared" si="38"/>
        <v>61058.548942229856</v>
      </c>
      <c r="W461" s="2">
        <f t="shared" si="39"/>
        <v>61058.548942229856</v>
      </c>
    </row>
    <row r="462" spans="1:23">
      <c r="A462">
        <v>1455</v>
      </c>
      <c r="B462">
        <v>5</v>
      </c>
      <c r="C462">
        <v>4</v>
      </c>
      <c r="D462">
        <v>-6.7220000000000004</v>
      </c>
      <c r="E462" s="2">
        <f t="shared" si="35"/>
        <v>-6.5</v>
      </c>
      <c r="F462" s="2">
        <f t="shared" si="36"/>
        <v>1</v>
      </c>
      <c r="G462">
        <v>-2.669</v>
      </c>
      <c r="H462">
        <v>0.55000000000000004</v>
      </c>
      <c r="I462">
        <v>0.437</v>
      </c>
      <c r="J462">
        <v>0.38100000000000001</v>
      </c>
      <c r="K462">
        <v>0.29399999999999998</v>
      </c>
      <c r="L462">
        <v>-99.998999999999995</v>
      </c>
      <c r="M462">
        <v>-99.998999999999995</v>
      </c>
      <c r="Q462" s="2">
        <f t="shared" si="37"/>
        <v>-3.4427696072366469</v>
      </c>
      <c r="T462" s="2">
        <f t="shared" si="38"/>
        <v>-3042.4064438815112</v>
      </c>
      <c r="W462" s="2">
        <f t="shared" si="39"/>
        <v>-3042.4064438815112</v>
      </c>
    </row>
    <row r="463" spans="1:23">
      <c r="A463">
        <v>1456</v>
      </c>
      <c r="B463">
        <v>5</v>
      </c>
      <c r="C463">
        <v>4</v>
      </c>
      <c r="D463">
        <v>-2.9260000000000002</v>
      </c>
      <c r="E463" s="2">
        <f t="shared" si="35"/>
        <v>-3</v>
      </c>
      <c r="F463" s="2">
        <f t="shared" si="36"/>
        <v>121</v>
      </c>
      <c r="G463">
        <v>-2.67</v>
      </c>
      <c r="H463">
        <v>0.55000000000000004</v>
      </c>
      <c r="I463">
        <v>0.437</v>
      </c>
      <c r="J463">
        <v>0.38100000000000001</v>
      </c>
      <c r="K463">
        <v>0.29399999999999998</v>
      </c>
      <c r="L463">
        <v>-99.998999999999995</v>
      </c>
      <c r="M463">
        <v>-99.998999999999995</v>
      </c>
      <c r="Q463" s="2">
        <f t="shared" si="37"/>
        <v>-2.4212693639491429</v>
      </c>
      <c r="T463" s="2">
        <f t="shared" si="38"/>
        <v>83152.147805384797</v>
      </c>
      <c r="W463" s="2">
        <f t="shared" si="39"/>
        <v>83152.147805384797</v>
      </c>
    </row>
    <row r="464" spans="1:23">
      <c r="A464">
        <v>1457</v>
      </c>
      <c r="B464">
        <v>5</v>
      </c>
      <c r="C464">
        <v>4</v>
      </c>
      <c r="D464">
        <v>-2.4769999999999999</v>
      </c>
      <c r="E464" s="2">
        <f t="shared" si="35"/>
        <v>-2.5</v>
      </c>
      <c r="F464" s="2">
        <f t="shared" si="36"/>
        <v>180</v>
      </c>
      <c r="G464">
        <v>-2.58</v>
      </c>
      <c r="H464">
        <v>0.55000000000000004</v>
      </c>
      <c r="I464">
        <v>0.437</v>
      </c>
      <c r="J464">
        <v>0.38100000000000001</v>
      </c>
      <c r="K464">
        <v>0.29399999999999998</v>
      </c>
      <c r="L464">
        <v>-99.998999999999995</v>
      </c>
      <c r="M464">
        <v>-99.998999999999995</v>
      </c>
      <c r="Q464" s="2">
        <f t="shared" si="37"/>
        <v>-2.3004438609891613</v>
      </c>
      <c r="T464" s="2">
        <f t="shared" si="38"/>
        <v>93347.446766902372</v>
      </c>
      <c r="W464" s="2">
        <f t="shared" si="39"/>
        <v>93347.446766902372</v>
      </c>
    </row>
    <row r="465" spans="1:23">
      <c r="A465">
        <v>1458</v>
      </c>
      <c r="B465">
        <v>5</v>
      </c>
      <c r="C465">
        <v>4</v>
      </c>
      <c r="D465">
        <v>-4.1589999999999998</v>
      </c>
      <c r="E465" s="2">
        <f t="shared" si="35"/>
        <v>-4</v>
      </c>
      <c r="F465" s="2">
        <f t="shared" si="36"/>
        <v>23</v>
      </c>
      <c r="G465">
        <v>-2.4129999999999998</v>
      </c>
      <c r="H465">
        <v>0.55000000000000004</v>
      </c>
      <c r="I465">
        <v>0.437</v>
      </c>
      <c r="J465">
        <v>0.38100000000000001</v>
      </c>
      <c r="K465">
        <v>0.29399999999999998</v>
      </c>
      <c r="L465">
        <v>-99.998999999999995</v>
      </c>
      <c r="M465">
        <v>-99.998999999999995</v>
      </c>
      <c r="Q465" s="2">
        <f t="shared" si="37"/>
        <v>-2.753068573636575</v>
      </c>
      <c r="T465" s="2">
        <f t="shared" si="38"/>
        <v>55154.812349814369</v>
      </c>
      <c r="W465" s="2">
        <f t="shared" si="39"/>
        <v>55154.812349814369</v>
      </c>
    </row>
    <row r="466" spans="1:23">
      <c r="A466">
        <v>1459</v>
      </c>
      <c r="B466">
        <v>5</v>
      </c>
      <c r="C466">
        <v>4</v>
      </c>
      <c r="D466">
        <v>-1.137</v>
      </c>
      <c r="E466" s="2">
        <f t="shared" si="35"/>
        <v>-1</v>
      </c>
      <c r="F466" s="2">
        <f t="shared" si="36"/>
        <v>379</v>
      </c>
      <c r="G466">
        <v>-2.1859999999999999</v>
      </c>
      <c r="H466">
        <v>0.55000000000000004</v>
      </c>
      <c r="I466">
        <v>0.437</v>
      </c>
      <c r="J466">
        <v>0.38100000000000001</v>
      </c>
      <c r="K466">
        <v>0.29399999999999998</v>
      </c>
      <c r="L466">
        <v>-99.998999999999995</v>
      </c>
      <c r="M466">
        <v>-99.998999999999995</v>
      </c>
      <c r="Q466" s="2">
        <f t="shared" si="37"/>
        <v>-1.9398510459192839</v>
      </c>
      <c r="T466" s="2">
        <f t="shared" si="38"/>
        <v>123774.39689704377</v>
      </c>
      <c r="W466" s="2">
        <f t="shared" si="39"/>
        <v>123774.39689704377</v>
      </c>
    </row>
    <row r="467" spans="1:23">
      <c r="A467">
        <v>1460</v>
      </c>
      <c r="B467">
        <v>6</v>
      </c>
      <c r="C467">
        <v>4</v>
      </c>
      <c r="D467">
        <v>-2.3809999999999998</v>
      </c>
      <c r="E467" s="2">
        <f t="shared" si="35"/>
        <v>-2.5</v>
      </c>
      <c r="F467" s="2">
        <f t="shared" si="36"/>
        <v>191</v>
      </c>
      <c r="G467">
        <v>-1.923</v>
      </c>
      <c r="H467">
        <v>0.53600000000000003</v>
      </c>
      <c r="I467">
        <v>0.39800000000000002</v>
      </c>
      <c r="J467">
        <v>0.34899999999999998</v>
      </c>
      <c r="K467">
        <v>0.31900000000000001</v>
      </c>
      <c r="L467">
        <v>-99.998999999999995</v>
      </c>
      <c r="M467">
        <v>-99.998999999999995</v>
      </c>
      <c r="Q467" s="2">
        <f t="shared" si="37"/>
        <v>-2.2746103458796778</v>
      </c>
      <c r="T467" s="2">
        <f t="shared" si="38"/>
        <v>95527.287970255769</v>
      </c>
      <c r="W467" s="2">
        <f t="shared" si="39"/>
        <v>95527.287970255769</v>
      </c>
    </row>
    <row r="468" spans="1:23">
      <c r="A468">
        <v>1461</v>
      </c>
      <c r="B468">
        <v>6</v>
      </c>
      <c r="C468">
        <v>4</v>
      </c>
      <c r="D468">
        <v>-0.72499999999999998</v>
      </c>
      <c r="E468" s="2">
        <f t="shared" si="35"/>
        <v>-0.5</v>
      </c>
      <c r="F468" s="2">
        <f t="shared" si="36"/>
        <v>440</v>
      </c>
      <c r="G468">
        <v>-1.6459999999999999</v>
      </c>
      <c r="H468">
        <v>0.53600000000000003</v>
      </c>
      <c r="I468">
        <v>0.39800000000000002</v>
      </c>
      <c r="J468">
        <v>0.34899999999999998</v>
      </c>
      <c r="K468">
        <v>0.31900000000000001</v>
      </c>
      <c r="L468">
        <v>-99.998999999999995</v>
      </c>
      <c r="M468">
        <v>-99.998999999999995</v>
      </c>
      <c r="Q468" s="2">
        <f t="shared" si="37"/>
        <v>-1.8289822102410827</v>
      </c>
      <c r="T468" s="2">
        <f t="shared" si="38"/>
        <v>133129.54872810221</v>
      </c>
      <c r="W468" s="2">
        <f t="shared" si="39"/>
        <v>133129.54872810221</v>
      </c>
    </row>
    <row r="469" spans="1:23">
      <c r="A469">
        <v>1462</v>
      </c>
      <c r="B469">
        <v>6</v>
      </c>
      <c r="C469">
        <v>4</v>
      </c>
      <c r="D469">
        <v>-1.1220000000000001</v>
      </c>
      <c r="E469" s="2">
        <f t="shared" si="35"/>
        <v>-1</v>
      </c>
      <c r="F469" s="2">
        <f t="shared" si="36"/>
        <v>380</v>
      </c>
      <c r="G469">
        <v>-1.3779999999999999</v>
      </c>
      <c r="H469">
        <v>0.53300000000000003</v>
      </c>
      <c r="I469">
        <v>0.39800000000000002</v>
      </c>
      <c r="J469">
        <v>0.34899999999999998</v>
      </c>
      <c r="K469">
        <v>0.31900000000000001</v>
      </c>
      <c r="L469">
        <v>-99.998999999999995</v>
      </c>
      <c r="M469">
        <v>-99.998999999999995</v>
      </c>
      <c r="Q469" s="2">
        <f t="shared" si="37"/>
        <v>-1.935814559183427</v>
      </c>
      <c r="T469" s="2">
        <f t="shared" si="38"/>
        <v>124114.99708506776</v>
      </c>
      <c r="W469" s="2">
        <f t="shared" si="39"/>
        <v>124114.99708506776</v>
      </c>
    </row>
    <row r="470" spans="1:23">
      <c r="A470">
        <v>1463</v>
      </c>
      <c r="B470">
        <v>6</v>
      </c>
      <c r="C470">
        <v>4</v>
      </c>
      <c r="D470">
        <v>-2.0430000000000001</v>
      </c>
      <c r="E470" s="2">
        <f t="shared" si="35"/>
        <v>-2</v>
      </c>
      <c r="F470" s="2">
        <f t="shared" si="36"/>
        <v>238</v>
      </c>
      <c r="G470">
        <v>-1.1339999999999999</v>
      </c>
      <c r="H470">
        <v>0.53300000000000003</v>
      </c>
      <c r="I470">
        <v>0.39800000000000002</v>
      </c>
      <c r="J470">
        <v>0.34899999999999998</v>
      </c>
      <c r="K470">
        <v>0.31900000000000001</v>
      </c>
      <c r="L470">
        <v>-99.998999999999995</v>
      </c>
      <c r="M470">
        <v>-99.998999999999995</v>
      </c>
      <c r="Q470" s="2">
        <f t="shared" si="37"/>
        <v>-2.1836548447650372</v>
      </c>
      <c r="T470" s="2">
        <f t="shared" si="38"/>
        <v>103202.1455403959</v>
      </c>
      <c r="W470" s="2">
        <f t="shared" si="39"/>
        <v>103202.1455403959</v>
      </c>
    </row>
    <row r="471" spans="1:23">
      <c r="A471">
        <v>1464</v>
      </c>
      <c r="B471">
        <v>6</v>
      </c>
      <c r="C471">
        <v>4</v>
      </c>
      <c r="D471">
        <v>0.40600000000000003</v>
      </c>
      <c r="E471" s="2">
        <f t="shared" si="35"/>
        <v>0.5</v>
      </c>
      <c r="F471" s="2">
        <f t="shared" si="36"/>
        <v>635</v>
      </c>
      <c r="G471">
        <v>-0.93</v>
      </c>
      <c r="H471">
        <v>0.53300000000000003</v>
      </c>
      <c r="I471">
        <v>0.39200000000000002</v>
      </c>
      <c r="J471">
        <v>0.34899999999999998</v>
      </c>
      <c r="K471">
        <v>0.31900000000000001</v>
      </c>
      <c r="L471">
        <v>-99.998999999999995</v>
      </c>
      <c r="M471">
        <v>-99.998999999999995</v>
      </c>
      <c r="Q471" s="2">
        <f t="shared" si="37"/>
        <v>-1.524631110357477</v>
      </c>
      <c r="T471" s="2">
        <f t="shared" si="38"/>
        <v>158810.80290510965</v>
      </c>
      <c r="W471" s="2">
        <f t="shared" si="39"/>
        <v>158810.80290510965</v>
      </c>
    </row>
    <row r="472" spans="1:23">
      <c r="A472">
        <v>1465</v>
      </c>
      <c r="B472">
        <v>6</v>
      </c>
      <c r="C472">
        <v>4</v>
      </c>
      <c r="D472">
        <v>0.52900000000000003</v>
      </c>
      <c r="E472" s="2">
        <f t="shared" si="35"/>
        <v>0.5</v>
      </c>
      <c r="F472" s="2">
        <f t="shared" si="36"/>
        <v>653</v>
      </c>
      <c r="G472">
        <v>-0.78100000000000003</v>
      </c>
      <c r="H472">
        <v>0.53300000000000003</v>
      </c>
      <c r="I472">
        <v>0.39200000000000002</v>
      </c>
      <c r="J472">
        <v>0.34899999999999998</v>
      </c>
      <c r="K472">
        <v>0.31900000000000001</v>
      </c>
      <c r="L472">
        <v>-99.998999999999995</v>
      </c>
      <c r="M472">
        <v>-99.998999999999995</v>
      </c>
      <c r="Q472" s="2">
        <f t="shared" si="37"/>
        <v>-1.4915319191234508</v>
      </c>
      <c r="T472" s="2">
        <f t="shared" si="38"/>
        <v>161603.72444690621</v>
      </c>
      <c r="W472" s="2">
        <f t="shared" si="39"/>
        <v>161603.72444690621</v>
      </c>
    </row>
    <row r="473" spans="1:23">
      <c r="A473">
        <v>1466</v>
      </c>
      <c r="B473">
        <v>6</v>
      </c>
      <c r="C473">
        <v>4</v>
      </c>
      <c r="D473">
        <v>1.012</v>
      </c>
      <c r="E473" s="2">
        <f t="shared" si="35"/>
        <v>1</v>
      </c>
      <c r="F473" s="2">
        <f t="shared" si="36"/>
        <v>732</v>
      </c>
      <c r="G473">
        <v>-0.69899999999999995</v>
      </c>
      <c r="H473">
        <v>0.52900000000000003</v>
      </c>
      <c r="I473">
        <v>0.39100000000000001</v>
      </c>
      <c r="J473">
        <v>0.34899999999999998</v>
      </c>
      <c r="K473">
        <v>0.31900000000000001</v>
      </c>
      <c r="L473">
        <v>-99.998999999999995</v>
      </c>
      <c r="M473">
        <v>-99.998999999999995</v>
      </c>
      <c r="Q473" s="2">
        <f t="shared" si="37"/>
        <v>-1.3615570462288606</v>
      </c>
      <c r="T473" s="2">
        <f t="shared" si="38"/>
        <v>172571.05050127808</v>
      </c>
      <c r="W473" s="2">
        <f t="shared" si="39"/>
        <v>172571.05050127808</v>
      </c>
    </row>
    <row r="474" spans="1:23">
      <c r="A474">
        <v>1467</v>
      </c>
      <c r="B474">
        <v>6</v>
      </c>
      <c r="C474">
        <v>4</v>
      </c>
      <c r="D474">
        <v>1.8580000000000001</v>
      </c>
      <c r="E474" s="2">
        <f t="shared" si="35"/>
        <v>2</v>
      </c>
      <c r="F474" s="2">
        <f t="shared" si="36"/>
        <v>839</v>
      </c>
      <c r="G474">
        <v>-0.67600000000000005</v>
      </c>
      <c r="H474">
        <v>0.52900000000000003</v>
      </c>
      <c r="I474">
        <v>0.39100000000000001</v>
      </c>
      <c r="J474">
        <v>0.34899999999999998</v>
      </c>
      <c r="K474">
        <v>0.31900000000000001</v>
      </c>
      <c r="L474">
        <v>-99.998999999999995</v>
      </c>
      <c r="M474">
        <v>-99.998999999999995</v>
      </c>
      <c r="Q474" s="2">
        <f t="shared" si="37"/>
        <v>-1.1338991943265349</v>
      </c>
      <c r="T474" s="2">
        <f t="shared" si="38"/>
        <v>191780.90110583007</v>
      </c>
      <c r="W474" s="2">
        <f t="shared" si="39"/>
        <v>191780.90110583007</v>
      </c>
    </row>
    <row r="475" spans="1:23">
      <c r="A475">
        <v>1468</v>
      </c>
      <c r="B475">
        <v>6</v>
      </c>
      <c r="C475">
        <v>4</v>
      </c>
      <c r="D475">
        <v>-2.2250000000000001</v>
      </c>
      <c r="E475" s="2">
        <f t="shared" si="35"/>
        <v>-2</v>
      </c>
      <c r="F475" s="2">
        <f t="shared" si="36"/>
        <v>214</v>
      </c>
      <c r="G475">
        <v>-0.69199999999999995</v>
      </c>
      <c r="H475">
        <v>0.52900000000000003</v>
      </c>
      <c r="I475">
        <v>0.39100000000000001</v>
      </c>
      <c r="J475">
        <v>0.34899999999999998</v>
      </c>
      <c r="K475">
        <v>0.31900000000000001</v>
      </c>
      <c r="L475">
        <v>-99.998999999999995</v>
      </c>
      <c r="M475">
        <v>-99.998999999999995</v>
      </c>
      <c r="Q475" s="2">
        <f t="shared" si="37"/>
        <v>-2.2326308838267668</v>
      </c>
      <c r="T475" s="2">
        <f t="shared" si="38"/>
        <v>99069.52992570505</v>
      </c>
      <c r="W475" s="2">
        <f t="shared" si="39"/>
        <v>99069.52992570505</v>
      </c>
    </row>
    <row r="476" spans="1:23">
      <c r="A476">
        <v>1469</v>
      </c>
      <c r="B476">
        <v>6</v>
      </c>
      <c r="C476">
        <v>4</v>
      </c>
      <c r="D476">
        <v>-2.3650000000000002</v>
      </c>
      <c r="E476" s="2">
        <f t="shared" si="35"/>
        <v>-2.5</v>
      </c>
      <c r="F476" s="2">
        <f t="shared" si="36"/>
        <v>193</v>
      </c>
      <c r="G476">
        <v>-0.70599999999999996</v>
      </c>
      <c r="H476">
        <v>0.52900000000000003</v>
      </c>
      <c r="I476">
        <v>0.39100000000000001</v>
      </c>
      <c r="J476">
        <v>0.34899999999999998</v>
      </c>
      <c r="K476">
        <v>0.31900000000000001</v>
      </c>
      <c r="L476">
        <v>-99.998999999999995</v>
      </c>
      <c r="M476">
        <v>-99.998999999999995</v>
      </c>
      <c r="Q476" s="2">
        <f t="shared" si="37"/>
        <v>-2.2703047600280972</v>
      </c>
      <c r="T476" s="2">
        <f t="shared" si="38"/>
        <v>95890.594837481331</v>
      </c>
      <c r="W476" s="2">
        <f t="shared" si="39"/>
        <v>95890.594837481331</v>
      </c>
    </row>
    <row r="477" spans="1:23">
      <c r="A477">
        <v>1470</v>
      </c>
      <c r="B477">
        <v>6</v>
      </c>
      <c r="C477">
        <v>4</v>
      </c>
      <c r="D477">
        <v>-1.2330000000000001</v>
      </c>
      <c r="E477" s="2">
        <f t="shared" si="35"/>
        <v>-1</v>
      </c>
      <c r="F477" s="2">
        <f t="shared" si="36"/>
        <v>368</v>
      </c>
      <c r="G477">
        <v>-0.68899999999999995</v>
      </c>
      <c r="H477">
        <v>0.52900000000000003</v>
      </c>
      <c r="I477">
        <v>0.39100000000000001</v>
      </c>
      <c r="J477">
        <v>0.34899999999999998</v>
      </c>
      <c r="K477">
        <v>0.31900000000000001</v>
      </c>
      <c r="L477">
        <v>-99.998999999999995</v>
      </c>
      <c r="M477">
        <v>-99.998999999999995</v>
      </c>
      <c r="Q477" s="2">
        <f t="shared" si="37"/>
        <v>-1.9656845610287677</v>
      </c>
      <c r="T477" s="2">
        <f t="shared" si="38"/>
        <v>121594.55569369037</v>
      </c>
      <c r="W477" s="2">
        <f t="shared" si="39"/>
        <v>121594.55569369037</v>
      </c>
    </row>
    <row r="478" spans="1:23">
      <c r="A478">
        <v>1471</v>
      </c>
      <c r="B478">
        <v>6</v>
      </c>
      <c r="C478">
        <v>4</v>
      </c>
      <c r="D478">
        <v>-0.40100000000000002</v>
      </c>
      <c r="E478" s="2">
        <f t="shared" si="35"/>
        <v>-0.5</v>
      </c>
      <c r="F478" s="2">
        <f t="shared" si="36"/>
        <v>500</v>
      </c>
      <c r="G478">
        <v>-0.624</v>
      </c>
      <c r="H478">
        <v>0.52900000000000003</v>
      </c>
      <c r="I478">
        <v>0.39100000000000001</v>
      </c>
      <c r="J478">
        <v>0.34399999999999997</v>
      </c>
      <c r="K478">
        <v>0.31900000000000001</v>
      </c>
      <c r="L478">
        <v>-99.998999999999995</v>
      </c>
      <c r="M478">
        <v>-99.998999999999995</v>
      </c>
      <c r="Q478" s="2">
        <f t="shared" si="37"/>
        <v>-1.7417940967465748</v>
      </c>
      <c r="T478" s="2">
        <f t="shared" si="38"/>
        <v>140486.51278942</v>
      </c>
      <c r="W478" s="2">
        <f t="shared" si="39"/>
        <v>140486.51278942</v>
      </c>
    </row>
    <row r="479" spans="1:23">
      <c r="A479">
        <v>1472</v>
      </c>
      <c r="B479">
        <v>6</v>
      </c>
      <c r="C479">
        <v>4</v>
      </c>
      <c r="D479">
        <v>-2.6120000000000001</v>
      </c>
      <c r="E479" s="2">
        <f t="shared" si="35"/>
        <v>-2.5</v>
      </c>
      <c r="F479" s="2">
        <f t="shared" si="36"/>
        <v>161</v>
      </c>
      <c r="G479">
        <v>-0.5</v>
      </c>
      <c r="H479">
        <v>0.52900000000000003</v>
      </c>
      <c r="I479">
        <v>0.39100000000000001</v>
      </c>
      <c r="J479">
        <v>0.34399999999999997</v>
      </c>
      <c r="K479">
        <v>0.31900000000000001</v>
      </c>
      <c r="L479">
        <v>-99.998999999999995</v>
      </c>
      <c r="M479">
        <v>-99.998999999999995</v>
      </c>
      <c r="Q479" s="2">
        <f t="shared" si="37"/>
        <v>-2.336772241611873</v>
      </c>
      <c r="T479" s="2">
        <f t="shared" si="38"/>
        <v>90282.045074686612</v>
      </c>
      <c r="W479" s="2">
        <f t="shared" si="39"/>
        <v>90282.045074686612</v>
      </c>
    </row>
    <row r="480" spans="1:23">
      <c r="A480">
        <v>1473</v>
      </c>
      <c r="B480">
        <v>7</v>
      </c>
      <c r="C480">
        <v>4</v>
      </c>
      <c r="D480">
        <v>-2.8849999999999998</v>
      </c>
      <c r="E480" s="2">
        <f t="shared" si="35"/>
        <v>-3</v>
      </c>
      <c r="F480" s="2">
        <f t="shared" si="36"/>
        <v>124</v>
      </c>
      <c r="G480">
        <v>-0.31</v>
      </c>
      <c r="H480">
        <v>0.51500000000000001</v>
      </c>
      <c r="I480">
        <v>0.39100000000000001</v>
      </c>
      <c r="J480">
        <v>0.33800000000000002</v>
      </c>
      <c r="K480">
        <v>0.31900000000000001</v>
      </c>
      <c r="L480">
        <v>-99.998999999999995</v>
      </c>
      <c r="M480">
        <v>-99.998999999999995</v>
      </c>
      <c r="Q480" s="2">
        <f t="shared" si="37"/>
        <v>-2.4102363002044673</v>
      </c>
      <c r="T480" s="2">
        <f t="shared" si="38"/>
        <v>84083.121652650356</v>
      </c>
      <c r="W480" s="2">
        <f t="shared" si="39"/>
        <v>84083.121652650356</v>
      </c>
    </row>
    <row r="481" spans="1:23">
      <c r="A481">
        <v>1474</v>
      </c>
      <c r="B481">
        <v>7</v>
      </c>
      <c r="C481">
        <v>4</v>
      </c>
      <c r="D481">
        <v>0.52400000000000002</v>
      </c>
      <c r="E481" s="2">
        <f t="shared" si="35"/>
        <v>0.5</v>
      </c>
      <c r="F481" s="2">
        <f t="shared" si="36"/>
        <v>652</v>
      </c>
      <c r="G481">
        <v>-6.4000000000000001E-2</v>
      </c>
      <c r="H481">
        <v>0.51500000000000001</v>
      </c>
      <c r="I481">
        <v>0.39100000000000001</v>
      </c>
      <c r="J481">
        <v>0.33200000000000002</v>
      </c>
      <c r="K481">
        <v>0.31900000000000001</v>
      </c>
      <c r="L481">
        <v>-99.998999999999995</v>
      </c>
      <c r="M481">
        <v>-99.998999999999995</v>
      </c>
      <c r="Q481" s="2">
        <f t="shared" si="37"/>
        <v>-1.4928774147020698</v>
      </c>
      <c r="T481" s="2">
        <f t="shared" si="38"/>
        <v>161490.19105089823</v>
      </c>
      <c r="W481" s="2">
        <f t="shared" si="39"/>
        <v>161490.19105089823</v>
      </c>
    </row>
    <row r="482" spans="1:23">
      <c r="A482">
        <v>1475</v>
      </c>
      <c r="B482">
        <v>7</v>
      </c>
      <c r="C482">
        <v>4</v>
      </c>
      <c r="D482">
        <v>1.331</v>
      </c>
      <c r="E482" s="2">
        <f t="shared" si="35"/>
        <v>1.5</v>
      </c>
      <c r="F482" s="2">
        <f t="shared" si="36"/>
        <v>781</v>
      </c>
      <c r="G482">
        <v>0.20899999999999999</v>
      </c>
      <c r="H482">
        <v>0.51500000000000001</v>
      </c>
      <c r="I482">
        <v>0.39100000000000001</v>
      </c>
      <c r="J482">
        <v>0.33200000000000002</v>
      </c>
      <c r="K482">
        <v>0.31900000000000001</v>
      </c>
      <c r="L482">
        <v>-99.998999999999995</v>
      </c>
      <c r="M482">
        <v>-99.998999999999995</v>
      </c>
      <c r="Q482" s="2">
        <f t="shared" si="37"/>
        <v>-1.2757144283129718</v>
      </c>
      <c r="T482" s="2">
        <f t="shared" si="38"/>
        <v>179814.48116658788</v>
      </c>
      <c r="W482" s="2">
        <f t="shared" si="39"/>
        <v>179814.48116658788</v>
      </c>
    </row>
    <row r="483" spans="1:23">
      <c r="A483">
        <v>1476</v>
      </c>
      <c r="B483">
        <v>7</v>
      </c>
      <c r="C483">
        <v>4</v>
      </c>
      <c r="D483">
        <v>0.41699999999999998</v>
      </c>
      <c r="E483" s="2">
        <f t="shared" si="35"/>
        <v>0.5</v>
      </c>
      <c r="F483" s="2">
        <f t="shared" si="36"/>
        <v>638</v>
      </c>
      <c r="G483">
        <v>0.48199999999999998</v>
      </c>
      <c r="H483">
        <v>0.51500000000000001</v>
      </c>
      <c r="I483">
        <v>0.39100000000000001</v>
      </c>
      <c r="J483">
        <v>0.33200000000000002</v>
      </c>
      <c r="K483">
        <v>0.31900000000000001</v>
      </c>
      <c r="L483">
        <v>-99.998999999999995</v>
      </c>
      <c r="M483">
        <v>-99.998999999999995</v>
      </c>
      <c r="Q483" s="2">
        <f t="shared" si="37"/>
        <v>-1.5216710200845152</v>
      </c>
      <c r="T483" s="2">
        <f t="shared" si="38"/>
        <v>159060.57637632723</v>
      </c>
      <c r="W483" s="2">
        <f t="shared" si="39"/>
        <v>159060.57637632723</v>
      </c>
    </row>
    <row r="484" spans="1:23">
      <c r="A484">
        <v>1477</v>
      </c>
      <c r="B484">
        <v>7</v>
      </c>
      <c r="C484">
        <v>4</v>
      </c>
      <c r="D484">
        <v>0.32300000000000001</v>
      </c>
      <c r="E484" s="2">
        <f t="shared" si="35"/>
        <v>0.5</v>
      </c>
      <c r="F484" s="2">
        <f t="shared" si="36"/>
        <v>625</v>
      </c>
      <c r="G484">
        <v>0.73499999999999999</v>
      </c>
      <c r="H484">
        <v>0.51500000000000001</v>
      </c>
      <c r="I484">
        <v>0.39100000000000001</v>
      </c>
      <c r="J484">
        <v>0.33200000000000002</v>
      </c>
      <c r="K484">
        <v>0.31900000000000001</v>
      </c>
      <c r="L484">
        <v>-99.998999999999995</v>
      </c>
      <c r="M484">
        <v>-99.998999999999995</v>
      </c>
      <c r="Q484" s="2">
        <f t="shared" si="37"/>
        <v>-1.5469663369625515</v>
      </c>
      <c r="T484" s="2">
        <f t="shared" si="38"/>
        <v>156926.148531377</v>
      </c>
      <c r="W484" s="2">
        <f t="shared" si="39"/>
        <v>156926.148531377</v>
      </c>
    </row>
    <row r="485" spans="1:23">
      <c r="A485">
        <v>1478</v>
      </c>
      <c r="B485">
        <v>7</v>
      </c>
      <c r="C485">
        <v>4</v>
      </c>
      <c r="D485">
        <v>1.167</v>
      </c>
      <c r="E485" s="2">
        <f t="shared" si="35"/>
        <v>1</v>
      </c>
      <c r="F485" s="2">
        <f t="shared" si="36"/>
        <v>756</v>
      </c>
      <c r="G485">
        <v>0.94899999999999995</v>
      </c>
      <c r="H485">
        <v>0.51500000000000001</v>
      </c>
      <c r="I485">
        <v>0.39100000000000001</v>
      </c>
      <c r="J485">
        <v>0.33200000000000002</v>
      </c>
      <c r="K485">
        <v>0.31900000000000001</v>
      </c>
      <c r="L485">
        <v>-99.998999999999995</v>
      </c>
      <c r="M485">
        <v>-99.998999999999995</v>
      </c>
      <c r="Q485" s="2">
        <f t="shared" si="37"/>
        <v>-1.3198466832916733</v>
      </c>
      <c r="T485" s="2">
        <f t="shared" si="38"/>
        <v>176090.58577752579</v>
      </c>
      <c r="W485" s="2">
        <f t="shared" si="39"/>
        <v>176090.58577752579</v>
      </c>
    </row>
    <row r="486" spans="1:23">
      <c r="A486">
        <v>1479</v>
      </c>
      <c r="B486">
        <v>7</v>
      </c>
      <c r="C486">
        <v>4</v>
      </c>
      <c r="D486">
        <v>6.1529999999999996</v>
      </c>
      <c r="E486" s="2">
        <f t="shared" si="35"/>
        <v>6</v>
      </c>
      <c r="F486" s="2">
        <f t="shared" si="36"/>
        <v>1006</v>
      </c>
      <c r="G486">
        <v>1.103</v>
      </c>
      <c r="H486">
        <v>0.51500000000000001</v>
      </c>
      <c r="I486">
        <v>0.39100000000000001</v>
      </c>
      <c r="J486">
        <v>0.33200000000000002</v>
      </c>
      <c r="K486">
        <v>0.31900000000000001</v>
      </c>
      <c r="L486">
        <v>-99.998999999999995</v>
      </c>
      <c r="M486">
        <v>-99.998999999999995</v>
      </c>
      <c r="Q486" s="2">
        <f t="shared" si="37"/>
        <v>2.1881507707140146E-2</v>
      </c>
      <c r="T486" s="2">
        <f t="shared" si="38"/>
        <v>289306.08827669383</v>
      </c>
      <c r="W486" s="2">
        <f t="shared" si="39"/>
        <v>289306.08827669383</v>
      </c>
    </row>
    <row r="487" spans="1:23">
      <c r="A487">
        <v>1480</v>
      </c>
      <c r="B487">
        <v>7</v>
      </c>
      <c r="C487">
        <v>4</v>
      </c>
      <c r="D487">
        <v>0.67</v>
      </c>
      <c r="E487" s="2">
        <f t="shared" si="35"/>
        <v>0.5</v>
      </c>
      <c r="F487" s="2">
        <f t="shared" si="36"/>
        <v>678</v>
      </c>
      <c r="G487">
        <v>1.1850000000000001</v>
      </c>
      <c r="H487">
        <v>0.51500000000000001</v>
      </c>
      <c r="I487">
        <v>0.39100000000000001</v>
      </c>
      <c r="J487">
        <v>0.33200000000000002</v>
      </c>
      <c r="K487">
        <v>0.31900000000000001</v>
      </c>
      <c r="L487">
        <v>-99.998999999999995</v>
      </c>
      <c r="M487">
        <v>-99.998999999999995</v>
      </c>
      <c r="Q487" s="2">
        <f t="shared" si="37"/>
        <v>-1.4535889438063965</v>
      </c>
      <c r="T487" s="2">
        <f t="shared" si="38"/>
        <v>164805.36621433153</v>
      </c>
      <c r="W487" s="2">
        <f t="shared" si="39"/>
        <v>164805.36621433153</v>
      </c>
    </row>
    <row r="488" spans="1:23">
      <c r="A488">
        <v>1481</v>
      </c>
      <c r="B488">
        <v>7</v>
      </c>
      <c r="C488">
        <v>4</v>
      </c>
      <c r="D488">
        <v>-2.089</v>
      </c>
      <c r="E488" s="2">
        <f t="shared" si="35"/>
        <v>-2</v>
      </c>
      <c r="F488" s="2">
        <f t="shared" si="36"/>
        <v>231</v>
      </c>
      <c r="G488">
        <v>1.2150000000000001</v>
      </c>
      <c r="H488">
        <v>0.51500000000000001</v>
      </c>
      <c r="I488">
        <v>0.39100000000000001</v>
      </c>
      <c r="J488">
        <v>0.33200000000000002</v>
      </c>
      <c r="K488">
        <v>0.31900000000000001</v>
      </c>
      <c r="L488">
        <v>-99.998999999999995</v>
      </c>
      <c r="M488">
        <v>-99.998999999999995</v>
      </c>
      <c r="Q488" s="2">
        <f t="shared" si="37"/>
        <v>-2.1960334040883311</v>
      </c>
      <c r="T488" s="2">
        <f t="shared" si="38"/>
        <v>102157.63829712241</v>
      </c>
      <c r="W488" s="2">
        <f t="shared" si="39"/>
        <v>102157.63829712241</v>
      </c>
    </row>
    <row r="489" spans="1:23">
      <c r="A489">
        <v>1482</v>
      </c>
      <c r="B489">
        <v>7</v>
      </c>
      <c r="C489">
        <v>4</v>
      </c>
      <c r="D489">
        <v>2.0459999999999998</v>
      </c>
      <c r="E489" s="2">
        <f t="shared" si="35"/>
        <v>2</v>
      </c>
      <c r="F489" s="2">
        <f t="shared" si="36"/>
        <v>855</v>
      </c>
      <c r="G489">
        <v>1.2130000000000001</v>
      </c>
      <c r="H489">
        <v>0.51500000000000001</v>
      </c>
      <c r="I489">
        <v>0.39100000000000001</v>
      </c>
      <c r="J489">
        <v>0.33200000000000002</v>
      </c>
      <c r="K489">
        <v>0.31900000000000001</v>
      </c>
      <c r="L489">
        <v>-99.998999999999995</v>
      </c>
      <c r="M489">
        <v>-99.998999999999995</v>
      </c>
      <c r="Q489" s="2">
        <f t="shared" si="37"/>
        <v>-1.0833085605704627</v>
      </c>
      <c r="T489" s="2">
        <f t="shared" si="38"/>
        <v>196049.7567957305</v>
      </c>
      <c r="W489" s="2">
        <f t="shared" si="39"/>
        <v>196049.7567957305</v>
      </c>
    </row>
    <row r="490" spans="1:23">
      <c r="A490">
        <v>1483</v>
      </c>
      <c r="B490">
        <v>7</v>
      </c>
      <c r="C490">
        <v>4</v>
      </c>
      <c r="D490">
        <v>-7.0000000000000001E-3</v>
      </c>
      <c r="E490" s="2">
        <f t="shared" si="35"/>
        <v>0</v>
      </c>
      <c r="F490" s="2">
        <f t="shared" si="36"/>
        <v>565</v>
      </c>
      <c r="G490">
        <v>1.177</v>
      </c>
      <c r="H490">
        <v>0.51500000000000001</v>
      </c>
      <c r="I490">
        <v>0.39100000000000001</v>
      </c>
      <c r="J490">
        <v>0.33200000000000002</v>
      </c>
      <c r="K490">
        <v>0.31900000000000001</v>
      </c>
      <c r="L490">
        <v>-99.998999999999995</v>
      </c>
      <c r="M490">
        <v>-99.998999999999995</v>
      </c>
      <c r="Q490" s="2">
        <f t="shared" si="37"/>
        <v>-1.635769045151402</v>
      </c>
      <c r="T490" s="2">
        <f t="shared" si="38"/>
        <v>149432.94439484962</v>
      </c>
      <c r="W490" s="2">
        <f t="shared" si="39"/>
        <v>149432.94439484962</v>
      </c>
    </row>
    <row r="491" spans="1:23">
      <c r="A491">
        <v>1484</v>
      </c>
      <c r="B491">
        <v>7</v>
      </c>
      <c r="C491">
        <v>4</v>
      </c>
      <c r="D491">
        <v>3.4060000000000001</v>
      </c>
      <c r="E491" s="2">
        <f t="shared" si="35"/>
        <v>3.5</v>
      </c>
      <c r="F491" s="2">
        <f t="shared" si="36"/>
        <v>956</v>
      </c>
      <c r="G491">
        <v>1.1040000000000001</v>
      </c>
      <c r="H491">
        <v>0.51500000000000001</v>
      </c>
      <c r="I491">
        <v>0.39100000000000001</v>
      </c>
      <c r="J491">
        <v>0.33200000000000002</v>
      </c>
      <c r="K491">
        <v>0.31900000000000001</v>
      </c>
      <c r="L491">
        <v>-99.998999999999995</v>
      </c>
      <c r="M491">
        <v>-99.998999999999995</v>
      </c>
      <c r="Q491" s="2">
        <f t="shared" si="37"/>
        <v>-0.71733376318610897</v>
      </c>
      <c r="T491" s="2">
        <f t="shared" si="38"/>
        <v>226930.84050990391</v>
      </c>
      <c r="W491" s="2">
        <f t="shared" si="39"/>
        <v>226930.84050990391</v>
      </c>
    </row>
    <row r="492" spans="1:23">
      <c r="A492">
        <v>1485</v>
      </c>
      <c r="B492">
        <v>7</v>
      </c>
      <c r="C492">
        <v>4</v>
      </c>
      <c r="D492">
        <v>2.7810000000000001</v>
      </c>
      <c r="E492" s="2">
        <f t="shared" si="35"/>
        <v>3</v>
      </c>
      <c r="F492" s="2">
        <f t="shared" si="36"/>
        <v>925</v>
      </c>
      <c r="G492">
        <v>0.98799999999999999</v>
      </c>
      <c r="H492">
        <v>0.51500000000000001</v>
      </c>
      <c r="I492">
        <v>0.39100000000000001</v>
      </c>
      <c r="J492">
        <v>0.33200000000000002</v>
      </c>
      <c r="K492">
        <v>0.31900000000000001</v>
      </c>
      <c r="L492">
        <v>-99.998999999999995</v>
      </c>
      <c r="M492">
        <v>-99.998999999999995</v>
      </c>
      <c r="Q492" s="2">
        <f t="shared" si="37"/>
        <v>-0.88552071051347725</v>
      </c>
      <c r="T492" s="2">
        <f t="shared" si="38"/>
        <v>212739.1660089051</v>
      </c>
      <c r="W492" s="2">
        <f t="shared" si="39"/>
        <v>212739.1660089051</v>
      </c>
    </row>
    <row r="493" spans="1:23">
      <c r="A493">
        <v>1486</v>
      </c>
      <c r="B493">
        <v>7</v>
      </c>
      <c r="C493">
        <v>4</v>
      </c>
      <c r="D493">
        <v>0.27500000000000002</v>
      </c>
      <c r="E493" s="2">
        <f t="shared" si="35"/>
        <v>0.5</v>
      </c>
      <c r="F493" s="2">
        <f t="shared" si="36"/>
        <v>617</v>
      </c>
      <c r="G493">
        <v>0.83899999999999997</v>
      </c>
      <c r="H493">
        <v>0.51500000000000001</v>
      </c>
      <c r="I493">
        <v>0.39100000000000001</v>
      </c>
      <c r="J493">
        <v>0.33200000000000002</v>
      </c>
      <c r="K493">
        <v>0.31900000000000001</v>
      </c>
      <c r="L493">
        <v>-99.998999999999995</v>
      </c>
      <c r="M493">
        <v>-99.998999999999995</v>
      </c>
      <c r="Q493" s="2">
        <f t="shared" si="37"/>
        <v>-1.5598830945172932</v>
      </c>
      <c r="T493" s="2">
        <f t="shared" si="38"/>
        <v>155836.22792970031</v>
      </c>
      <c r="W493" s="2">
        <f t="shared" si="39"/>
        <v>155836.22792970031</v>
      </c>
    </row>
    <row r="494" spans="1:23">
      <c r="A494">
        <v>1487</v>
      </c>
      <c r="B494">
        <v>7</v>
      </c>
      <c r="C494">
        <v>4</v>
      </c>
      <c r="D494">
        <v>0.89300000000000002</v>
      </c>
      <c r="E494" s="2">
        <f t="shared" si="35"/>
        <v>1</v>
      </c>
      <c r="F494" s="2">
        <f t="shared" si="36"/>
        <v>709</v>
      </c>
      <c r="G494">
        <v>0.68300000000000005</v>
      </c>
      <c r="H494">
        <v>0.51500000000000001</v>
      </c>
      <c r="I494">
        <v>0.39100000000000001</v>
      </c>
      <c r="J494">
        <v>0.33200000000000002</v>
      </c>
      <c r="K494">
        <v>0.31900000000000001</v>
      </c>
      <c r="L494">
        <v>-99.998999999999995</v>
      </c>
      <c r="M494">
        <v>-99.998999999999995</v>
      </c>
      <c r="Q494" s="2">
        <f t="shared" si="37"/>
        <v>-1.3935798409999915</v>
      </c>
      <c r="T494" s="2">
        <f t="shared" si="38"/>
        <v>169868.95567628791</v>
      </c>
      <c r="W494" s="2">
        <f t="shared" si="39"/>
        <v>169868.95567628791</v>
      </c>
    </row>
    <row r="495" spans="1:23">
      <c r="A495">
        <v>1488</v>
      </c>
      <c r="B495">
        <v>7</v>
      </c>
      <c r="C495">
        <v>4</v>
      </c>
      <c r="D495">
        <v>-1.4810000000000001</v>
      </c>
      <c r="E495" s="2">
        <f t="shared" si="35"/>
        <v>-1.5</v>
      </c>
      <c r="F495" s="2">
        <f t="shared" si="36"/>
        <v>332</v>
      </c>
      <c r="G495">
        <v>0.54200000000000004</v>
      </c>
      <c r="H495">
        <v>0.51500000000000001</v>
      </c>
      <c r="I495">
        <v>0.39100000000000001</v>
      </c>
      <c r="J495">
        <v>0.33200000000000002</v>
      </c>
      <c r="K495">
        <v>0.31900000000000001</v>
      </c>
      <c r="L495">
        <v>-99.998999999999995</v>
      </c>
      <c r="M495">
        <v>-99.998999999999995</v>
      </c>
      <c r="Q495" s="2">
        <f t="shared" si="37"/>
        <v>-2.0324211417282676</v>
      </c>
      <c r="T495" s="2">
        <f t="shared" si="38"/>
        <v>115963.29925169403</v>
      </c>
      <c r="W495" s="2">
        <f t="shared" si="39"/>
        <v>115963.29925169403</v>
      </c>
    </row>
    <row r="496" spans="1:23">
      <c r="A496">
        <v>1489</v>
      </c>
      <c r="B496">
        <v>7</v>
      </c>
      <c r="C496">
        <v>4</v>
      </c>
      <c r="D496">
        <v>-1.774</v>
      </c>
      <c r="E496" s="2">
        <f t="shared" si="35"/>
        <v>-2</v>
      </c>
      <c r="F496" s="2">
        <f t="shared" si="36"/>
        <v>279</v>
      </c>
      <c r="G496">
        <v>0.438</v>
      </c>
      <c r="H496">
        <v>0.51500000000000001</v>
      </c>
      <c r="I496">
        <v>0.39100000000000001</v>
      </c>
      <c r="J496">
        <v>0.33200000000000002</v>
      </c>
      <c r="K496">
        <v>0.31900000000000001</v>
      </c>
      <c r="L496">
        <v>-99.998999999999995</v>
      </c>
      <c r="M496">
        <v>-99.998999999999995</v>
      </c>
      <c r="Q496" s="2">
        <f t="shared" si="37"/>
        <v>-2.1112671826353377</v>
      </c>
      <c r="T496" s="2">
        <f t="shared" si="38"/>
        <v>109310.24224562579</v>
      </c>
      <c r="W496" s="2">
        <f t="shared" si="39"/>
        <v>109310.24224562579</v>
      </c>
    </row>
    <row r="497" spans="1:23">
      <c r="A497">
        <v>1490</v>
      </c>
      <c r="B497">
        <v>7</v>
      </c>
      <c r="C497">
        <v>4</v>
      </c>
      <c r="D497">
        <v>-0.40799999999999997</v>
      </c>
      <c r="E497" s="2">
        <f t="shared" si="35"/>
        <v>-0.5</v>
      </c>
      <c r="F497" s="2">
        <f t="shared" si="36"/>
        <v>497</v>
      </c>
      <c r="G497">
        <v>0.377</v>
      </c>
      <c r="H497">
        <v>0.51500000000000001</v>
      </c>
      <c r="I497">
        <v>0.39100000000000001</v>
      </c>
      <c r="J497">
        <v>0.33200000000000002</v>
      </c>
      <c r="K497">
        <v>0.31900000000000001</v>
      </c>
      <c r="L497">
        <v>-99.998999999999995</v>
      </c>
      <c r="M497">
        <v>-99.998999999999995</v>
      </c>
      <c r="Q497" s="2">
        <f t="shared" si="37"/>
        <v>-1.7436777905566414</v>
      </c>
      <c r="T497" s="2">
        <f t="shared" si="38"/>
        <v>140327.56603500879</v>
      </c>
      <c r="W497" s="2">
        <f t="shared" si="39"/>
        <v>140327.56603500879</v>
      </c>
    </row>
    <row r="498" spans="1:23">
      <c r="A498">
        <v>1491</v>
      </c>
      <c r="B498">
        <v>7</v>
      </c>
      <c r="C498">
        <v>4</v>
      </c>
      <c r="D498">
        <v>0.23100000000000001</v>
      </c>
      <c r="E498" s="2">
        <f t="shared" si="35"/>
        <v>0</v>
      </c>
      <c r="F498" s="2">
        <f t="shared" si="36"/>
        <v>604</v>
      </c>
      <c r="G498">
        <v>0.34399999999999997</v>
      </c>
      <c r="H498">
        <v>0.51500000000000001</v>
      </c>
      <c r="I498">
        <v>0.39100000000000001</v>
      </c>
      <c r="J498">
        <v>0.33200000000000002</v>
      </c>
      <c r="K498">
        <v>0.31900000000000001</v>
      </c>
      <c r="L498">
        <v>-99.998999999999995</v>
      </c>
      <c r="M498">
        <v>-99.998999999999995</v>
      </c>
      <c r="Q498" s="2">
        <f t="shared" si="37"/>
        <v>-1.57172345560914</v>
      </c>
      <c r="T498" s="2">
        <f t="shared" si="38"/>
        <v>154837.13404482999</v>
      </c>
      <c r="W498" s="2">
        <f t="shared" si="39"/>
        <v>154837.13404482999</v>
      </c>
    </row>
    <row r="499" spans="1:23">
      <c r="A499">
        <v>1492</v>
      </c>
      <c r="B499">
        <v>7</v>
      </c>
      <c r="C499">
        <v>4</v>
      </c>
      <c r="D499">
        <v>-8.9999999999999993E-3</v>
      </c>
      <c r="E499" s="2">
        <f t="shared" si="35"/>
        <v>0</v>
      </c>
      <c r="F499" s="2">
        <f t="shared" si="36"/>
        <v>564</v>
      </c>
      <c r="G499">
        <v>0.316</v>
      </c>
      <c r="H499">
        <v>0.51500000000000001</v>
      </c>
      <c r="I499">
        <v>0.39100000000000001</v>
      </c>
      <c r="J499">
        <v>0.33200000000000002</v>
      </c>
      <c r="K499">
        <v>0.31900000000000001</v>
      </c>
      <c r="L499">
        <v>-99.998999999999995</v>
      </c>
      <c r="M499">
        <v>-99.998999999999995</v>
      </c>
      <c r="Q499" s="2">
        <f t="shared" si="37"/>
        <v>-1.6363072433828494</v>
      </c>
      <c r="T499" s="2">
        <f t="shared" si="38"/>
        <v>149387.53103644645</v>
      </c>
      <c r="W499" s="2">
        <f t="shared" si="39"/>
        <v>149387.53103644645</v>
      </c>
    </row>
    <row r="500" spans="1:23">
      <c r="A500">
        <v>1493</v>
      </c>
      <c r="B500">
        <v>7</v>
      </c>
      <c r="C500">
        <v>4</v>
      </c>
      <c r="D500">
        <v>2.0859999999999999</v>
      </c>
      <c r="E500" s="2">
        <f t="shared" si="35"/>
        <v>2</v>
      </c>
      <c r="F500" s="2">
        <f t="shared" si="36"/>
        <v>860</v>
      </c>
      <c r="G500">
        <v>0.26800000000000002</v>
      </c>
      <c r="H500">
        <v>0.51500000000000001</v>
      </c>
      <c r="I500">
        <v>0.39100000000000001</v>
      </c>
      <c r="J500">
        <v>0.33200000000000002</v>
      </c>
      <c r="K500">
        <v>0.31900000000000001</v>
      </c>
      <c r="L500">
        <v>-99.998999999999995</v>
      </c>
      <c r="M500">
        <v>-99.998999999999995</v>
      </c>
      <c r="Q500" s="2">
        <f t="shared" si="37"/>
        <v>-1.072544595941511</v>
      </c>
      <c r="T500" s="2">
        <f t="shared" si="38"/>
        <v>196958.0239637944</v>
      </c>
      <c r="W500" s="2">
        <f t="shared" si="39"/>
        <v>196958.0239637944</v>
      </c>
    </row>
    <row r="501" spans="1:23">
      <c r="A501">
        <v>1494</v>
      </c>
      <c r="B501">
        <v>7</v>
      </c>
      <c r="C501">
        <v>4</v>
      </c>
      <c r="D501">
        <v>4.9710000000000001</v>
      </c>
      <c r="E501" s="2">
        <f t="shared" si="35"/>
        <v>5</v>
      </c>
      <c r="F501" s="2">
        <f t="shared" si="36"/>
        <v>998</v>
      </c>
      <c r="G501">
        <v>0.17599999999999999</v>
      </c>
      <c r="H501">
        <v>0.51500000000000001</v>
      </c>
      <c r="I501">
        <v>0.39100000000000001</v>
      </c>
      <c r="J501">
        <v>0.33200000000000002</v>
      </c>
      <c r="K501">
        <v>0.31900000000000001</v>
      </c>
      <c r="L501">
        <v>-99.998999999999995</v>
      </c>
      <c r="M501">
        <v>-99.998999999999995</v>
      </c>
      <c r="Q501" s="2">
        <f t="shared" si="37"/>
        <v>-0.29619364707837881</v>
      </c>
      <c r="T501" s="2">
        <f t="shared" si="38"/>
        <v>262466.79346040491</v>
      </c>
      <c r="W501" s="2">
        <f t="shared" si="39"/>
        <v>262466.79346040491</v>
      </c>
    </row>
    <row r="502" spans="1:23">
      <c r="A502">
        <v>1495</v>
      </c>
      <c r="B502">
        <v>7</v>
      </c>
      <c r="C502">
        <v>4</v>
      </c>
      <c r="D502">
        <v>0.58399999999999996</v>
      </c>
      <c r="E502" s="2">
        <f t="shared" si="35"/>
        <v>0.5</v>
      </c>
      <c r="F502" s="2">
        <f t="shared" si="36"/>
        <v>669</v>
      </c>
      <c r="G502">
        <v>3.3000000000000002E-2</v>
      </c>
      <c r="H502">
        <v>0.51500000000000001</v>
      </c>
      <c r="I502">
        <v>0.39100000000000001</v>
      </c>
      <c r="J502">
        <v>0.33200000000000002</v>
      </c>
      <c r="K502">
        <v>0.31900000000000001</v>
      </c>
      <c r="L502">
        <v>-99.998999999999995</v>
      </c>
      <c r="M502">
        <v>-99.998999999999995</v>
      </c>
      <c r="Q502" s="2">
        <f t="shared" si="37"/>
        <v>-1.4767314677586425</v>
      </c>
      <c r="T502" s="2">
        <f t="shared" si="38"/>
        <v>162852.59180299408</v>
      </c>
      <c r="W502" s="2">
        <f t="shared" si="39"/>
        <v>162852.59180299408</v>
      </c>
    </row>
    <row r="503" spans="1:23">
      <c r="A503">
        <v>1496</v>
      </c>
      <c r="B503">
        <v>7</v>
      </c>
      <c r="C503">
        <v>4</v>
      </c>
      <c r="D503">
        <v>-3.84</v>
      </c>
      <c r="E503" s="2">
        <f t="shared" si="35"/>
        <v>-4</v>
      </c>
      <c r="F503" s="2">
        <f t="shared" si="36"/>
        <v>51</v>
      </c>
      <c r="G503">
        <v>-0.13100000000000001</v>
      </c>
      <c r="H503">
        <v>0.51500000000000001</v>
      </c>
      <c r="I503">
        <v>0.39100000000000001</v>
      </c>
      <c r="J503">
        <v>0.33200000000000002</v>
      </c>
      <c r="K503">
        <v>0.31900000000000001</v>
      </c>
      <c r="L503">
        <v>-99.998999999999995</v>
      </c>
      <c r="M503">
        <v>-99.998999999999995</v>
      </c>
      <c r="Q503" s="2">
        <f t="shared" si="37"/>
        <v>-2.6672259557206863</v>
      </c>
      <c r="T503" s="2">
        <f t="shared" si="38"/>
        <v>62398.243015124142</v>
      </c>
      <c r="W503" s="2">
        <f t="shared" si="39"/>
        <v>62398.243015124142</v>
      </c>
    </row>
    <row r="504" spans="1:23">
      <c r="A504">
        <v>1497</v>
      </c>
      <c r="B504">
        <v>7</v>
      </c>
      <c r="C504">
        <v>4</v>
      </c>
      <c r="D504">
        <v>-4.9459999999999997</v>
      </c>
      <c r="E504" s="2">
        <f t="shared" si="35"/>
        <v>-5</v>
      </c>
      <c r="F504" s="2">
        <f t="shared" si="36"/>
        <v>10</v>
      </c>
      <c r="G504">
        <v>-0.28100000000000003</v>
      </c>
      <c r="H504">
        <v>0.51500000000000001</v>
      </c>
      <c r="I504">
        <v>0.39100000000000001</v>
      </c>
      <c r="J504">
        <v>0.33200000000000002</v>
      </c>
      <c r="K504">
        <v>0.31900000000000001</v>
      </c>
      <c r="L504">
        <v>-99.998999999999995</v>
      </c>
      <c r="M504">
        <v>-99.998999999999995</v>
      </c>
      <c r="Q504" s="2">
        <f t="shared" si="37"/>
        <v>-2.9648495777111972</v>
      </c>
      <c r="T504" s="2">
        <f t="shared" si="38"/>
        <v>37284.655818156694</v>
      </c>
      <c r="W504" s="2">
        <f t="shared" si="39"/>
        <v>37284.655818156694</v>
      </c>
    </row>
    <row r="505" spans="1:23">
      <c r="A505">
        <v>1498</v>
      </c>
      <c r="B505">
        <v>7</v>
      </c>
      <c r="C505">
        <v>4</v>
      </c>
      <c r="D505">
        <v>2.7879999999999998</v>
      </c>
      <c r="E505" s="2">
        <f t="shared" si="35"/>
        <v>3</v>
      </c>
      <c r="F505" s="2">
        <f t="shared" si="36"/>
        <v>926</v>
      </c>
      <c r="G505">
        <v>-0.41399999999999998</v>
      </c>
      <c r="H505">
        <v>0.51500000000000001</v>
      </c>
      <c r="I505">
        <v>0.39100000000000001</v>
      </c>
      <c r="J505">
        <v>0.33200000000000002</v>
      </c>
      <c r="K505">
        <v>0.31900000000000001</v>
      </c>
      <c r="L505">
        <v>-99.998999999999995</v>
      </c>
      <c r="M505">
        <v>-99.998999999999995</v>
      </c>
      <c r="Q505" s="2">
        <f t="shared" si="37"/>
        <v>-0.88363701670341088</v>
      </c>
      <c r="T505" s="2">
        <f t="shared" si="38"/>
        <v>212898.11276331628</v>
      </c>
      <c r="W505" s="2">
        <f t="shared" si="39"/>
        <v>212898.11276331628</v>
      </c>
    </row>
    <row r="506" spans="1:23">
      <c r="A506">
        <v>1499</v>
      </c>
      <c r="B506">
        <v>7</v>
      </c>
      <c r="C506">
        <v>4</v>
      </c>
      <c r="D506">
        <v>1.635</v>
      </c>
      <c r="E506" s="2">
        <f t="shared" si="35"/>
        <v>1.5</v>
      </c>
      <c r="F506" s="2">
        <f t="shared" si="36"/>
        <v>816</v>
      </c>
      <c r="G506">
        <v>-0.55700000000000005</v>
      </c>
      <c r="H506">
        <v>0.51500000000000001</v>
      </c>
      <c r="I506">
        <v>0.39100000000000001</v>
      </c>
      <c r="J506">
        <v>0.33200000000000002</v>
      </c>
      <c r="K506">
        <v>0.31900000000000001</v>
      </c>
      <c r="L506">
        <v>-99.998999999999995</v>
      </c>
      <c r="M506">
        <v>-99.998999999999995</v>
      </c>
      <c r="Q506" s="2">
        <f t="shared" si="37"/>
        <v>-1.19390829713294</v>
      </c>
      <c r="T506" s="2">
        <f t="shared" si="38"/>
        <v>186717.31164387369</v>
      </c>
      <c r="W506" s="2">
        <f t="shared" si="39"/>
        <v>186717.31164387369</v>
      </c>
    </row>
    <row r="507" spans="1:23">
      <c r="A507">
        <v>1500</v>
      </c>
      <c r="B507">
        <v>7</v>
      </c>
      <c r="C507">
        <v>4</v>
      </c>
      <c r="D507">
        <v>1.639</v>
      </c>
      <c r="E507" s="2">
        <f t="shared" si="35"/>
        <v>1.5</v>
      </c>
      <c r="F507" s="2">
        <f t="shared" si="36"/>
        <v>818</v>
      </c>
      <c r="G507">
        <v>-0.71899999999999997</v>
      </c>
      <c r="H507">
        <v>0.51500000000000001</v>
      </c>
      <c r="I507">
        <v>0.39100000000000001</v>
      </c>
      <c r="J507">
        <v>0.33200000000000002</v>
      </c>
      <c r="K507">
        <v>0.31900000000000001</v>
      </c>
      <c r="L507">
        <v>-99.998999999999995</v>
      </c>
      <c r="M507">
        <v>-99.998999999999995</v>
      </c>
      <c r="Q507" s="2">
        <f t="shared" si="37"/>
        <v>-1.1928319006700447</v>
      </c>
      <c r="T507" s="2">
        <f t="shared" si="38"/>
        <v>186808.13836068008</v>
      </c>
      <c r="W507" s="2">
        <f t="shared" si="39"/>
        <v>186808.13836068008</v>
      </c>
    </row>
    <row r="508" spans="1:23">
      <c r="A508">
        <v>1501</v>
      </c>
      <c r="B508">
        <v>7</v>
      </c>
      <c r="C508">
        <v>4</v>
      </c>
      <c r="D508">
        <v>-1.0149999999999999</v>
      </c>
      <c r="E508" s="2">
        <f t="shared" si="35"/>
        <v>-1</v>
      </c>
      <c r="F508" s="2">
        <f t="shared" si="36"/>
        <v>391</v>
      </c>
      <c r="G508">
        <v>-0.88900000000000001</v>
      </c>
      <c r="H508">
        <v>0.51500000000000001</v>
      </c>
      <c r="I508">
        <v>0.39100000000000001</v>
      </c>
      <c r="J508">
        <v>0.33200000000000002</v>
      </c>
      <c r="K508">
        <v>0.31900000000000001</v>
      </c>
      <c r="L508">
        <v>-99.998999999999995</v>
      </c>
      <c r="M508">
        <v>-99.998999999999995</v>
      </c>
      <c r="Q508" s="2">
        <f t="shared" si="37"/>
        <v>-1.9070209538009815</v>
      </c>
      <c r="T508" s="2">
        <f t="shared" si="38"/>
        <v>126544.61175963876</v>
      </c>
      <c r="W508" s="2">
        <f t="shared" si="39"/>
        <v>126544.61175963876</v>
      </c>
    </row>
    <row r="509" spans="1:23">
      <c r="A509">
        <v>1502</v>
      </c>
      <c r="B509">
        <v>7</v>
      </c>
      <c r="C509">
        <v>4</v>
      </c>
      <c r="D509">
        <v>-3.786</v>
      </c>
      <c r="E509" s="2">
        <f t="shared" si="35"/>
        <v>-4</v>
      </c>
      <c r="F509" s="2">
        <f t="shared" si="36"/>
        <v>55</v>
      </c>
      <c r="G509">
        <v>-1.0349999999999999</v>
      </c>
      <c r="H509">
        <v>0.51500000000000001</v>
      </c>
      <c r="I509">
        <v>0.39100000000000001</v>
      </c>
      <c r="J509">
        <v>0.33200000000000002</v>
      </c>
      <c r="K509">
        <v>0.31900000000000001</v>
      </c>
      <c r="L509">
        <v>-99.998999999999995</v>
      </c>
      <c r="M509">
        <v>-99.998999999999995</v>
      </c>
      <c r="Q509" s="2">
        <f t="shared" si="37"/>
        <v>-2.6526946034716019</v>
      </c>
      <c r="T509" s="2">
        <f t="shared" si="38"/>
        <v>63624.403692010441</v>
      </c>
      <c r="W509" s="2">
        <f t="shared" si="39"/>
        <v>63624.403692010441</v>
      </c>
    </row>
    <row r="510" spans="1:23">
      <c r="A510">
        <v>1503</v>
      </c>
      <c r="B510">
        <v>7</v>
      </c>
      <c r="C510">
        <v>4</v>
      </c>
      <c r="D510">
        <v>-3.4969999999999999</v>
      </c>
      <c r="E510" s="2">
        <f t="shared" si="35"/>
        <v>-3.5</v>
      </c>
      <c r="F510" s="2">
        <f t="shared" si="36"/>
        <v>77</v>
      </c>
      <c r="G510">
        <v>-1.127</v>
      </c>
      <c r="H510">
        <v>0.51500000000000001</v>
      </c>
      <c r="I510">
        <v>0.39100000000000001</v>
      </c>
      <c r="J510">
        <v>0.33200000000000002</v>
      </c>
      <c r="K510">
        <v>0.31900000000000001</v>
      </c>
      <c r="L510">
        <v>-99.998999999999995</v>
      </c>
      <c r="M510">
        <v>-99.998999999999995</v>
      </c>
      <c r="Q510" s="2">
        <f t="shared" si="37"/>
        <v>-2.5749249590274266</v>
      </c>
      <c r="T510" s="2">
        <f t="shared" si="38"/>
        <v>70186.633981272316</v>
      </c>
      <c r="W510" s="2">
        <f t="shared" si="39"/>
        <v>70186.633981272316</v>
      </c>
    </row>
    <row r="511" spans="1:23">
      <c r="A511">
        <v>1504</v>
      </c>
      <c r="B511">
        <v>7</v>
      </c>
      <c r="C511">
        <v>4</v>
      </c>
      <c r="D511">
        <v>-0.54100000000000004</v>
      </c>
      <c r="E511" s="2">
        <f t="shared" si="35"/>
        <v>-0.5</v>
      </c>
      <c r="F511" s="2">
        <f t="shared" si="36"/>
        <v>475</v>
      </c>
      <c r="G511">
        <v>-1.1559999999999999</v>
      </c>
      <c r="H511">
        <v>0.51500000000000001</v>
      </c>
      <c r="I511">
        <v>0.39100000000000001</v>
      </c>
      <c r="J511">
        <v>0.33200000000000002</v>
      </c>
      <c r="K511">
        <v>0.31900000000000001</v>
      </c>
      <c r="L511">
        <v>-99.998999999999995</v>
      </c>
      <c r="M511">
        <v>-99.998999999999995</v>
      </c>
      <c r="Q511" s="2">
        <f t="shared" si="37"/>
        <v>-1.7794679729479055</v>
      </c>
      <c r="T511" s="2">
        <f t="shared" si="38"/>
        <v>137307.57770119625</v>
      </c>
      <c r="W511" s="2">
        <f t="shared" si="39"/>
        <v>137307.57770119625</v>
      </c>
    </row>
    <row r="512" spans="1:23">
      <c r="A512">
        <v>1505</v>
      </c>
      <c r="B512">
        <v>7</v>
      </c>
      <c r="C512">
        <v>4</v>
      </c>
      <c r="D512">
        <v>-1.905</v>
      </c>
      <c r="E512" s="2">
        <f t="shared" si="35"/>
        <v>-2</v>
      </c>
      <c r="F512" s="2">
        <f t="shared" si="36"/>
        <v>256</v>
      </c>
      <c r="G512">
        <v>-1.1339999999999999</v>
      </c>
      <c r="H512">
        <v>0.51500000000000001</v>
      </c>
      <c r="I512">
        <v>0.39100000000000001</v>
      </c>
      <c r="J512">
        <v>0.33200000000000002</v>
      </c>
      <c r="K512">
        <v>0.31900000000000001</v>
      </c>
      <c r="L512">
        <v>-99.998999999999995</v>
      </c>
      <c r="M512">
        <v>-99.998999999999995</v>
      </c>
      <c r="Q512" s="2">
        <f t="shared" si="37"/>
        <v>-2.1465191667951542</v>
      </c>
      <c r="T512" s="2">
        <f t="shared" si="38"/>
        <v>106335.66727021645</v>
      </c>
      <c r="W512" s="2">
        <f t="shared" si="39"/>
        <v>106335.66727021645</v>
      </c>
    </row>
    <row r="513" spans="1:23">
      <c r="A513">
        <v>1506</v>
      </c>
      <c r="B513">
        <v>7</v>
      </c>
      <c r="C513">
        <v>4</v>
      </c>
      <c r="D513">
        <v>-0.95699999999999996</v>
      </c>
      <c r="E513" s="2">
        <f t="shared" si="35"/>
        <v>-1</v>
      </c>
      <c r="F513" s="2">
        <f t="shared" si="36"/>
        <v>399</v>
      </c>
      <c r="G513">
        <v>-1.071</v>
      </c>
      <c r="H513">
        <v>0.51500000000000001</v>
      </c>
      <c r="I513">
        <v>0.39100000000000001</v>
      </c>
      <c r="J513">
        <v>0.33200000000000002</v>
      </c>
      <c r="K513">
        <v>0.31900000000000001</v>
      </c>
      <c r="L513">
        <v>-99.998999999999995</v>
      </c>
      <c r="M513">
        <v>-99.998999999999995</v>
      </c>
      <c r="Q513" s="2">
        <f t="shared" si="37"/>
        <v>-1.8914132050890018</v>
      </c>
      <c r="T513" s="2">
        <f t="shared" si="38"/>
        <v>127861.59915333145</v>
      </c>
      <c r="W513" s="2">
        <f t="shared" si="39"/>
        <v>127861.59915333145</v>
      </c>
    </row>
    <row r="514" spans="1:23">
      <c r="A514">
        <v>1507</v>
      </c>
      <c r="B514">
        <v>7</v>
      </c>
      <c r="C514">
        <v>4</v>
      </c>
      <c r="D514">
        <v>-1.1539999999999999</v>
      </c>
      <c r="E514" s="2">
        <f t="shared" si="35"/>
        <v>-1</v>
      </c>
      <c r="F514" s="2">
        <f t="shared" si="36"/>
        <v>376</v>
      </c>
      <c r="G514">
        <v>-0.98499999999999999</v>
      </c>
      <c r="H514">
        <v>0.51500000000000001</v>
      </c>
      <c r="I514">
        <v>0.39100000000000001</v>
      </c>
      <c r="J514">
        <v>0.33200000000000002</v>
      </c>
      <c r="K514">
        <v>0.31900000000000001</v>
      </c>
      <c r="L514">
        <v>-99.998999999999995</v>
      </c>
      <c r="M514">
        <v>-99.998999999999995</v>
      </c>
      <c r="Q514" s="2">
        <f t="shared" si="37"/>
        <v>-1.9444257308865882</v>
      </c>
      <c r="T514" s="2">
        <f t="shared" si="38"/>
        <v>123388.38335061661</v>
      </c>
      <c r="W514" s="2">
        <f t="shared" si="39"/>
        <v>123388.38335061661</v>
      </c>
    </row>
    <row r="515" spans="1:23">
      <c r="A515">
        <v>1508</v>
      </c>
      <c r="B515">
        <v>7</v>
      </c>
      <c r="C515">
        <v>4</v>
      </c>
      <c r="D515">
        <v>1.51</v>
      </c>
      <c r="E515" s="2">
        <f t="shared" ref="E515:E578" si="40">IF(D515&gt;0,MROUND(D515,0.5),MROUND(D515,-0.5))</f>
        <v>1.5</v>
      </c>
      <c r="F515" s="2">
        <f t="shared" ref="F515:F578" si="41">RANK(D515,$D$3:$D$1011,1)</f>
        <v>799</v>
      </c>
      <c r="G515">
        <v>-0.89100000000000001</v>
      </c>
      <c r="H515">
        <v>0.51500000000000001</v>
      </c>
      <c r="I515">
        <v>0.39100000000000001</v>
      </c>
      <c r="J515">
        <v>0.33200000000000002</v>
      </c>
      <c r="K515">
        <v>0.31900000000000001</v>
      </c>
      <c r="L515">
        <v>-99.998999999999995</v>
      </c>
      <c r="M515">
        <v>-99.998999999999995</v>
      </c>
      <c r="Q515" s="2">
        <f t="shared" ref="Q515:Q578" si="42">$Q$1022+($Q$1021*D515)</f>
        <v>-1.2275456865984136</v>
      </c>
      <c r="T515" s="2">
        <f t="shared" ref="T515:T578" si="43">$T$1025+(Q515*$T$1024)</f>
        <v>183878.97674367393</v>
      </c>
      <c r="W515" s="2">
        <f t="shared" ref="W515:W578" si="44">$T$1025+(Q515*$T$1024)</f>
        <v>183878.97674367393</v>
      </c>
    </row>
    <row r="516" spans="1:23">
      <c r="A516">
        <v>1509</v>
      </c>
      <c r="B516">
        <v>7</v>
      </c>
      <c r="C516">
        <v>4</v>
      </c>
      <c r="D516">
        <v>0.98599999999999999</v>
      </c>
      <c r="E516" s="2">
        <f t="shared" si="40"/>
        <v>1</v>
      </c>
      <c r="F516" s="2">
        <f t="shared" si="41"/>
        <v>725</v>
      </c>
      <c r="G516">
        <v>-0.80200000000000005</v>
      </c>
      <c r="H516">
        <v>0.51500000000000001</v>
      </c>
      <c r="I516">
        <v>0.39100000000000001</v>
      </c>
      <c r="J516">
        <v>0.33200000000000002</v>
      </c>
      <c r="K516">
        <v>0.31900000000000001</v>
      </c>
      <c r="L516">
        <v>-99.998999999999995</v>
      </c>
      <c r="M516">
        <v>-99.998999999999995</v>
      </c>
      <c r="Q516" s="2">
        <f t="shared" si="42"/>
        <v>-1.3685536232376792</v>
      </c>
      <c r="T516" s="2">
        <f t="shared" si="43"/>
        <v>171980.67684203654</v>
      </c>
      <c r="W516" s="2">
        <f t="shared" si="44"/>
        <v>171980.67684203654</v>
      </c>
    </row>
    <row r="517" spans="1:23">
      <c r="A517">
        <v>1510</v>
      </c>
      <c r="B517">
        <v>7</v>
      </c>
      <c r="C517">
        <v>4</v>
      </c>
      <c r="D517">
        <v>-0.66700000000000004</v>
      </c>
      <c r="E517" s="2">
        <f t="shared" si="40"/>
        <v>-0.5</v>
      </c>
      <c r="F517" s="2">
        <f t="shared" si="41"/>
        <v>455</v>
      </c>
      <c r="G517">
        <v>-0.71499999999999997</v>
      </c>
      <c r="H517">
        <v>0.51500000000000001</v>
      </c>
      <c r="I517">
        <v>0.39100000000000001</v>
      </c>
      <c r="J517">
        <v>0.33200000000000002</v>
      </c>
      <c r="K517">
        <v>0.31900000000000001</v>
      </c>
      <c r="L517">
        <v>-99.998999999999995</v>
      </c>
      <c r="M517">
        <v>-99.998999999999995</v>
      </c>
      <c r="Q517" s="2">
        <f t="shared" si="42"/>
        <v>-1.813374461529103</v>
      </c>
      <c r="T517" s="2">
        <f t="shared" si="43"/>
        <v>134446.5361217949</v>
      </c>
      <c r="W517" s="2">
        <f t="shared" si="44"/>
        <v>134446.5361217949</v>
      </c>
    </row>
    <row r="518" spans="1:23">
      <c r="A518">
        <v>1511</v>
      </c>
      <c r="B518">
        <v>7</v>
      </c>
      <c r="C518">
        <v>4</v>
      </c>
      <c r="D518">
        <v>-3.081</v>
      </c>
      <c r="E518" s="2">
        <f t="shared" si="40"/>
        <v>-3</v>
      </c>
      <c r="F518" s="2">
        <f t="shared" si="41"/>
        <v>103</v>
      </c>
      <c r="G518">
        <v>-0.60799999999999998</v>
      </c>
      <c r="H518">
        <v>0.51500000000000001</v>
      </c>
      <c r="I518">
        <v>0.39100000000000001</v>
      </c>
      <c r="J518">
        <v>0.33200000000000002</v>
      </c>
      <c r="K518">
        <v>0.31900000000000001</v>
      </c>
      <c r="L518">
        <v>-99.998999999999995</v>
      </c>
      <c r="M518">
        <v>-99.998999999999995</v>
      </c>
      <c r="Q518" s="2">
        <f t="shared" si="42"/>
        <v>-2.4629797268863305</v>
      </c>
      <c r="T518" s="2">
        <f t="shared" si="43"/>
        <v>79632.612529137084</v>
      </c>
      <c r="W518" s="2">
        <f t="shared" si="44"/>
        <v>79632.612529137084</v>
      </c>
    </row>
    <row r="519" spans="1:23">
      <c r="A519">
        <v>1512</v>
      </c>
      <c r="B519">
        <v>7</v>
      </c>
      <c r="C519">
        <v>4</v>
      </c>
      <c r="D519">
        <v>-3.0449999999999999</v>
      </c>
      <c r="E519" s="2">
        <f t="shared" si="40"/>
        <v>-3</v>
      </c>
      <c r="F519" s="2">
        <f t="shared" si="41"/>
        <v>110</v>
      </c>
      <c r="G519">
        <v>-0.46300000000000002</v>
      </c>
      <c r="H519">
        <v>0.51500000000000001</v>
      </c>
      <c r="I519">
        <v>0.39100000000000001</v>
      </c>
      <c r="J519">
        <v>0.33200000000000002</v>
      </c>
      <c r="K519">
        <v>0.31900000000000001</v>
      </c>
      <c r="L519">
        <v>-99.998999999999995</v>
      </c>
      <c r="M519">
        <v>-99.998999999999995</v>
      </c>
      <c r="Q519" s="2">
        <f t="shared" si="42"/>
        <v>-2.4532921587202736</v>
      </c>
      <c r="T519" s="2">
        <f t="shared" si="43"/>
        <v>80450.052980394656</v>
      </c>
      <c r="W519" s="2">
        <f t="shared" si="44"/>
        <v>80450.052980394656</v>
      </c>
    </row>
    <row r="520" spans="1:23">
      <c r="A520">
        <v>1513</v>
      </c>
      <c r="B520">
        <v>7</v>
      </c>
      <c r="C520">
        <v>4</v>
      </c>
      <c r="D520">
        <v>0.82699999999999996</v>
      </c>
      <c r="E520" s="2">
        <f t="shared" si="40"/>
        <v>1</v>
      </c>
      <c r="F520" s="2">
        <f t="shared" si="41"/>
        <v>702</v>
      </c>
      <c r="G520">
        <v>-0.27900000000000003</v>
      </c>
      <c r="H520">
        <v>0.51500000000000001</v>
      </c>
      <c r="I520">
        <v>0.39100000000000001</v>
      </c>
      <c r="J520">
        <v>0.33200000000000002</v>
      </c>
      <c r="K520">
        <v>0.31900000000000001</v>
      </c>
      <c r="L520">
        <v>-99.998999999999995</v>
      </c>
      <c r="M520">
        <v>-99.998999999999995</v>
      </c>
      <c r="Q520" s="2">
        <f t="shared" si="42"/>
        <v>-1.4113403826377617</v>
      </c>
      <c r="T520" s="2">
        <f t="shared" si="43"/>
        <v>168370.31484898244</v>
      </c>
      <c r="W520" s="2">
        <f t="shared" si="44"/>
        <v>168370.31484898244</v>
      </c>
    </row>
    <row r="521" spans="1:23">
      <c r="A521">
        <v>1514</v>
      </c>
      <c r="B521">
        <v>7</v>
      </c>
      <c r="C521">
        <v>4</v>
      </c>
      <c r="D521">
        <v>-0.247</v>
      </c>
      <c r="E521" s="2">
        <f t="shared" si="40"/>
        <v>0</v>
      </c>
      <c r="F521" s="2">
        <f t="shared" si="41"/>
        <v>525</v>
      </c>
      <c r="G521">
        <v>-7.5999999999999998E-2</v>
      </c>
      <c r="H521">
        <v>0.51500000000000001</v>
      </c>
      <c r="I521">
        <v>0.39100000000000001</v>
      </c>
      <c r="J521">
        <v>0.33200000000000002</v>
      </c>
      <c r="K521">
        <v>0.31900000000000001</v>
      </c>
      <c r="L521">
        <v>-99.998999999999995</v>
      </c>
      <c r="M521">
        <v>-99.998999999999995</v>
      </c>
      <c r="Q521" s="2">
        <f t="shared" si="42"/>
        <v>-1.7003528329251114</v>
      </c>
      <c r="T521" s="2">
        <f t="shared" si="43"/>
        <v>143983.34138646608</v>
      </c>
      <c r="W521" s="2">
        <f t="shared" si="44"/>
        <v>143983.34138646608</v>
      </c>
    </row>
    <row r="522" spans="1:23">
      <c r="A522">
        <v>1515</v>
      </c>
      <c r="B522">
        <v>7</v>
      </c>
      <c r="C522">
        <v>4</v>
      </c>
      <c r="D522">
        <v>-0.72599999999999998</v>
      </c>
      <c r="E522" s="2">
        <f t="shared" si="40"/>
        <v>-0.5</v>
      </c>
      <c r="F522" s="2">
        <f t="shared" si="41"/>
        <v>438</v>
      </c>
      <c r="G522">
        <v>0.128</v>
      </c>
      <c r="H522">
        <v>0.51500000000000001</v>
      </c>
      <c r="I522">
        <v>0.39100000000000001</v>
      </c>
      <c r="J522">
        <v>0.33200000000000002</v>
      </c>
      <c r="K522">
        <v>0.31900000000000001</v>
      </c>
      <c r="L522">
        <v>-99.998999999999995</v>
      </c>
      <c r="M522">
        <v>-99.998999999999995</v>
      </c>
      <c r="Q522" s="2">
        <f t="shared" si="42"/>
        <v>-1.8292513093568064</v>
      </c>
      <c r="T522" s="2">
        <f t="shared" si="43"/>
        <v>133106.84204890061</v>
      </c>
      <c r="W522" s="2">
        <f t="shared" si="44"/>
        <v>133106.84204890061</v>
      </c>
    </row>
    <row r="523" spans="1:23">
      <c r="A523">
        <v>1516</v>
      </c>
      <c r="B523">
        <v>7</v>
      </c>
      <c r="C523">
        <v>4</v>
      </c>
      <c r="D523">
        <v>-0.248</v>
      </c>
      <c r="E523" s="2">
        <f t="shared" si="40"/>
        <v>0</v>
      </c>
      <c r="F523" s="2">
        <f t="shared" si="41"/>
        <v>524</v>
      </c>
      <c r="G523">
        <v>0.317</v>
      </c>
      <c r="H523">
        <v>0.51500000000000001</v>
      </c>
      <c r="I523">
        <v>0.39100000000000001</v>
      </c>
      <c r="J523">
        <v>0.33200000000000002</v>
      </c>
      <c r="K523">
        <v>0.31900000000000001</v>
      </c>
      <c r="L523">
        <v>-99.998999999999995</v>
      </c>
      <c r="M523">
        <v>-99.998999999999995</v>
      </c>
      <c r="Q523" s="2">
        <f t="shared" si="42"/>
        <v>-1.7006219320408351</v>
      </c>
      <c r="T523" s="2">
        <f t="shared" si="43"/>
        <v>143960.63470726449</v>
      </c>
      <c r="W523" s="2">
        <f t="shared" si="44"/>
        <v>143960.63470726449</v>
      </c>
    </row>
    <row r="524" spans="1:23">
      <c r="A524">
        <v>1517</v>
      </c>
      <c r="B524">
        <v>7</v>
      </c>
      <c r="C524">
        <v>4</v>
      </c>
      <c r="D524">
        <v>3.7349999999999999</v>
      </c>
      <c r="E524" s="2">
        <f t="shared" si="40"/>
        <v>3.5</v>
      </c>
      <c r="F524" s="2">
        <f t="shared" si="41"/>
        <v>968</v>
      </c>
      <c r="G524">
        <v>0.46500000000000002</v>
      </c>
      <c r="H524">
        <v>0.51500000000000001</v>
      </c>
      <c r="I524">
        <v>0.39100000000000001</v>
      </c>
      <c r="J524">
        <v>0.33200000000000002</v>
      </c>
      <c r="K524">
        <v>0.31900000000000001</v>
      </c>
      <c r="L524">
        <v>-99.998999999999995</v>
      </c>
      <c r="M524">
        <v>-99.998999999999995</v>
      </c>
      <c r="Q524" s="2">
        <f t="shared" si="42"/>
        <v>-0.6288001541129824</v>
      </c>
      <c r="T524" s="2">
        <f t="shared" si="43"/>
        <v>234401.33796722966</v>
      </c>
      <c r="W524" s="2">
        <f t="shared" si="44"/>
        <v>234401.33796722966</v>
      </c>
    </row>
    <row r="525" spans="1:23">
      <c r="A525">
        <v>1518</v>
      </c>
      <c r="B525">
        <v>7</v>
      </c>
      <c r="C525">
        <v>4</v>
      </c>
      <c r="D525">
        <v>-0.78500000000000003</v>
      </c>
      <c r="E525" s="2">
        <f t="shared" si="40"/>
        <v>-1</v>
      </c>
      <c r="F525" s="2">
        <f t="shared" si="41"/>
        <v>425</v>
      </c>
      <c r="G525">
        <v>0.54900000000000004</v>
      </c>
      <c r="H525">
        <v>0.51500000000000001</v>
      </c>
      <c r="I525">
        <v>0.39100000000000001</v>
      </c>
      <c r="J525">
        <v>0.33200000000000002</v>
      </c>
      <c r="K525">
        <v>0.31900000000000001</v>
      </c>
      <c r="L525">
        <v>-99.998999999999995</v>
      </c>
      <c r="M525">
        <v>-99.998999999999995</v>
      </c>
      <c r="Q525" s="2">
        <f t="shared" si="42"/>
        <v>-1.84512815718451</v>
      </c>
      <c r="T525" s="2">
        <f t="shared" si="43"/>
        <v>131767.14797600632</v>
      </c>
      <c r="W525" s="2">
        <f t="shared" si="44"/>
        <v>131767.14797600632</v>
      </c>
    </row>
    <row r="526" spans="1:23">
      <c r="A526">
        <v>1519</v>
      </c>
      <c r="B526">
        <v>7</v>
      </c>
      <c r="C526">
        <v>4</v>
      </c>
      <c r="D526">
        <v>3.2530000000000001</v>
      </c>
      <c r="E526" s="2">
        <f t="shared" si="40"/>
        <v>3.5</v>
      </c>
      <c r="F526" s="2">
        <f t="shared" si="41"/>
        <v>948</v>
      </c>
      <c r="G526">
        <v>0.56299999999999994</v>
      </c>
      <c r="H526">
        <v>0.51500000000000001</v>
      </c>
      <c r="I526">
        <v>0.39100000000000001</v>
      </c>
      <c r="J526">
        <v>0.33200000000000002</v>
      </c>
      <c r="K526">
        <v>0.31900000000000001</v>
      </c>
      <c r="L526">
        <v>-99.998999999999995</v>
      </c>
      <c r="M526">
        <v>-99.998999999999995</v>
      </c>
      <c r="Q526" s="2">
        <f t="shared" si="42"/>
        <v>-0.75850592789184879</v>
      </c>
      <c r="T526" s="2">
        <f t="shared" si="43"/>
        <v>223456.71859205939</v>
      </c>
      <c r="W526" s="2">
        <f t="shared" si="44"/>
        <v>223456.71859205939</v>
      </c>
    </row>
    <row r="527" spans="1:23">
      <c r="A527">
        <v>1520</v>
      </c>
      <c r="B527">
        <v>7</v>
      </c>
      <c r="C527">
        <v>4</v>
      </c>
      <c r="D527">
        <v>0.23</v>
      </c>
      <c r="E527" s="2">
        <f t="shared" si="40"/>
        <v>0</v>
      </c>
      <c r="F527" s="2">
        <f t="shared" si="41"/>
        <v>602</v>
      </c>
      <c r="G527">
        <v>0.503</v>
      </c>
      <c r="H527">
        <v>0.51500000000000001</v>
      </c>
      <c r="I527">
        <v>0.39100000000000001</v>
      </c>
      <c r="J527">
        <v>0.33200000000000002</v>
      </c>
      <c r="K527">
        <v>0.31900000000000001</v>
      </c>
      <c r="L527">
        <v>-99.998999999999995</v>
      </c>
      <c r="M527">
        <v>-99.998999999999995</v>
      </c>
      <c r="Q527" s="2">
        <f t="shared" si="42"/>
        <v>-1.5719925547248639</v>
      </c>
      <c r="T527" s="2">
        <f t="shared" si="43"/>
        <v>154814.42736562836</v>
      </c>
      <c r="W527" s="2">
        <f t="shared" si="44"/>
        <v>154814.42736562836</v>
      </c>
    </row>
    <row r="528" spans="1:23">
      <c r="A528">
        <v>1521</v>
      </c>
      <c r="B528">
        <v>7</v>
      </c>
      <c r="C528">
        <v>4</v>
      </c>
      <c r="D528">
        <v>-0.42</v>
      </c>
      <c r="E528" s="2">
        <f t="shared" si="40"/>
        <v>-0.5</v>
      </c>
      <c r="F528" s="2">
        <f t="shared" si="41"/>
        <v>495</v>
      </c>
      <c r="G528">
        <v>0.377</v>
      </c>
      <c r="H528">
        <v>0.51500000000000001</v>
      </c>
      <c r="I528">
        <v>0.39100000000000001</v>
      </c>
      <c r="J528">
        <v>0.33200000000000002</v>
      </c>
      <c r="K528">
        <v>0.31900000000000001</v>
      </c>
      <c r="L528">
        <v>-99.998999999999995</v>
      </c>
      <c r="M528">
        <v>-99.998999999999995</v>
      </c>
      <c r="Q528" s="2">
        <f t="shared" si="42"/>
        <v>-1.746906979945327</v>
      </c>
      <c r="T528" s="2">
        <f t="shared" si="43"/>
        <v>140055.08588458961</v>
      </c>
      <c r="W528" s="2">
        <f t="shared" si="44"/>
        <v>140055.08588458961</v>
      </c>
    </row>
    <row r="529" spans="1:23">
      <c r="A529">
        <v>1522</v>
      </c>
      <c r="B529">
        <v>7</v>
      </c>
      <c r="C529">
        <v>4</v>
      </c>
      <c r="D529">
        <v>0.996</v>
      </c>
      <c r="E529" s="2">
        <f t="shared" si="40"/>
        <v>1</v>
      </c>
      <c r="F529" s="2">
        <f t="shared" si="41"/>
        <v>728</v>
      </c>
      <c r="G529">
        <v>0.19700000000000001</v>
      </c>
      <c r="H529">
        <v>0.51500000000000001</v>
      </c>
      <c r="I529">
        <v>0.39100000000000001</v>
      </c>
      <c r="J529">
        <v>0.33200000000000002</v>
      </c>
      <c r="K529">
        <v>0.31900000000000001</v>
      </c>
      <c r="L529">
        <v>-99.998999999999995</v>
      </c>
      <c r="M529">
        <v>-99.998999999999995</v>
      </c>
      <c r="Q529" s="2">
        <f t="shared" si="42"/>
        <v>-1.3658626320804412</v>
      </c>
      <c r="T529" s="2">
        <f t="shared" si="43"/>
        <v>172207.74363405252</v>
      </c>
      <c r="W529" s="2">
        <f t="shared" si="44"/>
        <v>172207.74363405252</v>
      </c>
    </row>
    <row r="530" spans="1:23">
      <c r="A530">
        <v>1523</v>
      </c>
      <c r="B530">
        <v>7</v>
      </c>
      <c r="C530">
        <v>4</v>
      </c>
      <c r="D530">
        <v>3.4089999999999998</v>
      </c>
      <c r="E530" s="2">
        <f t="shared" si="40"/>
        <v>3.5</v>
      </c>
      <c r="F530" s="2">
        <f t="shared" si="41"/>
        <v>957</v>
      </c>
      <c r="G530">
        <v>-0.03</v>
      </c>
      <c r="H530">
        <v>0.51500000000000001</v>
      </c>
      <c r="I530">
        <v>0.39100000000000001</v>
      </c>
      <c r="J530">
        <v>0.33200000000000002</v>
      </c>
      <c r="K530">
        <v>0.31900000000000001</v>
      </c>
      <c r="L530">
        <v>-99.998999999999995</v>
      </c>
      <c r="M530">
        <v>-99.998999999999995</v>
      </c>
      <c r="Q530" s="2">
        <f t="shared" si="42"/>
        <v>-0.71652646583893764</v>
      </c>
      <c r="T530" s="2">
        <f t="shared" si="43"/>
        <v>226998.9605475087</v>
      </c>
      <c r="W530" s="2">
        <f t="shared" si="44"/>
        <v>226998.9605475087</v>
      </c>
    </row>
    <row r="531" spans="1:23">
      <c r="A531">
        <v>1524</v>
      </c>
      <c r="B531">
        <v>7</v>
      </c>
      <c r="C531">
        <v>4</v>
      </c>
      <c r="D531">
        <v>-2.1520000000000001</v>
      </c>
      <c r="E531" s="2">
        <f t="shared" si="40"/>
        <v>-2</v>
      </c>
      <c r="F531" s="2">
        <f t="shared" si="41"/>
        <v>225</v>
      </c>
      <c r="G531">
        <v>-0.28699999999999998</v>
      </c>
      <c r="H531">
        <v>0.51500000000000001</v>
      </c>
      <c r="I531">
        <v>0.39100000000000001</v>
      </c>
      <c r="J531">
        <v>0.33200000000000002</v>
      </c>
      <c r="K531">
        <v>0.31900000000000001</v>
      </c>
      <c r="L531">
        <v>-99.998999999999995</v>
      </c>
      <c r="M531">
        <v>-99.998999999999995</v>
      </c>
      <c r="Q531" s="2">
        <f t="shared" si="42"/>
        <v>-2.21298664837893</v>
      </c>
      <c r="T531" s="2">
        <f t="shared" si="43"/>
        <v>100727.11750742173</v>
      </c>
      <c r="W531" s="2">
        <f t="shared" si="44"/>
        <v>100727.11750742173</v>
      </c>
    </row>
    <row r="532" spans="1:23">
      <c r="A532">
        <v>1525</v>
      </c>
      <c r="B532">
        <v>7</v>
      </c>
      <c r="C532">
        <v>4</v>
      </c>
      <c r="D532">
        <v>-3.569</v>
      </c>
      <c r="E532" s="2">
        <f t="shared" si="40"/>
        <v>-3.5</v>
      </c>
      <c r="F532" s="2">
        <f t="shared" si="41"/>
        <v>71</v>
      </c>
      <c r="G532">
        <v>-0.53800000000000003</v>
      </c>
      <c r="H532">
        <v>0.51500000000000001</v>
      </c>
      <c r="I532">
        <v>0.39100000000000001</v>
      </c>
      <c r="J532">
        <v>0.33200000000000002</v>
      </c>
      <c r="K532">
        <v>0.31900000000000001</v>
      </c>
      <c r="L532">
        <v>-99.998999999999995</v>
      </c>
      <c r="M532">
        <v>-99.998999999999995</v>
      </c>
      <c r="Q532" s="2">
        <f t="shared" si="42"/>
        <v>-2.5943000953595394</v>
      </c>
      <c r="T532" s="2">
        <f t="shared" si="43"/>
        <v>68551.753078757232</v>
      </c>
      <c r="W532" s="2">
        <f t="shared" si="44"/>
        <v>68551.753078757232</v>
      </c>
    </row>
    <row r="533" spans="1:23">
      <c r="A533">
        <v>1526</v>
      </c>
      <c r="B533">
        <v>7</v>
      </c>
      <c r="C533">
        <v>4</v>
      </c>
      <c r="D533">
        <v>1.161</v>
      </c>
      <c r="E533" s="2">
        <f t="shared" si="40"/>
        <v>1</v>
      </c>
      <c r="F533" s="2">
        <f t="shared" si="41"/>
        <v>754</v>
      </c>
      <c r="G533">
        <v>-0.75600000000000001</v>
      </c>
      <c r="H533">
        <v>0.51500000000000001</v>
      </c>
      <c r="I533">
        <v>0.39100000000000001</v>
      </c>
      <c r="J533">
        <v>0.33200000000000002</v>
      </c>
      <c r="K533">
        <v>0.31900000000000001</v>
      </c>
      <c r="L533">
        <v>-99.998999999999995</v>
      </c>
      <c r="M533">
        <v>-99.998999999999995</v>
      </c>
      <c r="Q533" s="2">
        <f t="shared" si="42"/>
        <v>-1.321461277986016</v>
      </c>
      <c r="T533" s="2">
        <f t="shared" si="43"/>
        <v>175954.3457023162</v>
      </c>
      <c r="W533" s="2">
        <f t="shared" si="44"/>
        <v>175954.3457023162</v>
      </c>
    </row>
    <row r="534" spans="1:23">
      <c r="A534">
        <v>1527</v>
      </c>
      <c r="B534">
        <v>7</v>
      </c>
      <c r="C534">
        <v>4</v>
      </c>
      <c r="D534">
        <v>-0.80800000000000005</v>
      </c>
      <c r="E534" s="2">
        <f t="shared" si="40"/>
        <v>-1</v>
      </c>
      <c r="F534" s="2">
        <f t="shared" si="41"/>
        <v>418</v>
      </c>
      <c r="G534">
        <v>-0.93700000000000006</v>
      </c>
      <c r="H534">
        <v>0.51500000000000001</v>
      </c>
      <c r="I534">
        <v>0.39100000000000001</v>
      </c>
      <c r="J534">
        <v>0.33200000000000002</v>
      </c>
      <c r="K534">
        <v>0.31900000000000001</v>
      </c>
      <c r="L534">
        <v>-99.998999999999995</v>
      </c>
      <c r="M534">
        <v>-99.998999999999995</v>
      </c>
      <c r="Q534" s="2">
        <f t="shared" si="42"/>
        <v>-1.8513174368461571</v>
      </c>
      <c r="T534" s="2">
        <f t="shared" si="43"/>
        <v>131244.89435436955</v>
      </c>
      <c r="W534" s="2">
        <f t="shared" si="44"/>
        <v>131244.89435436955</v>
      </c>
    </row>
    <row r="535" spans="1:23">
      <c r="A535">
        <v>1528</v>
      </c>
      <c r="B535">
        <v>7</v>
      </c>
      <c r="C535">
        <v>4</v>
      </c>
      <c r="D535">
        <v>-1.98</v>
      </c>
      <c r="E535" s="2">
        <f t="shared" si="40"/>
        <v>-2</v>
      </c>
      <c r="F535" s="2">
        <f t="shared" si="41"/>
        <v>247</v>
      </c>
      <c r="G535">
        <v>-1.0649999999999999</v>
      </c>
      <c r="H535">
        <v>0.51500000000000001</v>
      </c>
      <c r="I535">
        <v>0.39100000000000001</v>
      </c>
      <c r="J535">
        <v>0.33200000000000002</v>
      </c>
      <c r="K535">
        <v>0.31900000000000001</v>
      </c>
      <c r="L535">
        <v>-99.998999999999995</v>
      </c>
      <c r="M535">
        <v>-99.998999999999995</v>
      </c>
      <c r="Q535" s="2">
        <f t="shared" si="42"/>
        <v>-2.1667016004744379</v>
      </c>
      <c r="T535" s="2">
        <f t="shared" si="43"/>
        <v>104632.66633009663</v>
      </c>
      <c r="W535" s="2">
        <f t="shared" si="44"/>
        <v>104632.66633009663</v>
      </c>
    </row>
    <row r="536" spans="1:23">
      <c r="A536">
        <v>1529</v>
      </c>
      <c r="B536">
        <v>7</v>
      </c>
      <c r="C536">
        <v>4</v>
      </c>
      <c r="D536">
        <v>-2.0379999999999998</v>
      </c>
      <c r="E536" s="2">
        <f t="shared" si="40"/>
        <v>-2</v>
      </c>
      <c r="F536" s="2">
        <f t="shared" si="41"/>
        <v>239</v>
      </c>
      <c r="G536">
        <v>-1.1259999999999999</v>
      </c>
      <c r="H536">
        <v>0.51500000000000001</v>
      </c>
      <c r="I536">
        <v>0.39100000000000001</v>
      </c>
      <c r="J536">
        <v>0.33200000000000002</v>
      </c>
      <c r="K536">
        <v>0.31900000000000001</v>
      </c>
      <c r="L536">
        <v>-99.998999999999995</v>
      </c>
      <c r="M536">
        <v>-99.998999999999995</v>
      </c>
      <c r="Q536" s="2">
        <f t="shared" si="42"/>
        <v>-2.1823093491864181</v>
      </c>
      <c r="T536" s="2">
        <f t="shared" si="43"/>
        <v>103315.67893640391</v>
      </c>
      <c r="W536" s="2">
        <f t="shared" si="44"/>
        <v>103315.67893640391</v>
      </c>
    </row>
    <row r="537" spans="1:23">
      <c r="A537">
        <v>1530</v>
      </c>
      <c r="B537">
        <v>7</v>
      </c>
      <c r="C537">
        <v>4</v>
      </c>
      <c r="D537">
        <v>-2.6120000000000001</v>
      </c>
      <c r="E537" s="2">
        <f t="shared" si="40"/>
        <v>-2.5</v>
      </c>
      <c r="F537" s="2">
        <f t="shared" si="41"/>
        <v>161</v>
      </c>
      <c r="G537">
        <v>-1.1100000000000001</v>
      </c>
      <c r="H537">
        <v>0.51500000000000001</v>
      </c>
      <c r="I537">
        <v>0.39100000000000001</v>
      </c>
      <c r="J537">
        <v>0.33200000000000002</v>
      </c>
      <c r="K537">
        <v>0.31900000000000001</v>
      </c>
      <c r="L537">
        <v>-99.998999999999995</v>
      </c>
      <c r="M537">
        <v>-99.998999999999995</v>
      </c>
      <c r="Q537" s="2">
        <f t="shared" si="42"/>
        <v>-2.336772241611873</v>
      </c>
      <c r="T537" s="2">
        <f t="shared" si="43"/>
        <v>90282.045074686612</v>
      </c>
      <c r="W537" s="2">
        <f t="shared" si="44"/>
        <v>90282.045074686612</v>
      </c>
    </row>
    <row r="538" spans="1:23">
      <c r="A538">
        <v>1531</v>
      </c>
      <c r="B538">
        <v>7</v>
      </c>
      <c r="C538">
        <v>4</v>
      </c>
      <c r="D538">
        <v>3.9E-2</v>
      </c>
      <c r="E538" s="2">
        <f t="shared" si="40"/>
        <v>0</v>
      </c>
      <c r="F538" s="2">
        <f t="shared" si="41"/>
        <v>573</v>
      </c>
      <c r="G538">
        <v>-1.018</v>
      </c>
      <c r="H538">
        <v>0.51500000000000001</v>
      </c>
      <c r="I538">
        <v>0.39100000000000001</v>
      </c>
      <c r="J538">
        <v>0.33200000000000002</v>
      </c>
      <c r="K538">
        <v>0.31900000000000001</v>
      </c>
      <c r="L538">
        <v>-99.998999999999995</v>
      </c>
      <c r="M538">
        <v>-99.998999999999995</v>
      </c>
      <c r="Q538" s="2">
        <f t="shared" si="42"/>
        <v>-1.6233904858281076</v>
      </c>
      <c r="T538" s="2">
        <f t="shared" si="43"/>
        <v>150477.45163812314</v>
      </c>
      <c r="W538" s="2">
        <f t="shared" si="44"/>
        <v>150477.45163812314</v>
      </c>
    </row>
    <row r="539" spans="1:23">
      <c r="A539">
        <v>1532</v>
      </c>
      <c r="B539">
        <v>7</v>
      </c>
      <c r="C539">
        <v>4</v>
      </c>
      <c r="D539">
        <v>-3.1619999999999999</v>
      </c>
      <c r="E539" s="2">
        <f t="shared" si="40"/>
        <v>-3</v>
      </c>
      <c r="F539" s="2">
        <f t="shared" si="41"/>
        <v>95</v>
      </c>
      <c r="G539">
        <v>-0.86</v>
      </c>
      <c r="H539">
        <v>0.51500000000000001</v>
      </c>
      <c r="I539">
        <v>0.39100000000000001</v>
      </c>
      <c r="J539">
        <v>0.33200000000000002</v>
      </c>
      <c r="K539">
        <v>0.31900000000000001</v>
      </c>
      <c r="L539">
        <v>-99.998999999999995</v>
      </c>
      <c r="M539">
        <v>-99.998999999999995</v>
      </c>
      <c r="Q539" s="2">
        <f t="shared" si="42"/>
        <v>-2.4847767552599569</v>
      </c>
      <c r="T539" s="2">
        <f t="shared" si="43"/>
        <v>77793.37151380768</v>
      </c>
      <c r="W539" s="2">
        <f t="shared" si="44"/>
        <v>77793.37151380768</v>
      </c>
    </row>
    <row r="540" spans="1:23">
      <c r="A540">
        <v>1533</v>
      </c>
      <c r="B540">
        <v>7</v>
      </c>
      <c r="C540">
        <v>4</v>
      </c>
      <c r="D540">
        <v>-0.80700000000000005</v>
      </c>
      <c r="E540" s="2">
        <f t="shared" si="40"/>
        <v>-1</v>
      </c>
      <c r="F540" s="2">
        <f t="shared" si="41"/>
        <v>419</v>
      </c>
      <c r="G540">
        <v>-0.64700000000000002</v>
      </c>
      <c r="H540">
        <v>0.52300000000000002</v>
      </c>
      <c r="I540">
        <v>0.39100000000000001</v>
      </c>
      <c r="J540">
        <v>0.33200000000000002</v>
      </c>
      <c r="K540">
        <v>0.31900000000000001</v>
      </c>
      <c r="L540">
        <v>-99.998999999999995</v>
      </c>
      <c r="M540">
        <v>-99.998999999999995</v>
      </c>
      <c r="Q540" s="2">
        <f t="shared" si="42"/>
        <v>-1.8510483377304334</v>
      </c>
      <c r="T540" s="2">
        <f t="shared" si="43"/>
        <v>131267.60103357115</v>
      </c>
      <c r="W540" s="2">
        <f t="shared" si="44"/>
        <v>131267.60103357115</v>
      </c>
    </row>
    <row r="541" spans="1:23">
      <c r="A541">
        <v>1534</v>
      </c>
      <c r="B541">
        <v>7</v>
      </c>
      <c r="C541">
        <v>4</v>
      </c>
      <c r="D541">
        <v>1.63</v>
      </c>
      <c r="E541" s="2">
        <f t="shared" si="40"/>
        <v>1.5</v>
      </c>
      <c r="F541" s="2">
        <f t="shared" si="41"/>
        <v>814</v>
      </c>
      <c r="G541">
        <v>-0.40100000000000002</v>
      </c>
      <c r="H541">
        <v>0.52300000000000002</v>
      </c>
      <c r="I541">
        <v>0.39100000000000001</v>
      </c>
      <c r="J541">
        <v>0.33200000000000002</v>
      </c>
      <c r="K541">
        <v>0.31900000000000001</v>
      </c>
      <c r="L541">
        <v>-99.998999999999995</v>
      </c>
      <c r="M541">
        <v>-99.998999999999995</v>
      </c>
      <c r="Q541" s="2">
        <f t="shared" si="42"/>
        <v>-1.1952537927115587</v>
      </c>
      <c r="T541" s="2">
        <f t="shared" si="43"/>
        <v>186603.7782478657</v>
      </c>
      <c r="W541" s="2">
        <f t="shared" si="44"/>
        <v>186603.7782478657</v>
      </c>
    </row>
    <row r="542" spans="1:23">
      <c r="A542">
        <v>1535</v>
      </c>
      <c r="B542">
        <v>7</v>
      </c>
      <c r="C542">
        <v>4</v>
      </c>
      <c r="D542">
        <v>-1.7729999999999999</v>
      </c>
      <c r="E542" s="2">
        <f t="shared" si="40"/>
        <v>-2</v>
      </c>
      <c r="F542" s="2">
        <f t="shared" si="41"/>
        <v>280</v>
      </c>
      <c r="G542">
        <v>-0.14599999999999999</v>
      </c>
      <c r="H542">
        <v>0.52300000000000002</v>
      </c>
      <c r="I542">
        <v>0.39100000000000001</v>
      </c>
      <c r="J542">
        <v>0.33200000000000002</v>
      </c>
      <c r="K542">
        <v>0.31900000000000001</v>
      </c>
      <c r="L542">
        <v>-99.998999999999995</v>
      </c>
      <c r="M542">
        <v>-99.998999999999995</v>
      </c>
      <c r="Q542" s="2">
        <f t="shared" si="42"/>
        <v>-2.1109980835196138</v>
      </c>
      <c r="T542" s="2">
        <f t="shared" si="43"/>
        <v>109332.94892482742</v>
      </c>
      <c r="W542" s="2">
        <f t="shared" si="44"/>
        <v>109332.94892482742</v>
      </c>
    </row>
    <row r="543" spans="1:23">
      <c r="A543">
        <v>1536</v>
      </c>
      <c r="B543">
        <v>7</v>
      </c>
      <c r="C543">
        <v>4</v>
      </c>
      <c r="D543">
        <v>0.30399999999999999</v>
      </c>
      <c r="E543" s="2">
        <f t="shared" si="40"/>
        <v>0.5</v>
      </c>
      <c r="F543" s="2">
        <f t="shared" si="41"/>
        <v>623</v>
      </c>
      <c r="G543">
        <v>0.10100000000000001</v>
      </c>
      <c r="H543">
        <v>0.52300000000000002</v>
      </c>
      <c r="I543">
        <v>0.39100000000000001</v>
      </c>
      <c r="J543">
        <v>0.33200000000000002</v>
      </c>
      <c r="K543">
        <v>0.31900000000000001</v>
      </c>
      <c r="L543">
        <v>-99.998999999999995</v>
      </c>
      <c r="M543">
        <v>-99.998999999999995</v>
      </c>
      <c r="Q543" s="2">
        <f t="shared" si="42"/>
        <v>-1.5520792201613034</v>
      </c>
      <c r="T543" s="2">
        <f t="shared" si="43"/>
        <v>156494.72162654664</v>
      </c>
      <c r="W543" s="2">
        <f t="shared" si="44"/>
        <v>156494.72162654664</v>
      </c>
    </row>
    <row r="544" spans="1:23">
      <c r="A544">
        <v>1537</v>
      </c>
      <c r="B544">
        <v>7</v>
      </c>
      <c r="C544">
        <v>4</v>
      </c>
      <c r="D544">
        <v>0.22800000000000001</v>
      </c>
      <c r="E544" s="2">
        <f t="shared" si="40"/>
        <v>0</v>
      </c>
      <c r="F544" s="2">
        <f t="shared" si="41"/>
        <v>600</v>
      </c>
      <c r="G544">
        <v>0.32100000000000001</v>
      </c>
      <c r="H544">
        <v>0.52300000000000002</v>
      </c>
      <c r="I544">
        <v>0.39100000000000001</v>
      </c>
      <c r="J544">
        <v>0.33200000000000002</v>
      </c>
      <c r="K544">
        <v>0.31900000000000001</v>
      </c>
      <c r="L544">
        <v>-99.998999999999995</v>
      </c>
      <c r="M544">
        <v>-99.998999999999995</v>
      </c>
      <c r="Q544" s="2">
        <f t="shared" si="42"/>
        <v>-1.5725307529563115</v>
      </c>
      <c r="T544" s="2">
        <f t="shared" si="43"/>
        <v>154769.01400722517</v>
      </c>
      <c r="W544" s="2">
        <f t="shared" si="44"/>
        <v>154769.01400722517</v>
      </c>
    </row>
    <row r="545" spans="1:23">
      <c r="A545">
        <v>1538</v>
      </c>
      <c r="B545">
        <v>7</v>
      </c>
      <c r="C545">
        <v>4</v>
      </c>
      <c r="D545">
        <v>1.66</v>
      </c>
      <c r="E545" s="2">
        <f t="shared" si="40"/>
        <v>1.5</v>
      </c>
      <c r="F545" s="2">
        <f t="shared" si="41"/>
        <v>821</v>
      </c>
      <c r="G545">
        <v>0.49099999999999999</v>
      </c>
      <c r="H545">
        <v>0.52300000000000002</v>
      </c>
      <c r="I545">
        <v>0.39100000000000001</v>
      </c>
      <c r="J545">
        <v>0.33200000000000002</v>
      </c>
      <c r="K545">
        <v>0.31900000000000001</v>
      </c>
      <c r="L545">
        <v>-99.998999999999995</v>
      </c>
      <c r="M545">
        <v>-99.998999999999995</v>
      </c>
      <c r="Q545" s="2">
        <f t="shared" si="42"/>
        <v>-1.1871808192398452</v>
      </c>
      <c r="T545" s="2">
        <f t="shared" si="43"/>
        <v>187284.97862391366</v>
      </c>
      <c r="W545" s="2">
        <f t="shared" si="44"/>
        <v>187284.97862391366</v>
      </c>
    </row>
    <row r="546" spans="1:23">
      <c r="A546">
        <v>1539</v>
      </c>
      <c r="B546">
        <v>7</v>
      </c>
      <c r="C546">
        <v>4</v>
      </c>
      <c r="D546">
        <v>0.80400000000000005</v>
      </c>
      <c r="E546" s="2">
        <f t="shared" si="40"/>
        <v>1</v>
      </c>
      <c r="F546" s="2">
        <f t="shared" si="41"/>
        <v>700</v>
      </c>
      <c r="G546">
        <v>0.58899999999999997</v>
      </c>
      <c r="H546">
        <v>0.52300000000000002</v>
      </c>
      <c r="I546">
        <v>0.39100000000000001</v>
      </c>
      <c r="J546">
        <v>0.33200000000000002</v>
      </c>
      <c r="K546">
        <v>0.31900000000000001</v>
      </c>
      <c r="L546">
        <v>-99.998999999999995</v>
      </c>
      <c r="M546">
        <v>-99.998999999999995</v>
      </c>
      <c r="Q546" s="2">
        <f t="shared" si="42"/>
        <v>-1.4175296622994087</v>
      </c>
      <c r="T546" s="2">
        <f t="shared" si="43"/>
        <v>167848.06122734569</v>
      </c>
      <c r="W546" s="2">
        <f t="shared" si="44"/>
        <v>167848.06122734569</v>
      </c>
    </row>
    <row r="547" spans="1:23">
      <c r="A547">
        <v>1540</v>
      </c>
      <c r="B547">
        <v>7</v>
      </c>
      <c r="C547">
        <v>4</v>
      </c>
      <c r="D547">
        <v>6.9279999999999999</v>
      </c>
      <c r="E547" s="2">
        <f t="shared" si="40"/>
        <v>7</v>
      </c>
      <c r="F547" s="2">
        <f t="shared" si="41"/>
        <v>1008</v>
      </c>
      <c r="G547">
        <v>0.60099999999999998</v>
      </c>
      <c r="H547">
        <v>0.52300000000000002</v>
      </c>
      <c r="I547">
        <v>0.39100000000000001</v>
      </c>
      <c r="J547">
        <v>0.33200000000000002</v>
      </c>
      <c r="K547">
        <v>0.31900000000000001</v>
      </c>
      <c r="L547">
        <v>-99.998999999999995</v>
      </c>
      <c r="M547">
        <v>-99.998999999999995</v>
      </c>
      <c r="Q547" s="2">
        <f t="shared" si="42"/>
        <v>0.23043332239307701</v>
      </c>
      <c r="T547" s="2">
        <f t="shared" si="43"/>
        <v>306903.76465793239</v>
      </c>
      <c r="W547" s="2">
        <f t="shared" si="44"/>
        <v>306903.76465793239</v>
      </c>
    </row>
    <row r="548" spans="1:23">
      <c r="A548">
        <v>1541</v>
      </c>
      <c r="B548">
        <v>7</v>
      </c>
      <c r="C548">
        <v>4</v>
      </c>
      <c r="D548">
        <v>2.57</v>
      </c>
      <c r="E548" s="2">
        <f t="shared" si="40"/>
        <v>2.5</v>
      </c>
      <c r="F548" s="2">
        <f t="shared" si="41"/>
        <v>908</v>
      </c>
      <c r="G548">
        <v>0.52900000000000003</v>
      </c>
      <c r="H548">
        <v>0.52300000000000002</v>
      </c>
      <c r="I548">
        <v>0.39100000000000001</v>
      </c>
      <c r="J548">
        <v>0.33200000000000002</v>
      </c>
      <c r="K548">
        <v>0.31900000000000001</v>
      </c>
      <c r="L548">
        <v>-99.998999999999995</v>
      </c>
      <c r="M548">
        <v>-99.998999999999995</v>
      </c>
      <c r="Q548" s="2">
        <f t="shared" si="42"/>
        <v>-0.94230062393119696</v>
      </c>
      <c r="T548" s="2">
        <f t="shared" si="43"/>
        <v>207948.05669736789</v>
      </c>
      <c r="W548" s="2">
        <f t="shared" si="44"/>
        <v>207948.05669736789</v>
      </c>
    </row>
    <row r="549" spans="1:23">
      <c r="A549">
        <v>1542</v>
      </c>
      <c r="B549">
        <v>7</v>
      </c>
      <c r="C549">
        <v>4</v>
      </c>
      <c r="D549">
        <v>-2.6419999999999999</v>
      </c>
      <c r="E549" s="2">
        <f t="shared" si="40"/>
        <v>-2.5</v>
      </c>
      <c r="F549" s="2">
        <f t="shared" si="41"/>
        <v>160</v>
      </c>
      <c r="G549">
        <v>0.41699999999999998</v>
      </c>
      <c r="H549">
        <v>0.52300000000000002</v>
      </c>
      <c r="I549">
        <v>0.39100000000000001</v>
      </c>
      <c r="J549">
        <v>0.33200000000000002</v>
      </c>
      <c r="K549">
        <v>0.31900000000000001</v>
      </c>
      <c r="L549">
        <v>-99.998999999999995</v>
      </c>
      <c r="M549">
        <v>-99.998999999999995</v>
      </c>
      <c r="Q549" s="2">
        <f t="shared" si="42"/>
        <v>-2.3448452150835868</v>
      </c>
      <c r="T549" s="2">
        <f t="shared" si="43"/>
        <v>89600.844698638655</v>
      </c>
      <c r="W549" s="2">
        <f t="shared" si="44"/>
        <v>89600.844698638655</v>
      </c>
    </row>
    <row r="550" spans="1:23">
      <c r="A550">
        <v>1543</v>
      </c>
      <c r="B550">
        <v>7</v>
      </c>
      <c r="C550">
        <v>4</v>
      </c>
      <c r="D550">
        <v>-0.19400000000000001</v>
      </c>
      <c r="E550" s="2">
        <f t="shared" si="40"/>
        <v>0</v>
      </c>
      <c r="F550" s="2">
        <f t="shared" si="41"/>
        <v>537</v>
      </c>
      <c r="G550">
        <v>0.32800000000000001</v>
      </c>
      <c r="H550">
        <v>0.52300000000000002</v>
      </c>
      <c r="I550">
        <v>0.39100000000000001</v>
      </c>
      <c r="J550">
        <v>0.33200000000000002</v>
      </c>
      <c r="K550">
        <v>0.31900000000000001</v>
      </c>
      <c r="L550">
        <v>-99.998999999999995</v>
      </c>
      <c r="M550">
        <v>-99.998999999999995</v>
      </c>
      <c r="Q550" s="2">
        <f t="shared" si="42"/>
        <v>-1.6860905797917505</v>
      </c>
      <c r="T550" s="2">
        <f t="shared" si="43"/>
        <v>145186.79538415078</v>
      </c>
      <c r="W550" s="2">
        <f t="shared" si="44"/>
        <v>145186.79538415078</v>
      </c>
    </row>
    <row r="551" spans="1:23">
      <c r="A551">
        <v>1544</v>
      </c>
      <c r="B551">
        <v>7</v>
      </c>
      <c r="C551">
        <v>4</v>
      </c>
      <c r="D551">
        <v>-6.0030000000000001</v>
      </c>
      <c r="E551" s="2">
        <f t="shared" si="40"/>
        <v>-6</v>
      </c>
      <c r="F551" s="2">
        <f t="shared" si="41"/>
        <v>4</v>
      </c>
      <c r="G551">
        <v>0.308</v>
      </c>
      <c r="H551">
        <v>0.52300000000000002</v>
      </c>
      <c r="I551">
        <v>0.39100000000000001</v>
      </c>
      <c r="J551">
        <v>0.33200000000000002</v>
      </c>
      <c r="K551">
        <v>0.31900000000000001</v>
      </c>
      <c r="L551">
        <v>-99.998999999999995</v>
      </c>
      <c r="M551">
        <v>-99.998999999999995</v>
      </c>
      <c r="Q551" s="2">
        <f t="shared" si="42"/>
        <v>-3.2492873430312423</v>
      </c>
      <c r="T551" s="2">
        <f t="shared" si="43"/>
        <v>13283.695902067528</v>
      </c>
      <c r="W551" s="2">
        <f t="shared" si="44"/>
        <v>13283.695902067528</v>
      </c>
    </row>
    <row r="552" spans="1:23">
      <c r="A552">
        <v>1545</v>
      </c>
      <c r="B552">
        <v>7</v>
      </c>
      <c r="C552">
        <v>4</v>
      </c>
      <c r="D552">
        <v>0.23200000000000001</v>
      </c>
      <c r="E552" s="2">
        <f t="shared" si="40"/>
        <v>0</v>
      </c>
      <c r="F552" s="2">
        <f t="shared" si="41"/>
        <v>607</v>
      </c>
      <c r="G552">
        <v>0.38600000000000001</v>
      </c>
      <c r="H552">
        <v>0.52300000000000002</v>
      </c>
      <c r="I552">
        <v>0.39100000000000001</v>
      </c>
      <c r="J552">
        <v>0.33200000000000002</v>
      </c>
      <c r="K552">
        <v>0.31900000000000001</v>
      </c>
      <c r="L552">
        <v>-99.998999999999995</v>
      </c>
      <c r="M552">
        <v>-99.998999999999995</v>
      </c>
      <c r="Q552" s="2">
        <f t="shared" si="42"/>
        <v>-1.5714543564934162</v>
      </c>
      <c r="T552" s="2">
        <f t="shared" si="43"/>
        <v>154859.84072403159</v>
      </c>
      <c r="W552" s="2">
        <f t="shared" si="44"/>
        <v>154859.84072403159</v>
      </c>
    </row>
    <row r="553" spans="1:23">
      <c r="A553">
        <v>1546</v>
      </c>
      <c r="B553">
        <v>7</v>
      </c>
      <c r="C553">
        <v>4</v>
      </c>
      <c r="D553">
        <v>0.13800000000000001</v>
      </c>
      <c r="E553" s="2">
        <f t="shared" si="40"/>
        <v>0</v>
      </c>
      <c r="F553" s="2">
        <f t="shared" si="41"/>
        <v>587</v>
      </c>
      <c r="G553">
        <v>0.54500000000000004</v>
      </c>
      <c r="H553">
        <v>0.52300000000000002</v>
      </c>
      <c r="I553">
        <v>0.39100000000000001</v>
      </c>
      <c r="J553">
        <v>0.33200000000000002</v>
      </c>
      <c r="K553">
        <v>0.31900000000000001</v>
      </c>
      <c r="L553">
        <v>-99.998999999999995</v>
      </c>
      <c r="M553">
        <v>-99.998999999999995</v>
      </c>
      <c r="Q553" s="2">
        <f t="shared" si="42"/>
        <v>-1.5967496733714523</v>
      </c>
      <c r="T553" s="2">
        <f t="shared" si="43"/>
        <v>152725.41287908136</v>
      </c>
      <c r="W553" s="2">
        <f t="shared" si="44"/>
        <v>152725.41287908136</v>
      </c>
    </row>
    <row r="554" spans="1:23">
      <c r="A554">
        <v>1547</v>
      </c>
      <c r="B554">
        <v>7</v>
      </c>
      <c r="C554">
        <v>4</v>
      </c>
      <c r="D554">
        <v>-0.375</v>
      </c>
      <c r="E554" s="2">
        <f t="shared" si="40"/>
        <v>-0.5</v>
      </c>
      <c r="F554" s="2">
        <f t="shared" si="41"/>
        <v>504</v>
      </c>
      <c r="G554">
        <v>0.76100000000000001</v>
      </c>
      <c r="H554">
        <v>0.52300000000000002</v>
      </c>
      <c r="I554">
        <v>0.39100000000000001</v>
      </c>
      <c r="J554">
        <v>0.33200000000000002</v>
      </c>
      <c r="K554">
        <v>0.31900000000000001</v>
      </c>
      <c r="L554">
        <v>-99.998999999999995</v>
      </c>
      <c r="M554">
        <v>-99.998999999999995</v>
      </c>
      <c r="Q554" s="2">
        <f t="shared" si="42"/>
        <v>-1.7347975197377563</v>
      </c>
      <c r="T554" s="2">
        <f t="shared" si="43"/>
        <v>141076.88644866153</v>
      </c>
      <c r="W554" s="2">
        <f t="shared" si="44"/>
        <v>141076.88644866153</v>
      </c>
    </row>
    <row r="555" spans="1:23">
      <c r="A555">
        <v>1548</v>
      </c>
      <c r="B555">
        <v>7</v>
      </c>
      <c r="C555">
        <v>4</v>
      </c>
      <c r="D555">
        <v>3</v>
      </c>
      <c r="E555" s="2">
        <f t="shared" si="40"/>
        <v>3</v>
      </c>
      <c r="F555" s="2">
        <f t="shared" si="41"/>
        <v>937</v>
      </c>
      <c r="G555">
        <v>1.0009999999999999</v>
      </c>
      <c r="H555">
        <v>0.52300000000000002</v>
      </c>
      <c r="I555">
        <v>0.39100000000000001</v>
      </c>
      <c r="J555">
        <v>0.33200000000000002</v>
      </c>
      <c r="K555">
        <v>0.31900000000000001</v>
      </c>
      <c r="L555">
        <v>-99.998999999999995</v>
      </c>
      <c r="M555">
        <v>-99.998999999999995</v>
      </c>
      <c r="Q555" s="2">
        <f t="shared" si="42"/>
        <v>-0.82658800416996747</v>
      </c>
      <c r="T555" s="2">
        <f t="shared" si="43"/>
        <v>217711.92875405509</v>
      </c>
      <c r="W555" s="2">
        <f t="shared" si="44"/>
        <v>217711.92875405509</v>
      </c>
    </row>
    <row r="556" spans="1:23">
      <c r="A556">
        <v>1549</v>
      </c>
      <c r="B556">
        <v>7</v>
      </c>
      <c r="C556">
        <v>4</v>
      </c>
      <c r="D556">
        <v>1.276</v>
      </c>
      <c r="E556" s="2">
        <f t="shared" si="40"/>
        <v>1.5</v>
      </c>
      <c r="F556" s="2">
        <f t="shared" si="41"/>
        <v>771</v>
      </c>
      <c r="G556">
        <v>1.23</v>
      </c>
      <c r="H556">
        <v>0.52300000000000002</v>
      </c>
      <c r="I556">
        <v>0.39100000000000001</v>
      </c>
      <c r="J556">
        <v>0.33200000000000002</v>
      </c>
      <c r="K556">
        <v>0.31900000000000001</v>
      </c>
      <c r="L556">
        <v>-99.998999999999995</v>
      </c>
      <c r="M556">
        <v>-99.998999999999995</v>
      </c>
      <c r="Q556" s="2">
        <f t="shared" si="42"/>
        <v>-1.2905148796777803</v>
      </c>
      <c r="T556" s="2">
        <f t="shared" si="43"/>
        <v>178565.61381049996</v>
      </c>
      <c r="W556" s="2">
        <f t="shared" si="44"/>
        <v>178565.61381049996</v>
      </c>
    </row>
    <row r="557" spans="1:23">
      <c r="A557">
        <v>1550</v>
      </c>
      <c r="B557">
        <v>7</v>
      </c>
      <c r="C557">
        <v>4</v>
      </c>
      <c r="D557">
        <v>2.76</v>
      </c>
      <c r="E557" s="2">
        <f t="shared" si="40"/>
        <v>3</v>
      </c>
      <c r="F557" s="2">
        <f t="shared" si="41"/>
        <v>924</v>
      </c>
      <c r="G557">
        <v>1.423</v>
      </c>
      <c r="H557">
        <v>0.52300000000000002</v>
      </c>
      <c r="I557">
        <v>0.39100000000000001</v>
      </c>
      <c r="J557">
        <v>0.33200000000000002</v>
      </c>
      <c r="K557">
        <v>0.31900000000000001</v>
      </c>
      <c r="L557">
        <v>-99.998999999999995</v>
      </c>
      <c r="M557">
        <v>-99.998999999999995</v>
      </c>
      <c r="Q557" s="2">
        <f t="shared" si="42"/>
        <v>-0.89117179194367702</v>
      </c>
      <c r="T557" s="2">
        <f t="shared" si="43"/>
        <v>212262.32574567152</v>
      </c>
      <c r="W557" s="2">
        <f t="shared" si="44"/>
        <v>212262.32574567152</v>
      </c>
    </row>
    <row r="558" spans="1:23">
      <c r="A558">
        <v>1551</v>
      </c>
      <c r="B558">
        <v>7</v>
      </c>
      <c r="C558">
        <v>4</v>
      </c>
      <c r="D558">
        <v>1.44</v>
      </c>
      <c r="E558" s="2">
        <f t="shared" si="40"/>
        <v>1.5</v>
      </c>
      <c r="F558" s="2">
        <f t="shared" si="41"/>
        <v>793</v>
      </c>
      <c r="G558">
        <v>1.56</v>
      </c>
      <c r="H558">
        <v>0.52300000000000002</v>
      </c>
      <c r="I558">
        <v>0.39100000000000001</v>
      </c>
      <c r="J558">
        <v>0.33200000000000002</v>
      </c>
      <c r="K558">
        <v>0.31900000000000001</v>
      </c>
      <c r="L558">
        <v>-99.998999999999995</v>
      </c>
      <c r="M558">
        <v>-99.998999999999995</v>
      </c>
      <c r="Q558" s="2">
        <f t="shared" si="42"/>
        <v>-1.2463826246990788</v>
      </c>
      <c r="T558" s="2">
        <f t="shared" si="43"/>
        <v>182289.50919956208</v>
      </c>
      <c r="W558" s="2">
        <f t="shared" si="44"/>
        <v>182289.50919956208</v>
      </c>
    </row>
    <row r="559" spans="1:23">
      <c r="A559">
        <v>1552</v>
      </c>
      <c r="B559">
        <v>7</v>
      </c>
      <c r="C559">
        <v>4</v>
      </c>
      <c r="D559">
        <v>1.173</v>
      </c>
      <c r="E559" s="2">
        <f t="shared" si="40"/>
        <v>1</v>
      </c>
      <c r="F559" s="2">
        <f t="shared" si="41"/>
        <v>757</v>
      </c>
      <c r="G559">
        <v>1.631</v>
      </c>
      <c r="H559">
        <v>0.52300000000000002</v>
      </c>
      <c r="I559">
        <v>0.39100000000000001</v>
      </c>
      <c r="J559">
        <v>0.33200000000000002</v>
      </c>
      <c r="K559">
        <v>0.31900000000000001</v>
      </c>
      <c r="L559">
        <v>-99.998999999999995</v>
      </c>
      <c r="M559">
        <v>-99.998999999999995</v>
      </c>
      <c r="Q559" s="2">
        <f t="shared" si="42"/>
        <v>-1.3182320885973304</v>
      </c>
      <c r="T559" s="2">
        <f t="shared" si="43"/>
        <v>176226.82585273538</v>
      </c>
      <c r="W559" s="2">
        <f t="shared" si="44"/>
        <v>176226.82585273538</v>
      </c>
    </row>
    <row r="560" spans="1:23">
      <c r="A560">
        <v>1553</v>
      </c>
      <c r="B560">
        <v>7</v>
      </c>
      <c r="C560">
        <v>4</v>
      </c>
      <c r="D560">
        <v>3.3570000000000002</v>
      </c>
      <c r="E560" s="2">
        <f t="shared" si="40"/>
        <v>3.5</v>
      </c>
      <c r="F560" s="2">
        <f t="shared" si="41"/>
        <v>953</v>
      </c>
      <c r="G560">
        <v>1.627</v>
      </c>
      <c r="H560">
        <v>0.52300000000000002</v>
      </c>
      <c r="I560">
        <v>0.39100000000000001</v>
      </c>
      <c r="J560">
        <v>0.33200000000000002</v>
      </c>
      <c r="K560">
        <v>0.31900000000000001</v>
      </c>
      <c r="L560">
        <v>-99.998999999999995</v>
      </c>
      <c r="M560">
        <v>-99.998999999999995</v>
      </c>
      <c r="Q560" s="2">
        <f t="shared" si="42"/>
        <v>-0.73051961985657465</v>
      </c>
      <c r="T560" s="2">
        <f t="shared" si="43"/>
        <v>225818.2132290256</v>
      </c>
      <c r="W560" s="2">
        <f t="shared" si="44"/>
        <v>225818.2132290256</v>
      </c>
    </row>
    <row r="561" spans="1:23">
      <c r="A561">
        <v>1554</v>
      </c>
      <c r="B561">
        <v>7</v>
      </c>
      <c r="C561">
        <v>5</v>
      </c>
      <c r="D561">
        <v>5.6689999999999996</v>
      </c>
      <c r="E561" s="2">
        <f t="shared" si="40"/>
        <v>5.5</v>
      </c>
      <c r="F561" s="2">
        <f t="shared" si="41"/>
        <v>1004</v>
      </c>
      <c r="G561">
        <v>1.536</v>
      </c>
      <c r="H561">
        <v>0.52300000000000002</v>
      </c>
      <c r="I561">
        <v>0.39100000000000001</v>
      </c>
      <c r="J561">
        <v>0.33200000000000002</v>
      </c>
      <c r="K561">
        <v>0.31900000000000001</v>
      </c>
      <c r="L561">
        <v>-99.998999999999995</v>
      </c>
      <c r="M561">
        <v>-99.998999999999995</v>
      </c>
      <c r="Q561" s="2">
        <f t="shared" si="42"/>
        <v>-0.10836246430317398</v>
      </c>
      <c r="T561" s="2">
        <f t="shared" si="43"/>
        <v>278316.05554312037</v>
      </c>
      <c r="W561" s="2">
        <f t="shared" si="44"/>
        <v>278316.05554312037</v>
      </c>
    </row>
    <row r="562" spans="1:23">
      <c r="A562">
        <v>1555</v>
      </c>
      <c r="B562">
        <v>7</v>
      </c>
      <c r="C562">
        <v>5</v>
      </c>
      <c r="D562">
        <v>-1.321</v>
      </c>
      <c r="E562" s="2">
        <f t="shared" si="40"/>
        <v>-1.5</v>
      </c>
      <c r="F562" s="2">
        <f t="shared" si="41"/>
        <v>351</v>
      </c>
      <c r="G562">
        <v>1.3660000000000001</v>
      </c>
      <c r="H562">
        <v>0.52300000000000002</v>
      </c>
      <c r="I562">
        <v>0.39100000000000001</v>
      </c>
      <c r="J562">
        <v>0.33200000000000002</v>
      </c>
      <c r="K562">
        <v>0.31900000000000001</v>
      </c>
      <c r="L562">
        <v>-99.998999999999995</v>
      </c>
      <c r="M562">
        <v>-99.998999999999995</v>
      </c>
      <c r="Q562" s="2">
        <f t="shared" si="42"/>
        <v>-1.9893652832124611</v>
      </c>
      <c r="T562" s="2">
        <f t="shared" si="43"/>
        <v>119596.36792394973</v>
      </c>
      <c r="W562" s="2">
        <f t="shared" si="44"/>
        <v>119596.36792394973</v>
      </c>
    </row>
    <row r="563" spans="1:23">
      <c r="A563">
        <v>1556</v>
      </c>
      <c r="B563">
        <v>7</v>
      </c>
      <c r="C563">
        <v>5</v>
      </c>
      <c r="D563">
        <v>-0.43099999999999999</v>
      </c>
      <c r="E563" s="2">
        <f t="shared" si="40"/>
        <v>-0.5</v>
      </c>
      <c r="F563" s="2">
        <f t="shared" si="41"/>
        <v>490</v>
      </c>
      <c r="G563">
        <v>1.1499999999999999</v>
      </c>
      <c r="H563">
        <v>0.52300000000000002</v>
      </c>
      <c r="I563">
        <v>0.39100000000000001</v>
      </c>
      <c r="J563">
        <v>0.33200000000000002</v>
      </c>
      <c r="K563">
        <v>0.31900000000000001</v>
      </c>
      <c r="L563">
        <v>-99.998999999999995</v>
      </c>
      <c r="M563">
        <v>-99.998999999999995</v>
      </c>
      <c r="Q563" s="2">
        <f t="shared" si="42"/>
        <v>-1.7498670702182886</v>
      </c>
      <c r="T563" s="2">
        <f t="shared" si="43"/>
        <v>139805.31241337204</v>
      </c>
      <c r="W563" s="2">
        <f t="shared" si="44"/>
        <v>139805.31241337204</v>
      </c>
    </row>
    <row r="564" spans="1:23">
      <c r="A564">
        <v>1557</v>
      </c>
      <c r="B564">
        <v>7</v>
      </c>
      <c r="C564">
        <v>5</v>
      </c>
      <c r="D564">
        <v>0.997</v>
      </c>
      <c r="E564" s="2">
        <f t="shared" si="40"/>
        <v>1</v>
      </c>
      <c r="F564" s="2">
        <f t="shared" si="41"/>
        <v>729</v>
      </c>
      <c r="G564">
        <v>0.90500000000000003</v>
      </c>
      <c r="H564">
        <v>0.52300000000000002</v>
      </c>
      <c r="I564">
        <v>0.39100000000000001</v>
      </c>
      <c r="J564">
        <v>0.33200000000000002</v>
      </c>
      <c r="K564">
        <v>0.31900000000000001</v>
      </c>
      <c r="L564">
        <v>-99.998999999999995</v>
      </c>
      <c r="M564">
        <v>-99.998999999999995</v>
      </c>
      <c r="Q564" s="2">
        <f t="shared" si="42"/>
        <v>-1.3655935329647175</v>
      </c>
      <c r="T564" s="2">
        <f t="shared" si="43"/>
        <v>172230.45031325408</v>
      </c>
      <c r="W564" s="2">
        <f t="shared" si="44"/>
        <v>172230.45031325408</v>
      </c>
    </row>
    <row r="565" spans="1:23">
      <c r="A565">
        <v>1558</v>
      </c>
      <c r="B565">
        <v>7</v>
      </c>
      <c r="C565">
        <v>5</v>
      </c>
      <c r="D565">
        <v>2.27</v>
      </c>
      <c r="E565" s="2">
        <f t="shared" si="40"/>
        <v>2.5</v>
      </c>
      <c r="F565" s="2">
        <f t="shared" si="41"/>
        <v>883</v>
      </c>
      <c r="G565">
        <v>0.63700000000000001</v>
      </c>
      <c r="H565">
        <v>0.52300000000000002</v>
      </c>
      <c r="I565">
        <v>0.39100000000000001</v>
      </c>
      <c r="J565">
        <v>0.33200000000000002</v>
      </c>
      <c r="K565">
        <v>0.31900000000000001</v>
      </c>
      <c r="L565">
        <v>-99.998999999999995</v>
      </c>
      <c r="M565">
        <v>-99.998999999999995</v>
      </c>
      <c r="Q565" s="2">
        <f t="shared" si="42"/>
        <v>-1.0230303586483336</v>
      </c>
      <c r="T565" s="2">
        <f t="shared" si="43"/>
        <v>201136.05293688847</v>
      </c>
      <c r="W565" s="2">
        <f t="shared" si="44"/>
        <v>201136.05293688847</v>
      </c>
    </row>
    <row r="566" spans="1:23">
      <c r="A566">
        <v>1559</v>
      </c>
      <c r="B566">
        <v>7</v>
      </c>
      <c r="C566">
        <v>5</v>
      </c>
      <c r="D566">
        <v>2.0049999999999999</v>
      </c>
      <c r="E566" s="2">
        <f t="shared" si="40"/>
        <v>2</v>
      </c>
      <c r="F566" s="2">
        <f t="shared" si="41"/>
        <v>850</v>
      </c>
      <c r="G566">
        <v>0.35</v>
      </c>
      <c r="H566">
        <v>0.52300000000000002</v>
      </c>
      <c r="I566">
        <v>0.39100000000000001</v>
      </c>
      <c r="J566">
        <v>0.33200000000000002</v>
      </c>
      <c r="K566">
        <v>0.31900000000000001</v>
      </c>
      <c r="L566">
        <v>-99.998999999999995</v>
      </c>
      <c r="M566">
        <v>-99.998999999999995</v>
      </c>
      <c r="Q566" s="2">
        <f t="shared" si="42"/>
        <v>-1.0943416243151378</v>
      </c>
      <c r="T566" s="2">
        <f t="shared" si="43"/>
        <v>195118.78294846497</v>
      </c>
      <c r="W566" s="2">
        <f t="shared" si="44"/>
        <v>195118.78294846497</v>
      </c>
    </row>
    <row r="567" spans="1:23">
      <c r="A567">
        <v>1560</v>
      </c>
      <c r="B567">
        <v>7</v>
      </c>
      <c r="C567">
        <v>5</v>
      </c>
      <c r="D567">
        <v>-3.67</v>
      </c>
      <c r="E567" s="2">
        <f t="shared" si="40"/>
        <v>-3.5</v>
      </c>
      <c r="F567" s="2">
        <f t="shared" si="41"/>
        <v>61</v>
      </c>
      <c r="G567">
        <v>6.4000000000000001E-2</v>
      </c>
      <c r="H567">
        <v>0.52300000000000002</v>
      </c>
      <c r="I567">
        <v>0.39100000000000001</v>
      </c>
      <c r="J567">
        <v>0.33200000000000002</v>
      </c>
      <c r="K567">
        <v>0.31900000000000001</v>
      </c>
      <c r="L567">
        <v>-99.998999999999995</v>
      </c>
      <c r="M567">
        <v>-99.998999999999995</v>
      </c>
      <c r="Q567" s="2">
        <f t="shared" si="42"/>
        <v>-2.6214791060476421</v>
      </c>
      <c r="T567" s="2">
        <f t="shared" si="43"/>
        <v>66258.378479395848</v>
      </c>
      <c r="W567" s="2">
        <f t="shared" si="44"/>
        <v>66258.378479395848</v>
      </c>
    </row>
    <row r="568" spans="1:23">
      <c r="A568">
        <v>1561</v>
      </c>
      <c r="B568">
        <v>7</v>
      </c>
      <c r="C568">
        <v>5</v>
      </c>
      <c r="D568">
        <v>-0.94899999999999995</v>
      </c>
      <c r="E568" s="2">
        <f t="shared" si="40"/>
        <v>-1</v>
      </c>
      <c r="F568" s="2">
        <f t="shared" si="41"/>
        <v>400</v>
      </c>
      <c r="G568">
        <v>-0.19700000000000001</v>
      </c>
      <c r="H568">
        <v>0.52300000000000002</v>
      </c>
      <c r="I568">
        <v>0.39100000000000001</v>
      </c>
      <c r="J568">
        <v>0.33200000000000002</v>
      </c>
      <c r="K568">
        <v>0.31900000000000001</v>
      </c>
      <c r="L568">
        <v>-99.998999999999995</v>
      </c>
      <c r="M568">
        <v>-99.998999999999995</v>
      </c>
      <c r="Q568" s="2">
        <f t="shared" si="42"/>
        <v>-1.8892604121632115</v>
      </c>
      <c r="T568" s="2">
        <f t="shared" si="43"/>
        <v>128043.25258694423</v>
      </c>
      <c r="W568" s="2">
        <f t="shared" si="44"/>
        <v>128043.25258694423</v>
      </c>
    </row>
    <row r="569" spans="1:23">
      <c r="A569">
        <v>1562</v>
      </c>
      <c r="B569">
        <v>7</v>
      </c>
      <c r="C569">
        <v>5</v>
      </c>
      <c r="D569">
        <v>0.10299999999999999</v>
      </c>
      <c r="E569" s="2">
        <f t="shared" si="40"/>
        <v>0</v>
      </c>
      <c r="F569" s="2">
        <f t="shared" si="41"/>
        <v>582</v>
      </c>
      <c r="G569">
        <v>-0.42899999999999999</v>
      </c>
      <c r="H569">
        <v>0.52300000000000002</v>
      </c>
      <c r="I569">
        <v>0.39100000000000001</v>
      </c>
      <c r="J569">
        <v>0.33200000000000002</v>
      </c>
      <c r="K569">
        <v>0.31900000000000001</v>
      </c>
      <c r="L569">
        <v>-99.998999999999995</v>
      </c>
      <c r="M569">
        <v>-99.998999999999995</v>
      </c>
      <c r="Q569" s="2">
        <f t="shared" si="42"/>
        <v>-1.6061681424217851</v>
      </c>
      <c r="T569" s="2">
        <f t="shared" si="43"/>
        <v>151930.67910702541</v>
      </c>
      <c r="W569" s="2">
        <f t="shared" si="44"/>
        <v>151930.67910702541</v>
      </c>
    </row>
    <row r="570" spans="1:23">
      <c r="A570">
        <v>1563</v>
      </c>
      <c r="B570">
        <v>7</v>
      </c>
      <c r="C570">
        <v>5</v>
      </c>
      <c r="D570">
        <v>-0.56100000000000005</v>
      </c>
      <c r="E570" s="2">
        <f t="shared" si="40"/>
        <v>-0.5</v>
      </c>
      <c r="F570" s="2">
        <f t="shared" si="41"/>
        <v>471</v>
      </c>
      <c r="G570">
        <v>-0.63800000000000001</v>
      </c>
      <c r="H570">
        <v>0.52300000000000002</v>
      </c>
      <c r="I570">
        <v>0.39100000000000001</v>
      </c>
      <c r="J570">
        <v>0.33200000000000002</v>
      </c>
      <c r="K570">
        <v>0.31900000000000001</v>
      </c>
      <c r="L570">
        <v>-99.998999999999995</v>
      </c>
      <c r="M570">
        <v>-99.998999999999995</v>
      </c>
      <c r="Q570" s="2">
        <f t="shared" si="42"/>
        <v>-1.7848499552623811</v>
      </c>
      <c r="T570" s="2">
        <f t="shared" si="43"/>
        <v>136853.4441171643</v>
      </c>
      <c r="W570" s="2">
        <f t="shared" si="44"/>
        <v>136853.4441171643</v>
      </c>
    </row>
    <row r="571" spans="1:23">
      <c r="A571">
        <v>1564</v>
      </c>
      <c r="B571">
        <v>7</v>
      </c>
      <c r="C571">
        <v>5</v>
      </c>
      <c r="D571">
        <v>0.16</v>
      </c>
      <c r="E571" s="2">
        <f t="shared" si="40"/>
        <v>0</v>
      </c>
      <c r="F571" s="2">
        <f t="shared" si="41"/>
        <v>593</v>
      </c>
      <c r="G571">
        <v>-0.83</v>
      </c>
      <c r="H571">
        <v>0.52300000000000002</v>
      </c>
      <c r="I571">
        <v>0.39100000000000001</v>
      </c>
      <c r="J571">
        <v>0.33200000000000002</v>
      </c>
      <c r="K571">
        <v>0.31900000000000001</v>
      </c>
      <c r="L571">
        <v>-99.998999999999995</v>
      </c>
      <c r="M571">
        <v>-99.998999999999995</v>
      </c>
      <c r="Q571" s="2">
        <f t="shared" si="42"/>
        <v>-1.5908294928255291</v>
      </c>
      <c r="T571" s="2">
        <f t="shared" si="43"/>
        <v>153224.9598215165</v>
      </c>
      <c r="W571" s="2">
        <f t="shared" si="44"/>
        <v>153224.9598215165</v>
      </c>
    </row>
    <row r="572" spans="1:23">
      <c r="A572">
        <v>1565</v>
      </c>
      <c r="B572">
        <v>7</v>
      </c>
      <c r="C572">
        <v>5</v>
      </c>
      <c r="D572">
        <v>1.7000000000000001E-2</v>
      </c>
      <c r="E572" s="2">
        <f t="shared" si="40"/>
        <v>0</v>
      </c>
      <c r="F572" s="2">
        <f t="shared" si="41"/>
        <v>569</v>
      </c>
      <c r="G572">
        <v>-1.006</v>
      </c>
      <c r="H572">
        <v>0.52300000000000002</v>
      </c>
      <c r="I572">
        <v>0.39100000000000001</v>
      </c>
      <c r="J572">
        <v>0.33200000000000002</v>
      </c>
      <c r="K572">
        <v>0.31900000000000001</v>
      </c>
      <c r="L572">
        <v>-99.998999999999995</v>
      </c>
      <c r="M572">
        <v>-99.998999999999995</v>
      </c>
      <c r="Q572" s="2">
        <f t="shared" si="42"/>
        <v>-1.6293106663740309</v>
      </c>
      <c r="T572" s="2">
        <f t="shared" si="43"/>
        <v>149977.90469568799</v>
      </c>
      <c r="W572" s="2">
        <f t="shared" si="44"/>
        <v>149977.90469568799</v>
      </c>
    </row>
    <row r="573" spans="1:23">
      <c r="A573">
        <v>1566</v>
      </c>
      <c r="B573">
        <v>7</v>
      </c>
      <c r="C573">
        <v>5</v>
      </c>
      <c r="D573">
        <v>-1.3420000000000001</v>
      </c>
      <c r="E573" s="2">
        <f t="shared" si="40"/>
        <v>-1.5</v>
      </c>
      <c r="F573" s="2">
        <f t="shared" si="41"/>
        <v>348</v>
      </c>
      <c r="G573">
        <v>-1.159</v>
      </c>
      <c r="H573">
        <v>0.52300000000000002</v>
      </c>
      <c r="I573">
        <v>0.39100000000000001</v>
      </c>
      <c r="J573">
        <v>0.33200000000000002</v>
      </c>
      <c r="K573">
        <v>0.31900000000000001</v>
      </c>
      <c r="L573">
        <v>-99.998999999999995</v>
      </c>
      <c r="M573">
        <v>-99.998999999999995</v>
      </c>
      <c r="Q573" s="2">
        <f t="shared" si="42"/>
        <v>-1.9950163646426606</v>
      </c>
      <c r="T573" s="2">
        <f t="shared" si="43"/>
        <v>119119.52766071618</v>
      </c>
      <c r="W573" s="2">
        <f t="shared" si="44"/>
        <v>119119.52766071618</v>
      </c>
    </row>
    <row r="574" spans="1:23">
      <c r="A574">
        <v>1567</v>
      </c>
      <c r="B574">
        <v>7</v>
      </c>
      <c r="C574">
        <v>5</v>
      </c>
      <c r="D574">
        <v>-2.2440000000000002</v>
      </c>
      <c r="E574" s="2">
        <f t="shared" si="40"/>
        <v>-2</v>
      </c>
      <c r="F574" s="2">
        <f t="shared" si="41"/>
        <v>213</v>
      </c>
      <c r="G574">
        <v>-1.276</v>
      </c>
      <c r="H574">
        <v>0.52300000000000002</v>
      </c>
      <c r="I574">
        <v>0.39100000000000001</v>
      </c>
      <c r="J574">
        <v>0.33200000000000002</v>
      </c>
      <c r="K574">
        <v>0.31900000000000001</v>
      </c>
      <c r="L574">
        <v>-99.998999999999995</v>
      </c>
      <c r="M574">
        <v>-99.998999999999995</v>
      </c>
      <c r="Q574" s="2">
        <f t="shared" si="42"/>
        <v>-2.2377437670255187</v>
      </c>
      <c r="T574" s="2">
        <f t="shared" si="43"/>
        <v>98638.103020874696</v>
      </c>
      <c r="W574" s="2">
        <f t="shared" si="44"/>
        <v>98638.103020874696</v>
      </c>
    </row>
    <row r="575" spans="1:23">
      <c r="A575">
        <v>1568</v>
      </c>
      <c r="B575">
        <v>7</v>
      </c>
      <c r="C575">
        <v>5</v>
      </c>
      <c r="D575">
        <v>-1.772</v>
      </c>
      <c r="E575" s="2">
        <f t="shared" si="40"/>
        <v>-2</v>
      </c>
      <c r="F575" s="2">
        <f t="shared" si="41"/>
        <v>281</v>
      </c>
      <c r="G575">
        <v>-1.3420000000000001</v>
      </c>
      <c r="H575">
        <v>0.52300000000000002</v>
      </c>
      <c r="I575">
        <v>0.39200000000000002</v>
      </c>
      <c r="J575">
        <v>0.33200000000000002</v>
      </c>
      <c r="K575">
        <v>0.31900000000000001</v>
      </c>
      <c r="L575">
        <v>-99.998999999999995</v>
      </c>
      <c r="M575">
        <v>-99.998999999999995</v>
      </c>
      <c r="Q575" s="2">
        <f t="shared" si="42"/>
        <v>-2.1107289844038899</v>
      </c>
      <c r="T575" s="2">
        <f t="shared" si="43"/>
        <v>109355.65560402902</v>
      </c>
      <c r="W575" s="2">
        <f t="shared" si="44"/>
        <v>109355.65560402902</v>
      </c>
    </row>
    <row r="576" spans="1:23">
      <c r="A576">
        <v>1569</v>
      </c>
      <c r="B576">
        <v>7</v>
      </c>
      <c r="C576">
        <v>5</v>
      </c>
      <c r="D576">
        <v>-0.78900000000000003</v>
      </c>
      <c r="E576" s="2">
        <f t="shared" si="40"/>
        <v>-1</v>
      </c>
      <c r="F576" s="2">
        <f t="shared" si="41"/>
        <v>424</v>
      </c>
      <c r="G576">
        <v>-1.351</v>
      </c>
      <c r="H576">
        <v>0.52300000000000002</v>
      </c>
      <c r="I576">
        <v>0.39200000000000002</v>
      </c>
      <c r="J576">
        <v>0.33200000000000002</v>
      </c>
      <c r="K576">
        <v>0.31900000000000001</v>
      </c>
      <c r="L576">
        <v>-99.998999999999995</v>
      </c>
      <c r="M576">
        <v>-99.998999999999995</v>
      </c>
      <c r="Q576" s="2">
        <f t="shared" si="42"/>
        <v>-1.8462045536474052</v>
      </c>
      <c r="T576" s="2">
        <f t="shared" si="43"/>
        <v>131676.32125919993</v>
      </c>
      <c r="W576" s="2">
        <f t="shared" si="44"/>
        <v>131676.32125919993</v>
      </c>
    </row>
    <row r="577" spans="1:23">
      <c r="A577">
        <v>1570</v>
      </c>
      <c r="B577">
        <v>7</v>
      </c>
      <c r="C577">
        <v>5</v>
      </c>
      <c r="D577">
        <v>-2.0760000000000001</v>
      </c>
      <c r="E577" s="2">
        <f t="shared" si="40"/>
        <v>-2</v>
      </c>
      <c r="F577" s="2">
        <f t="shared" si="41"/>
        <v>234</v>
      </c>
      <c r="G577">
        <v>-1.3009999999999999</v>
      </c>
      <c r="H577">
        <v>0.52300000000000002</v>
      </c>
      <c r="I577">
        <v>0.39200000000000002</v>
      </c>
      <c r="J577">
        <v>0.33200000000000002</v>
      </c>
      <c r="K577">
        <v>0.31900000000000001</v>
      </c>
      <c r="L577">
        <v>-99.998999999999995</v>
      </c>
      <c r="M577">
        <v>-99.998999999999995</v>
      </c>
      <c r="Q577" s="2">
        <f t="shared" si="42"/>
        <v>-2.1925351155839219</v>
      </c>
      <c r="T577" s="2">
        <f t="shared" si="43"/>
        <v>102452.82512674321</v>
      </c>
      <c r="W577" s="2">
        <f t="shared" si="44"/>
        <v>102452.82512674321</v>
      </c>
    </row>
    <row r="578" spans="1:23">
      <c r="A578">
        <v>1571</v>
      </c>
      <c r="B578">
        <v>7</v>
      </c>
      <c r="C578">
        <v>5</v>
      </c>
      <c r="D578">
        <v>-2.1760000000000002</v>
      </c>
      <c r="E578" s="2">
        <f t="shared" si="40"/>
        <v>-2</v>
      </c>
      <c r="F578" s="2">
        <f t="shared" si="41"/>
        <v>220</v>
      </c>
      <c r="G578">
        <v>-1.1879999999999999</v>
      </c>
      <c r="H578">
        <v>0.52300000000000002</v>
      </c>
      <c r="I578">
        <v>0.39200000000000002</v>
      </c>
      <c r="J578">
        <v>0.33200000000000002</v>
      </c>
      <c r="K578">
        <v>0.31900000000000001</v>
      </c>
      <c r="L578">
        <v>-99.998999999999995</v>
      </c>
      <c r="M578">
        <v>-99.998999999999995</v>
      </c>
      <c r="Q578" s="2">
        <f t="shared" si="42"/>
        <v>-2.2194450271563011</v>
      </c>
      <c r="T578" s="2">
        <f t="shared" si="43"/>
        <v>100182.15720658336</v>
      </c>
      <c r="W578" s="2">
        <f t="shared" si="44"/>
        <v>100182.15720658336</v>
      </c>
    </row>
    <row r="579" spans="1:23">
      <c r="A579">
        <v>1572</v>
      </c>
      <c r="B579">
        <v>7</v>
      </c>
      <c r="C579">
        <v>5</v>
      </c>
      <c r="D579">
        <v>-1.3959999999999999</v>
      </c>
      <c r="E579" s="2">
        <f t="shared" ref="E579:E642" si="45">IF(D579&gt;0,MROUND(D579,0.5),MROUND(D579,-0.5))</f>
        <v>-1.5</v>
      </c>
      <c r="F579" s="2">
        <f t="shared" ref="F579:F642" si="46">RANK(D579,$D$3:$D$1011,1)</f>
        <v>345</v>
      </c>
      <c r="G579">
        <v>-1.0129999999999999</v>
      </c>
      <c r="H579">
        <v>0.52300000000000002</v>
      </c>
      <c r="I579">
        <v>0.39200000000000002</v>
      </c>
      <c r="J579">
        <v>0.33200000000000002</v>
      </c>
      <c r="K579">
        <v>0.31900000000000001</v>
      </c>
      <c r="L579">
        <v>-99.998999999999995</v>
      </c>
      <c r="M579">
        <v>-99.998999999999995</v>
      </c>
      <c r="Q579" s="2">
        <f t="shared" ref="Q579:Q642" si="47">$Q$1022+($Q$1021*D579)</f>
        <v>-2.0095477168917451</v>
      </c>
      <c r="T579" s="2">
        <f t="shared" ref="T579:T642" si="48">$T$1025+(Q579*$T$1024)</f>
        <v>117893.36698382991</v>
      </c>
      <c r="W579" s="2">
        <f t="shared" ref="W579:W642" si="49">$T$1025+(Q579*$T$1024)</f>
        <v>117893.36698382991</v>
      </c>
    </row>
    <row r="580" spans="1:23">
      <c r="A580">
        <v>1573</v>
      </c>
      <c r="B580">
        <v>7</v>
      </c>
      <c r="C580">
        <v>5</v>
      </c>
      <c r="D580">
        <v>-3.069</v>
      </c>
      <c r="E580" s="2">
        <f t="shared" si="45"/>
        <v>-3</v>
      </c>
      <c r="F580" s="2">
        <f t="shared" si="46"/>
        <v>106</v>
      </c>
      <c r="G580">
        <v>-0.78500000000000003</v>
      </c>
      <c r="H580">
        <v>0.52300000000000002</v>
      </c>
      <c r="I580">
        <v>0.39200000000000002</v>
      </c>
      <c r="J580">
        <v>0.33200000000000002</v>
      </c>
      <c r="K580">
        <v>0.31900000000000001</v>
      </c>
      <c r="L580">
        <v>-99.998999999999995</v>
      </c>
      <c r="M580">
        <v>-99.998999999999995</v>
      </c>
      <c r="Q580" s="2">
        <f t="shared" si="47"/>
        <v>-2.4597505374976447</v>
      </c>
      <c r="T580" s="2">
        <f t="shared" si="48"/>
        <v>79905.092679556285</v>
      </c>
      <c r="W580" s="2">
        <f t="shared" si="49"/>
        <v>79905.092679556285</v>
      </c>
    </row>
    <row r="581" spans="1:23">
      <c r="A581">
        <v>1574</v>
      </c>
      <c r="B581">
        <v>7</v>
      </c>
      <c r="C581">
        <v>5</v>
      </c>
      <c r="D581">
        <v>-0.621</v>
      </c>
      <c r="E581" s="2">
        <f t="shared" si="45"/>
        <v>-0.5</v>
      </c>
      <c r="F581" s="2">
        <f t="shared" si="46"/>
        <v>460</v>
      </c>
      <c r="G581">
        <v>-0.52100000000000002</v>
      </c>
      <c r="H581">
        <v>0.52300000000000002</v>
      </c>
      <c r="I581">
        <v>0.39200000000000002</v>
      </c>
      <c r="J581">
        <v>0.33200000000000002</v>
      </c>
      <c r="K581">
        <v>0.31900000000000001</v>
      </c>
      <c r="L581">
        <v>-99.998999999999995</v>
      </c>
      <c r="M581">
        <v>-99.998999999999995</v>
      </c>
      <c r="Q581" s="2">
        <f t="shared" si="47"/>
        <v>-1.8009959022058086</v>
      </c>
      <c r="T581" s="2">
        <f t="shared" si="48"/>
        <v>135491.04336506838</v>
      </c>
      <c r="W581" s="2">
        <f t="shared" si="49"/>
        <v>135491.04336506838</v>
      </c>
    </row>
    <row r="582" spans="1:23">
      <c r="A582">
        <v>1575</v>
      </c>
      <c r="B582">
        <v>7</v>
      </c>
      <c r="C582">
        <v>5</v>
      </c>
      <c r="D582">
        <v>3.641</v>
      </c>
      <c r="E582" s="2">
        <f t="shared" si="45"/>
        <v>3.5</v>
      </c>
      <c r="F582" s="2">
        <f t="shared" si="46"/>
        <v>967</v>
      </c>
      <c r="G582">
        <v>-0.25600000000000001</v>
      </c>
      <c r="H582">
        <v>0.52500000000000002</v>
      </c>
      <c r="I582">
        <v>0.39200000000000002</v>
      </c>
      <c r="J582">
        <v>0.33200000000000002</v>
      </c>
      <c r="K582">
        <v>0.31900000000000001</v>
      </c>
      <c r="L582">
        <v>-99.998999999999995</v>
      </c>
      <c r="M582">
        <v>-99.998999999999995</v>
      </c>
      <c r="Q582" s="2">
        <f t="shared" si="47"/>
        <v>-0.6540954709910185</v>
      </c>
      <c r="T582" s="2">
        <f t="shared" si="48"/>
        <v>232266.91012227946</v>
      </c>
      <c r="W582" s="2">
        <f t="shared" si="49"/>
        <v>232266.91012227946</v>
      </c>
    </row>
    <row r="583" spans="1:23">
      <c r="A583">
        <v>1576</v>
      </c>
      <c r="B583">
        <v>7</v>
      </c>
      <c r="C583">
        <v>5</v>
      </c>
      <c r="D583">
        <v>1.7529999999999999</v>
      </c>
      <c r="E583" s="2">
        <f t="shared" si="45"/>
        <v>2</v>
      </c>
      <c r="F583" s="2">
        <f t="shared" si="46"/>
        <v>830</v>
      </c>
      <c r="G583">
        <v>-1.9E-2</v>
      </c>
      <c r="H583">
        <v>0.52500000000000002</v>
      </c>
      <c r="I583">
        <v>0.39200000000000002</v>
      </c>
      <c r="J583">
        <v>0.33200000000000002</v>
      </c>
      <c r="K583">
        <v>0.31900000000000001</v>
      </c>
      <c r="L583">
        <v>-99.998999999999995</v>
      </c>
      <c r="M583">
        <v>-99.998999999999995</v>
      </c>
      <c r="Q583" s="2">
        <f t="shared" si="47"/>
        <v>-1.1621546014775328</v>
      </c>
      <c r="T583" s="2">
        <f t="shared" si="48"/>
        <v>189396.69978966226</v>
      </c>
      <c r="W583" s="2">
        <f t="shared" si="49"/>
        <v>189396.69978966226</v>
      </c>
    </row>
    <row r="584" spans="1:23">
      <c r="A584">
        <v>1577</v>
      </c>
      <c r="B584">
        <v>7</v>
      </c>
      <c r="C584">
        <v>5</v>
      </c>
      <c r="D584">
        <v>-3.2069999999999999</v>
      </c>
      <c r="E584" s="2">
        <f t="shared" si="45"/>
        <v>-3</v>
      </c>
      <c r="F584" s="2">
        <f t="shared" si="46"/>
        <v>92</v>
      </c>
      <c r="G584">
        <v>0.185</v>
      </c>
      <c r="H584">
        <v>0.52500000000000002</v>
      </c>
      <c r="I584">
        <v>0.39200000000000002</v>
      </c>
      <c r="J584">
        <v>0.33200000000000002</v>
      </c>
      <c r="K584">
        <v>0.31900000000000001</v>
      </c>
      <c r="L584">
        <v>-99.998999999999995</v>
      </c>
      <c r="M584">
        <v>-99.998999999999995</v>
      </c>
      <c r="Q584" s="2">
        <f t="shared" si="47"/>
        <v>-2.4968862154675278</v>
      </c>
      <c r="T584" s="2">
        <f t="shared" si="48"/>
        <v>76771.570949735731</v>
      </c>
      <c r="W584" s="2">
        <f t="shared" si="49"/>
        <v>76771.570949735731</v>
      </c>
    </row>
    <row r="585" spans="1:23">
      <c r="A585">
        <v>1578</v>
      </c>
      <c r="B585">
        <v>7</v>
      </c>
      <c r="C585">
        <v>5</v>
      </c>
      <c r="D585">
        <v>2.6669999999999998</v>
      </c>
      <c r="E585" s="2">
        <f t="shared" si="45"/>
        <v>2.5</v>
      </c>
      <c r="F585" s="2">
        <f t="shared" si="46"/>
        <v>918</v>
      </c>
      <c r="G585">
        <v>0.36699999999999999</v>
      </c>
      <c r="H585">
        <v>0.52500000000000002</v>
      </c>
      <c r="I585">
        <v>0.39200000000000002</v>
      </c>
      <c r="J585">
        <v>0.33200000000000002</v>
      </c>
      <c r="K585">
        <v>0.31900000000000001</v>
      </c>
      <c r="L585">
        <v>-99.998999999999995</v>
      </c>
      <c r="M585">
        <v>-99.998999999999995</v>
      </c>
      <c r="Q585" s="2">
        <f t="shared" si="47"/>
        <v>-0.91619800970598941</v>
      </c>
      <c r="T585" s="2">
        <f t="shared" si="48"/>
        <v>210150.60457992292</v>
      </c>
      <c r="W585" s="2">
        <f t="shared" si="49"/>
        <v>210150.60457992292</v>
      </c>
    </row>
    <row r="586" spans="1:23">
      <c r="A586">
        <v>1579</v>
      </c>
      <c r="B586">
        <v>7</v>
      </c>
      <c r="C586">
        <v>5</v>
      </c>
      <c r="D586">
        <v>1.288</v>
      </c>
      <c r="E586" s="2">
        <f t="shared" si="45"/>
        <v>1.5</v>
      </c>
      <c r="F586" s="2">
        <f t="shared" si="46"/>
        <v>772</v>
      </c>
      <c r="G586">
        <v>0.51900000000000002</v>
      </c>
      <c r="H586">
        <v>0.52500000000000002</v>
      </c>
      <c r="I586">
        <v>0.39200000000000002</v>
      </c>
      <c r="J586">
        <v>0.33200000000000002</v>
      </c>
      <c r="K586">
        <v>0.31900000000000001</v>
      </c>
      <c r="L586">
        <v>-99.998999999999995</v>
      </c>
      <c r="M586">
        <v>-99.998999999999995</v>
      </c>
      <c r="Q586" s="2">
        <f t="shared" si="47"/>
        <v>-1.2872856902890948</v>
      </c>
      <c r="T586" s="2">
        <f t="shared" si="48"/>
        <v>178838.09396091916</v>
      </c>
      <c r="W586" s="2">
        <f t="shared" si="49"/>
        <v>178838.09396091916</v>
      </c>
    </row>
    <row r="587" spans="1:23">
      <c r="A587">
        <v>1580</v>
      </c>
      <c r="B587">
        <v>7</v>
      </c>
      <c r="C587">
        <v>5</v>
      </c>
      <c r="D587">
        <v>0.72899999999999998</v>
      </c>
      <c r="E587" s="2">
        <f t="shared" si="45"/>
        <v>0.5</v>
      </c>
      <c r="F587" s="2">
        <f t="shared" si="46"/>
        <v>687</v>
      </c>
      <c r="G587">
        <v>0.64800000000000002</v>
      </c>
      <c r="H587">
        <v>0.52500000000000002</v>
      </c>
      <c r="I587">
        <v>0.39200000000000002</v>
      </c>
      <c r="J587">
        <v>0.33200000000000002</v>
      </c>
      <c r="K587">
        <v>0.31900000000000001</v>
      </c>
      <c r="L587">
        <v>-99.998999999999995</v>
      </c>
      <c r="M587">
        <v>-99.998999999999995</v>
      </c>
      <c r="Q587" s="2">
        <f t="shared" si="47"/>
        <v>-1.4377120959786929</v>
      </c>
      <c r="T587" s="2">
        <f t="shared" si="48"/>
        <v>166145.06028722582</v>
      </c>
      <c r="W587" s="2">
        <f t="shared" si="49"/>
        <v>166145.06028722582</v>
      </c>
    </row>
    <row r="588" spans="1:23">
      <c r="A588">
        <v>1581</v>
      </c>
      <c r="B588">
        <v>7</v>
      </c>
      <c r="C588">
        <v>5</v>
      </c>
      <c r="D588">
        <v>-0.38500000000000001</v>
      </c>
      <c r="E588" s="2">
        <f t="shared" si="45"/>
        <v>-0.5</v>
      </c>
      <c r="F588" s="2">
        <f t="shared" si="46"/>
        <v>502</v>
      </c>
      <c r="G588">
        <v>0.76500000000000001</v>
      </c>
      <c r="H588">
        <v>0.52500000000000002</v>
      </c>
      <c r="I588">
        <v>0.39200000000000002</v>
      </c>
      <c r="J588">
        <v>0.33200000000000002</v>
      </c>
      <c r="K588">
        <v>0.31900000000000001</v>
      </c>
      <c r="L588">
        <v>-99.998999999999995</v>
      </c>
      <c r="M588">
        <v>-99.998999999999995</v>
      </c>
      <c r="Q588" s="2">
        <f t="shared" si="47"/>
        <v>-1.7374885108949942</v>
      </c>
      <c r="T588" s="2">
        <f t="shared" si="48"/>
        <v>140849.81965664556</v>
      </c>
      <c r="W588" s="2">
        <f t="shared" si="49"/>
        <v>140849.81965664556</v>
      </c>
    </row>
    <row r="589" spans="1:23">
      <c r="A589">
        <v>1582</v>
      </c>
      <c r="B589">
        <v>7</v>
      </c>
      <c r="C589">
        <v>5</v>
      </c>
      <c r="D589">
        <v>-1.0389999999999999</v>
      </c>
      <c r="E589" s="2">
        <f t="shared" si="45"/>
        <v>-1</v>
      </c>
      <c r="F589" s="2">
        <f t="shared" si="46"/>
        <v>388</v>
      </c>
      <c r="G589">
        <v>0.88400000000000001</v>
      </c>
      <c r="H589">
        <v>0.52500000000000002</v>
      </c>
      <c r="I589">
        <v>0.39200000000000002</v>
      </c>
      <c r="J589">
        <v>0.33200000000000002</v>
      </c>
      <c r="K589">
        <v>0.31900000000000001</v>
      </c>
      <c r="L589">
        <v>-99.998999999999995</v>
      </c>
      <c r="M589">
        <v>-99.998999999999995</v>
      </c>
      <c r="Q589" s="2">
        <f t="shared" si="47"/>
        <v>-1.9134793325783526</v>
      </c>
      <c r="T589" s="2">
        <f t="shared" si="48"/>
        <v>125999.65145880039</v>
      </c>
      <c r="W589" s="2">
        <f t="shared" si="49"/>
        <v>125999.65145880039</v>
      </c>
    </row>
    <row r="590" spans="1:23">
      <c r="A590">
        <v>1583</v>
      </c>
      <c r="B590">
        <v>7</v>
      </c>
      <c r="C590">
        <v>5</v>
      </c>
      <c r="D590">
        <v>0.14699999999999999</v>
      </c>
      <c r="E590" s="2">
        <f t="shared" si="45"/>
        <v>0</v>
      </c>
      <c r="F590" s="2">
        <f t="shared" si="46"/>
        <v>591</v>
      </c>
      <c r="G590">
        <v>1.0089999999999999</v>
      </c>
      <c r="H590">
        <v>0.52500000000000002</v>
      </c>
      <c r="I590">
        <v>0.39200000000000002</v>
      </c>
      <c r="J590">
        <v>0.33200000000000002</v>
      </c>
      <c r="K590">
        <v>0.31900000000000001</v>
      </c>
      <c r="L590">
        <v>-99.998999999999995</v>
      </c>
      <c r="M590">
        <v>-99.998999999999995</v>
      </c>
      <c r="Q590" s="2">
        <f t="shared" si="47"/>
        <v>-1.5943277813299384</v>
      </c>
      <c r="T590" s="2">
        <f t="shared" si="48"/>
        <v>152929.77299189573</v>
      </c>
      <c r="W590" s="2">
        <f t="shared" si="49"/>
        <v>152929.77299189573</v>
      </c>
    </row>
    <row r="591" spans="1:23">
      <c r="A591">
        <v>1584</v>
      </c>
      <c r="B591">
        <v>7</v>
      </c>
      <c r="C591">
        <v>5</v>
      </c>
      <c r="D591">
        <v>2.2690000000000001</v>
      </c>
      <c r="E591" s="2">
        <f t="shared" si="45"/>
        <v>2.5</v>
      </c>
      <c r="F591" s="2">
        <f t="shared" si="46"/>
        <v>882</v>
      </c>
      <c r="G591">
        <v>1.1259999999999999</v>
      </c>
      <c r="H591">
        <v>0.52500000000000002</v>
      </c>
      <c r="I591">
        <v>0.39200000000000002</v>
      </c>
      <c r="J591">
        <v>0.33200000000000002</v>
      </c>
      <c r="K591">
        <v>0.31900000000000001</v>
      </c>
      <c r="L591">
        <v>-99.998999999999995</v>
      </c>
      <c r="M591">
        <v>-99.998999999999995</v>
      </c>
      <c r="Q591" s="2">
        <f t="shared" si="47"/>
        <v>-1.0232994577640575</v>
      </c>
      <c r="T591" s="2">
        <f t="shared" si="48"/>
        <v>201113.34625768688</v>
      </c>
      <c r="W591" s="2">
        <f t="shared" si="49"/>
        <v>201113.34625768688</v>
      </c>
    </row>
    <row r="592" spans="1:23">
      <c r="A592">
        <v>1585</v>
      </c>
      <c r="B592">
        <v>7</v>
      </c>
      <c r="C592">
        <v>5</v>
      </c>
      <c r="D592">
        <v>-0.36</v>
      </c>
      <c r="E592" s="2">
        <f t="shared" si="45"/>
        <v>-0.5</v>
      </c>
      <c r="F592" s="2">
        <f t="shared" si="46"/>
        <v>509</v>
      </c>
      <c r="G592">
        <v>1.2150000000000001</v>
      </c>
      <c r="H592">
        <v>0.52500000000000002</v>
      </c>
      <c r="I592">
        <v>0.39200000000000002</v>
      </c>
      <c r="J592">
        <v>0.33200000000000002</v>
      </c>
      <c r="K592">
        <v>0.31900000000000001</v>
      </c>
      <c r="L592">
        <v>-99.998999999999995</v>
      </c>
      <c r="M592">
        <v>-99.998999999999995</v>
      </c>
      <c r="Q592" s="2">
        <f t="shared" si="47"/>
        <v>-1.7307610330018997</v>
      </c>
      <c r="T592" s="2">
        <f t="shared" si="48"/>
        <v>141417.4866366855</v>
      </c>
      <c r="W592" s="2">
        <f t="shared" si="49"/>
        <v>141417.4866366855</v>
      </c>
    </row>
    <row r="593" spans="1:23">
      <c r="A593">
        <v>1586</v>
      </c>
      <c r="B593">
        <v>7</v>
      </c>
      <c r="C593">
        <v>5</v>
      </c>
      <c r="D593">
        <v>4.5339999999999998</v>
      </c>
      <c r="E593" s="2">
        <f t="shared" si="45"/>
        <v>4.5</v>
      </c>
      <c r="F593" s="2">
        <f t="shared" si="46"/>
        <v>987</v>
      </c>
      <c r="G593">
        <v>1.26</v>
      </c>
      <c r="H593">
        <v>0.52500000000000002</v>
      </c>
      <c r="I593">
        <v>0.39200000000000002</v>
      </c>
      <c r="J593">
        <v>0.33200000000000002</v>
      </c>
      <c r="K593">
        <v>0.31900000000000001</v>
      </c>
      <c r="L593">
        <v>-99.998999999999995</v>
      </c>
      <c r="M593">
        <v>-99.998999999999995</v>
      </c>
      <c r="Q593" s="2">
        <f t="shared" si="47"/>
        <v>-0.41378996064967466</v>
      </c>
      <c r="T593" s="2">
        <f t="shared" si="48"/>
        <v>252543.97464930656</v>
      </c>
      <c r="W593" s="2">
        <f t="shared" si="49"/>
        <v>252543.97464930656</v>
      </c>
    </row>
    <row r="594" spans="1:23">
      <c r="A594">
        <v>1587</v>
      </c>
      <c r="B594">
        <v>7</v>
      </c>
      <c r="C594">
        <v>5</v>
      </c>
      <c r="D594">
        <v>0.498</v>
      </c>
      <c r="E594" s="2">
        <f t="shared" si="45"/>
        <v>0.5</v>
      </c>
      <c r="F594" s="2">
        <f t="shared" si="46"/>
        <v>648</v>
      </c>
      <c r="G594">
        <v>1.242</v>
      </c>
      <c r="H594">
        <v>0.52500000000000002</v>
      </c>
      <c r="I594">
        <v>0.39200000000000002</v>
      </c>
      <c r="J594">
        <v>0.33200000000000002</v>
      </c>
      <c r="K594">
        <v>0.31900000000000001</v>
      </c>
      <c r="L594">
        <v>-99.998999999999995</v>
      </c>
      <c r="M594">
        <v>-99.998999999999995</v>
      </c>
      <c r="Q594" s="2">
        <f t="shared" si="47"/>
        <v>-1.4998739917108883</v>
      </c>
      <c r="T594" s="2">
        <f t="shared" si="48"/>
        <v>160899.81739165666</v>
      </c>
      <c r="W594" s="2">
        <f t="shared" si="49"/>
        <v>160899.81739165666</v>
      </c>
    </row>
    <row r="595" spans="1:23">
      <c r="A595">
        <v>1588</v>
      </c>
      <c r="B595">
        <v>7</v>
      </c>
      <c r="C595">
        <v>5</v>
      </c>
      <c r="D595">
        <v>4.7690000000000001</v>
      </c>
      <c r="E595" s="2">
        <f t="shared" si="45"/>
        <v>5</v>
      </c>
      <c r="F595" s="2">
        <f t="shared" si="46"/>
        <v>993</v>
      </c>
      <c r="G595">
        <v>1.159</v>
      </c>
      <c r="H595">
        <v>0.52500000000000002</v>
      </c>
      <c r="I595">
        <v>0.39200000000000002</v>
      </c>
      <c r="J595">
        <v>0.33200000000000002</v>
      </c>
      <c r="K595">
        <v>0.31900000000000001</v>
      </c>
      <c r="L595">
        <v>-99.998999999999995</v>
      </c>
      <c r="M595">
        <v>-99.998999999999995</v>
      </c>
      <c r="Q595" s="2">
        <f t="shared" si="47"/>
        <v>-0.35055166845458419</v>
      </c>
      <c r="T595" s="2">
        <f t="shared" si="48"/>
        <v>257880.04426168211</v>
      </c>
      <c r="W595" s="2">
        <f t="shared" si="49"/>
        <v>257880.04426168211</v>
      </c>
    </row>
    <row r="596" spans="1:23">
      <c r="A596">
        <v>1589</v>
      </c>
      <c r="B596">
        <v>7</v>
      </c>
      <c r="C596">
        <v>5</v>
      </c>
      <c r="D596">
        <v>0.63</v>
      </c>
      <c r="E596" s="2">
        <f t="shared" si="45"/>
        <v>0.5</v>
      </c>
      <c r="F596" s="2">
        <f t="shared" si="46"/>
        <v>672</v>
      </c>
      <c r="G596">
        <v>1.0149999999999999</v>
      </c>
      <c r="H596">
        <v>0.52500000000000002</v>
      </c>
      <c r="I596">
        <v>0.39200000000000002</v>
      </c>
      <c r="J596">
        <v>0.33200000000000002</v>
      </c>
      <c r="K596">
        <v>0.31900000000000001</v>
      </c>
      <c r="L596">
        <v>-99.998999999999995</v>
      </c>
      <c r="M596">
        <v>-99.998999999999995</v>
      </c>
      <c r="Q596" s="2">
        <f t="shared" si="47"/>
        <v>-1.4643529084353482</v>
      </c>
      <c r="T596" s="2">
        <f t="shared" si="48"/>
        <v>163897.09904626763</v>
      </c>
      <c r="W596" s="2">
        <f t="shared" si="49"/>
        <v>163897.09904626763</v>
      </c>
    </row>
    <row r="597" spans="1:23">
      <c r="A597">
        <v>1590</v>
      </c>
      <c r="B597">
        <v>7</v>
      </c>
      <c r="C597">
        <v>5</v>
      </c>
      <c r="D597">
        <v>-1.482</v>
      </c>
      <c r="E597" s="2">
        <f t="shared" si="45"/>
        <v>-1.5</v>
      </c>
      <c r="F597" s="2">
        <f t="shared" si="46"/>
        <v>331</v>
      </c>
      <c r="G597">
        <v>0.83599999999999997</v>
      </c>
      <c r="H597">
        <v>0.52500000000000002</v>
      </c>
      <c r="I597">
        <v>0.39200000000000002</v>
      </c>
      <c r="J597">
        <v>0.33200000000000002</v>
      </c>
      <c r="K597">
        <v>0.31900000000000001</v>
      </c>
      <c r="L597">
        <v>-99.998999999999995</v>
      </c>
      <c r="M597">
        <v>-99.998999999999995</v>
      </c>
      <c r="Q597" s="2">
        <f t="shared" si="47"/>
        <v>-2.0326902408439911</v>
      </c>
      <c r="T597" s="2">
        <f t="shared" si="48"/>
        <v>115940.59257249246</v>
      </c>
      <c r="W597" s="2">
        <f t="shared" si="49"/>
        <v>115940.59257249246</v>
      </c>
    </row>
    <row r="598" spans="1:23">
      <c r="A598">
        <v>1591</v>
      </c>
      <c r="B598">
        <v>7</v>
      </c>
      <c r="C598">
        <v>5</v>
      </c>
      <c r="D598">
        <v>-0.99399999999999999</v>
      </c>
      <c r="E598" s="2">
        <f t="shared" si="45"/>
        <v>-1</v>
      </c>
      <c r="F598" s="2">
        <f t="shared" si="46"/>
        <v>397</v>
      </c>
      <c r="G598">
        <v>0.64800000000000002</v>
      </c>
      <c r="H598">
        <v>0.52500000000000002</v>
      </c>
      <c r="I598">
        <v>0.39200000000000002</v>
      </c>
      <c r="J598">
        <v>0.33200000000000002</v>
      </c>
      <c r="K598">
        <v>0.31900000000000001</v>
      </c>
      <c r="L598">
        <v>-99.998999999999995</v>
      </c>
      <c r="M598">
        <v>-99.998999999999995</v>
      </c>
      <c r="Q598" s="2">
        <f t="shared" si="47"/>
        <v>-1.9013698723707819</v>
      </c>
      <c r="T598" s="2">
        <f t="shared" si="48"/>
        <v>127021.45202287231</v>
      </c>
      <c r="W598" s="2">
        <f t="shared" si="49"/>
        <v>127021.45202287231</v>
      </c>
    </row>
    <row r="599" spans="1:23">
      <c r="A599">
        <v>1592</v>
      </c>
      <c r="B599">
        <v>7</v>
      </c>
      <c r="C599">
        <v>5</v>
      </c>
      <c r="D599">
        <v>-0.221</v>
      </c>
      <c r="E599" s="2">
        <f t="shared" si="45"/>
        <v>0</v>
      </c>
      <c r="F599" s="2">
        <f t="shared" si="46"/>
        <v>532</v>
      </c>
      <c r="G599">
        <v>0.45800000000000002</v>
      </c>
      <c r="H599">
        <v>0.52500000000000002</v>
      </c>
      <c r="I599">
        <v>0.39200000000000002</v>
      </c>
      <c r="J599">
        <v>0.33200000000000002</v>
      </c>
      <c r="K599">
        <v>0.31900000000000001</v>
      </c>
      <c r="L599">
        <v>-99.998999999999995</v>
      </c>
      <c r="M599">
        <v>-99.998999999999995</v>
      </c>
      <c r="Q599" s="2">
        <f t="shared" si="47"/>
        <v>-1.6933562559162929</v>
      </c>
      <c r="T599" s="2">
        <f t="shared" si="48"/>
        <v>144573.71504570762</v>
      </c>
      <c r="W599" s="2">
        <f t="shared" si="49"/>
        <v>144573.71504570762</v>
      </c>
    </row>
    <row r="600" spans="1:23">
      <c r="A600">
        <v>1593</v>
      </c>
      <c r="B600">
        <v>7</v>
      </c>
      <c r="C600">
        <v>5</v>
      </c>
      <c r="D600">
        <v>3.9740000000000002</v>
      </c>
      <c r="E600" s="2">
        <f t="shared" si="45"/>
        <v>4</v>
      </c>
      <c r="F600" s="2">
        <f t="shared" si="46"/>
        <v>975</v>
      </c>
      <c r="G600">
        <v>0.25900000000000001</v>
      </c>
      <c r="H600">
        <v>0.52500000000000002</v>
      </c>
      <c r="I600">
        <v>0.39200000000000002</v>
      </c>
      <c r="J600">
        <v>0.33200000000000002</v>
      </c>
      <c r="K600">
        <v>0.31900000000000001</v>
      </c>
      <c r="L600">
        <v>-99.998999999999995</v>
      </c>
      <c r="M600">
        <v>-99.998999999999995</v>
      </c>
      <c r="Q600" s="2">
        <f t="shared" si="47"/>
        <v>-0.56448546545499667</v>
      </c>
      <c r="T600" s="2">
        <f t="shared" si="48"/>
        <v>239828.23429641163</v>
      </c>
      <c r="W600" s="2">
        <f t="shared" si="49"/>
        <v>239828.23429641163</v>
      </c>
    </row>
    <row r="601" spans="1:23">
      <c r="A601">
        <v>1594</v>
      </c>
      <c r="B601">
        <v>7</v>
      </c>
      <c r="C601">
        <v>5</v>
      </c>
      <c r="D601">
        <v>2.1160000000000001</v>
      </c>
      <c r="E601" s="2">
        <f t="shared" si="45"/>
        <v>2</v>
      </c>
      <c r="F601" s="2">
        <f t="shared" si="46"/>
        <v>862</v>
      </c>
      <c r="G601">
        <v>0.04</v>
      </c>
      <c r="H601">
        <v>0.52500000000000002</v>
      </c>
      <c r="I601">
        <v>0.39200000000000002</v>
      </c>
      <c r="J601">
        <v>0.33200000000000002</v>
      </c>
      <c r="K601">
        <v>0.31900000000000001</v>
      </c>
      <c r="L601">
        <v>-99.998999999999995</v>
      </c>
      <c r="M601">
        <v>-99.998999999999995</v>
      </c>
      <c r="Q601" s="2">
        <f t="shared" si="47"/>
        <v>-1.0644716224697972</v>
      </c>
      <c r="T601" s="2">
        <f t="shared" si="48"/>
        <v>197639.22433984239</v>
      </c>
      <c r="W601" s="2">
        <f t="shared" si="49"/>
        <v>197639.22433984239</v>
      </c>
    </row>
    <row r="602" spans="1:23">
      <c r="A602">
        <v>1595</v>
      </c>
      <c r="B602">
        <v>7</v>
      </c>
      <c r="C602">
        <v>5</v>
      </c>
      <c r="D602">
        <v>-1.6839999999999999</v>
      </c>
      <c r="E602" s="2">
        <f t="shared" si="45"/>
        <v>-1.5</v>
      </c>
      <c r="F602" s="2">
        <f t="shared" si="46"/>
        <v>293</v>
      </c>
      <c r="G602">
        <v>-0.182</v>
      </c>
      <c r="H602">
        <v>0.52500000000000002</v>
      </c>
      <c r="I602">
        <v>0.39200000000000002</v>
      </c>
      <c r="J602">
        <v>0.34699999999999998</v>
      </c>
      <c r="K602">
        <v>0.33700000000000002</v>
      </c>
      <c r="L602">
        <v>-99.998999999999995</v>
      </c>
      <c r="M602">
        <v>-99.998999999999995</v>
      </c>
      <c r="Q602" s="2">
        <f t="shared" si="47"/>
        <v>-2.0870482622201965</v>
      </c>
      <c r="T602" s="2">
        <f t="shared" si="48"/>
        <v>111353.84337376963</v>
      </c>
      <c r="W602" s="2">
        <f t="shared" si="49"/>
        <v>111353.84337376963</v>
      </c>
    </row>
    <row r="603" spans="1:23">
      <c r="A603">
        <v>1596</v>
      </c>
      <c r="B603">
        <v>7</v>
      </c>
      <c r="C603">
        <v>5</v>
      </c>
      <c r="D603">
        <v>0.44700000000000001</v>
      </c>
      <c r="E603" s="2">
        <f t="shared" si="45"/>
        <v>0.5</v>
      </c>
      <c r="F603" s="2">
        <f t="shared" si="46"/>
        <v>641</v>
      </c>
      <c r="G603">
        <v>-0.371</v>
      </c>
      <c r="H603">
        <v>0.52500000000000002</v>
      </c>
      <c r="I603">
        <v>0.39200000000000002</v>
      </c>
      <c r="J603">
        <v>0.34699999999999998</v>
      </c>
      <c r="K603">
        <v>0.33700000000000002</v>
      </c>
      <c r="L603">
        <v>-99.998999999999995</v>
      </c>
      <c r="M603">
        <v>-99.998999999999995</v>
      </c>
      <c r="Q603" s="2">
        <f t="shared" si="47"/>
        <v>-1.5135980466128016</v>
      </c>
      <c r="T603" s="2">
        <f t="shared" si="48"/>
        <v>159741.77675237515</v>
      </c>
      <c r="W603" s="2">
        <f t="shared" si="49"/>
        <v>159741.77675237515</v>
      </c>
    </row>
    <row r="604" spans="1:23">
      <c r="A604">
        <v>1597</v>
      </c>
      <c r="B604">
        <v>7</v>
      </c>
      <c r="C604">
        <v>5</v>
      </c>
      <c r="D604">
        <v>-3.2429999999999999</v>
      </c>
      <c r="E604" s="2">
        <f t="shared" si="45"/>
        <v>-3</v>
      </c>
      <c r="F604" s="2">
        <f t="shared" si="46"/>
        <v>91</v>
      </c>
      <c r="G604">
        <v>-0.499</v>
      </c>
      <c r="H604">
        <v>0.52500000000000002</v>
      </c>
      <c r="I604">
        <v>0.39200000000000002</v>
      </c>
      <c r="J604">
        <v>0.34699999999999998</v>
      </c>
      <c r="K604">
        <v>0.33700000000000002</v>
      </c>
      <c r="L604">
        <v>-99.998999999999995</v>
      </c>
      <c r="M604">
        <v>-99.998999999999995</v>
      </c>
      <c r="Q604" s="2">
        <f t="shared" si="47"/>
        <v>-2.5065737836335842</v>
      </c>
      <c r="T604" s="2">
        <f t="shared" si="48"/>
        <v>75954.130498478218</v>
      </c>
      <c r="W604" s="2">
        <f t="shared" si="49"/>
        <v>75954.130498478218</v>
      </c>
    </row>
    <row r="605" spans="1:23">
      <c r="A605">
        <v>1598</v>
      </c>
      <c r="B605">
        <v>7</v>
      </c>
      <c r="C605">
        <v>5</v>
      </c>
      <c r="D605">
        <v>-3.0590000000000002</v>
      </c>
      <c r="E605" s="2">
        <f t="shared" si="45"/>
        <v>-3</v>
      </c>
      <c r="F605" s="2">
        <f t="shared" si="46"/>
        <v>107</v>
      </c>
      <c r="G605">
        <v>-0.53800000000000003</v>
      </c>
      <c r="H605">
        <v>0.52500000000000002</v>
      </c>
      <c r="I605">
        <v>0.39200000000000002</v>
      </c>
      <c r="J605">
        <v>0.34699999999999998</v>
      </c>
      <c r="K605">
        <v>0.33700000000000002</v>
      </c>
      <c r="L605">
        <v>-99.998999999999995</v>
      </c>
      <c r="M605">
        <v>-99.998999999999995</v>
      </c>
      <c r="Q605" s="2">
        <f t="shared" si="47"/>
        <v>-2.4570595463404068</v>
      </c>
      <c r="T605" s="2">
        <f t="shared" si="48"/>
        <v>80132.15947157226</v>
      </c>
      <c r="W605" s="2">
        <f t="shared" si="49"/>
        <v>80132.15947157226</v>
      </c>
    </row>
    <row r="606" spans="1:23">
      <c r="A606">
        <v>1599</v>
      </c>
      <c r="B606">
        <v>7</v>
      </c>
      <c r="C606">
        <v>5</v>
      </c>
      <c r="D606">
        <v>-0.33100000000000002</v>
      </c>
      <c r="E606" s="2">
        <f t="shared" si="45"/>
        <v>-0.5</v>
      </c>
      <c r="F606" s="2">
        <f t="shared" si="46"/>
        <v>513</v>
      </c>
      <c r="G606">
        <v>-0.48199999999999998</v>
      </c>
      <c r="H606">
        <v>0.52500000000000002</v>
      </c>
      <c r="I606">
        <v>0.39200000000000002</v>
      </c>
      <c r="J606">
        <v>0.34699999999999998</v>
      </c>
      <c r="K606">
        <v>0.33700000000000002</v>
      </c>
      <c r="L606">
        <v>-99.998999999999995</v>
      </c>
      <c r="M606">
        <v>-99.998999999999995</v>
      </c>
      <c r="Q606" s="2">
        <f t="shared" si="47"/>
        <v>-1.7229571586459096</v>
      </c>
      <c r="T606" s="2">
        <f t="shared" si="48"/>
        <v>142075.98033353186</v>
      </c>
      <c r="W606" s="2">
        <f t="shared" si="49"/>
        <v>142075.98033353186</v>
      </c>
    </row>
    <row r="607" spans="1:23">
      <c r="A607">
        <v>1600</v>
      </c>
      <c r="B607">
        <v>8</v>
      </c>
      <c r="C607">
        <v>5</v>
      </c>
      <c r="D607">
        <v>-0.85699999999999998</v>
      </c>
      <c r="E607" s="2">
        <f t="shared" si="45"/>
        <v>-1</v>
      </c>
      <c r="F607" s="2">
        <f t="shared" si="46"/>
        <v>413</v>
      </c>
      <c r="G607">
        <v>-0.34300000000000003</v>
      </c>
      <c r="H607">
        <v>0.52500000000000002</v>
      </c>
      <c r="I607">
        <v>0.39200000000000002</v>
      </c>
      <c r="J607">
        <v>0.34699999999999998</v>
      </c>
      <c r="K607">
        <v>0.33700000000000002</v>
      </c>
      <c r="L607">
        <v>-99.998999999999995</v>
      </c>
      <c r="M607">
        <v>-99.998999999999995</v>
      </c>
      <c r="Q607" s="2">
        <f t="shared" si="47"/>
        <v>-1.8645032935166228</v>
      </c>
      <c r="T607" s="2">
        <f t="shared" si="48"/>
        <v>130132.26707349127</v>
      </c>
      <c r="W607" s="2">
        <f t="shared" si="49"/>
        <v>130132.26707349127</v>
      </c>
    </row>
    <row r="608" spans="1:23">
      <c r="A608">
        <v>1601</v>
      </c>
      <c r="B608">
        <v>8</v>
      </c>
      <c r="C608">
        <v>5</v>
      </c>
      <c r="D608">
        <v>-2.2509999999999999</v>
      </c>
      <c r="E608" s="2">
        <f t="shared" si="45"/>
        <v>-2.5</v>
      </c>
      <c r="F608" s="2">
        <f t="shared" si="46"/>
        <v>212</v>
      </c>
      <c r="G608">
        <v>-0.14000000000000001</v>
      </c>
      <c r="H608">
        <v>0.52500000000000002</v>
      </c>
      <c r="I608">
        <v>0.39200000000000002</v>
      </c>
      <c r="J608">
        <v>0.34699999999999998</v>
      </c>
      <c r="K608">
        <v>0.33700000000000002</v>
      </c>
      <c r="L608">
        <v>-99.998999999999995</v>
      </c>
      <c r="M608">
        <v>-99.998999999999995</v>
      </c>
      <c r="Q608" s="2">
        <f t="shared" si="47"/>
        <v>-2.2396274608355853</v>
      </c>
      <c r="T608" s="2">
        <f t="shared" si="48"/>
        <v>98479.156266463513</v>
      </c>
      <c r="W608" s="2">
        <f t="shared" si="49"/>
        <v>98479.156266463513</v>
      </c>
    </row>
    <row r="609" spans="1:23">
      <c r="A609">
        <v>1602</v>
      </c>
      <c r="B609">
        <v>8</v>
      </c>
      <c r="C609">
        <v>5</v>
      </c>
      <c r="D609">
        <v>0.55300000000000005</v>
      </c>
      <c r="E609" s="2">
        <f t="shared" si="45"/>
        <v>0.5</v>
      </c>
      <c r="F609" s="2">
        <f t="shared" si="46"/>
        <v>657</v>
      </c>
      <c r="G609">
        <v>0.104</v>
      </c>
      <c r="H609">
        <v>0.52500000000000002</v>
      </c>
      <c r="I609">
        <v>0.39200000000000002</v>
      </c>
      <c r="J609">
        <v>0.34699999999999998</v>
      </c>
      <c r="K609">
        <v>0.33700000000000002</v>
      </c>
      <c r="L609">
        <v>-99.998999999999995</v>
      </c>
      <c r="M609">
        <v>-99.998999999999995</v>
      </c>
      <c r="Q609" s="2">
        <f t="shared" si="47"/>
        <v>-1.48507354034608</v>
      </c>
      <c r="T609" s="2">
        <f t="shared" si="48"/>
        <v>162148.68474774456</v>
      </c>
      <c r="W609" s="2">
        <f t="shared" si="49"/>
        <v>162148.68474774456</v>
      </c>
    </row>
    <row r="610" spans="1:23">
      <c r="A610">
        <v>1603</v>
      </c>
      <c r="B610">
        <v>8</v>
      </c>
      <c r="C610">
        <v>5</v>
      </c>
      <c r="D610">
        <v>2.2370000000000001</v>
      </c>
      <c r="E610" s="2">
        <f t="shared" si="45"/>
        <v>2</v>
      </c>
      <c r="F610" s="2">
        <f t="shared" si="46"/>
        <v>875</v>
      </c>
      <c r="G610">
        <v>0.35</v>
      </c>
      <c r="H610">
        <v>0.52500000000000002</v>
      </c>
      <c r="I610">
        <v>0.39200000000000002</v>
      </c>
      <c r="J610">
        <v>0.34699999999999998</v>
      </c>
      <c r="K610">
        <v>0.33700000000000002</v>
      </c>
      <c r="L610">
        <v>-99.998999999999995</v>
      </c>
      <c r="M610">
        <v>-99.998999999999995</v>
      </c>
      <c r="Q610" s="2">
        <f t="shared" si="47"/>
        <v>-1.0319106294672187</v>
      </c>
      <c r="T610" s="2">
        <f t="shared" si="48"/>
        <v>200386.73252323573</v>
      </c>
      <c r="W610" s="2">
        <f t="shared" si="49"/>
        <v>200386.73252323573</v>
      </c>
    </row>
    <row r="611" spans="1:23">
      <c r="A611">
        <v>1604</v>
      </c>
      <c r="B611">
        <v>8</v>
      </c>
      <c r="C611">
        <v>5</v>
      </c>
      <c r="D611">
        <v>2.2559999999999998</v>
      </c>
      <c r="E611" s="2">
        <f t="shared" si="45"/>
        <v>2.5</v>
      </c>
      <c r="F611" s="2">
        <f t="shared" si="46"/>
        <v>880</v>
      </c>
      <c r="G611">
        <v>0.56299999999999994</v>
      </c>
      <c r="H611">
        <v>0.52500000000000002</v>
      </c>
      <c r="I611">
        <v>0.39200000000000002</v>
      </c>
      <c r="J611">
        <v>0.34699999999999998</v>
      </c>
      <c r="K611">
        <v>0.33700000000000002</v>
      </c>
      <c r="L611">
        <v>-99.998999999999995</v>
      </c>
      <c r="M611">
        <v>-99.998999999999995</v>
      </c>
      <c r="Q611" s="2">
        <f t="shared" si="47"/>
        <v>-1.0267977462684668</v>
      </c>
      <c r="T611" s="2">
        <f t="shared" si="48"/>
        <v>200818.15942806611</v>
      </c>
      <c r="W611" s="2">
        <f t="shared" si="49"/>
        <v>200818.15942806611</v>
      </c>
    </row>
    <row r="612" spans="1:23">
      <c r="A612">
        <v>1605</v>
      </c>
      <c r="B612">
        <v>8</v>
      </c>
      <c r="C612">
        <v>5</v>
      </c>
      <c r="D612">
        <v>2.3460000000000001</v>
      </c>
      <c r="E612" s="2">
        <f t="shared" si="45"/>
        <v>2.5</v>
      </c>
      <c r="F612" s="2">
        <f t="shared" si="46"/>
        <v>888</v>
      </c>
      <c r="G612">
        <v>0.72499999999999998</v>
      </c>
      <c r="H612">
        <v>0.52500000000000002</v>
      </c>
      <c r="I612">
        <v>0.39200000000000002</v>
      </c>
      <c r="J612">
        <v>0.34699999999999998</v>
      </c>
      <c r="K612">
        <v>0.33700000000000002</v>
      </c>
      <c r="L612">
        <v>-99.998999999999995</v>
      </c>
      <c r="M612">
        <v>-99.998999999999995</v>
      </c>
      <c r="Q612" s="2">
        <f t="shared" si="47"/>
        <v>-1.0025788258533257</v>
      </c>
      <c r="T612" s="2">
        <f t="shared" si="48"/>
        <v>202861.76055620995</v>
      </c>
      <c r="W612" s="2">
        <f t="shared" si="49"/>
        <v>202861.76055620995</v>
      </c>
    </row>
    <row r="613" spans="1:23">
      <c r="A613">
        <v>1606</v>
      </c>
      <c r="B613">
        <v>8</v>
      </c>
      <c r="C613">
        <v>5</v>
      </c>
      <c r="D613">
        <v>2.6829999999999998</v>
      </c>
      <c r="E613" s="2">
        <f t="shared" si="45"/>
        <v>2.5</v>
      </c>
      <c r="F613" s="2">
        <f t="shared" si="46"/>
        <v>919</v>
      </c>
      <c r="G613">
        <v>0.83099999999999996</v>
      </c>
      <c r="H613">
        <v>0.52500000000000002</v>
      </c>
      <c r="I613">
        <v>0.39200000000000002</v>
      </c>
      <c r="J613">
        <v>0.34699999999999998</v>
      </c>
      <c r="K613">
        <v>0.33700000000000002</v>
      </c>
      <c r="L613">
        <v>-99.998999999999995</v>
      </c>
      <c r="M613">
        <v>-99.998999999999995</v>
      </c>
      <c r="Q613" s="2">
        <f t="shared" si="47"/>
        <v>-0.91189242385440872</v>
      </c>
      <c r="T613" s="2">
        <f t="shared" si="48"/>
        <v>210513.91144714848</v>
      </c>
      <c r="W613" s="2">
        <f t="shared" si="49"/>
        <v>210513.91144714848</v>
      </c>
    </row>
    <row r="614" spans="1:23">
      <c r="A614">
        <v>1607</v>
      </c>
      <c r="B614">
        <v>8</v>
      </c>
      <c r="C614">
        <v>5</v>
      </c>
      <c r="D614">
        <v>4.1000000000000002E-2</v>
      </c>
      <c r="E614" s="2">
        <f t="shared" si="45"/>
        <v>0</v>
      </c>
      <c r="F614" s="2">
        <f t="shared" si="46"/>
        <v>575</v>
      </c>
      <c r="G614">
        <v>0.89500000000000002</v>
      </c>
      <c r="H614">
        <v>0.52500000000000002</v>
      </c>
      <c r="I614">
        <v>0.39200000000000002</v>
      </c>
      <c r="J614">
        <v>0.34699999999999998</v>
      </c>
      <c r="K614">
        <v>0.33700000000000002</v>
      </c>
      <c r="L614">
        <v>-99.998999999999995</v>
      </c>
      <c r="M614">
        <v>-99.998999999999995</v>
      </c>
      <c r="Q614" s="2">
        <f t="shared" si="47"/>
        <v>-1.62285228759666</v>
      </c>
      <c r="T614" s="2">
        <f t="shared" si="48"/>
        <v>150522.86499652633</v>
      </c>
      <c r="W614" s="2">
        <f t="shared" si="49"/>
        <v>150522.86499652633</v>
      </c>
    </row>
    <row r="615" spans="1:23">
      <c r="A615">
        <v>1608</v>
      </c>
      <c r="B615">
        <v>8</v>
      </c>
      <c r="C615">
        <v>5</v>
      </c>
      <c r="D615">
        <v>-3.556</v>
      </c>
      <c r="E615" s="2">
        <f t="shared" si="45"/>
        <v>-3.5</v>
      </c>
      <c r="F615" s="2">
        <f t="shared" si="46"/>
        <v>74</v>
      </c>
      <c r="G615">
        <v>0.94499999999999995</v>
      </c>
      <c r="H615">
        <v>0.52500000000000002</v>
      </c>
      <c r="I615">
        <v>0.39200000000000002</v>
      </c>
      <c r="J615">
        <v>0.34799999999999998</v>
      </c>
      <c r="K615">
        <v>0.33800000000000002</v>
      </c>
      <c r="L615">
        <v>-99.998999999999995</v>
      </c>
      <c r="M615">
        <v>-99.998999999999995</v>
      </c>
      <c r="Q615" s="2">
        <f t="shared" si="47"/>
        <v>-2.5908018068551302</v>
      </c>
      <c r="T615" s="2">
        <f t="shared" si="48"/>
        <v>68846.939908378001</v>
      </c>
      <c r="W615" s="2">
        <f t="shared" si="49"/>
        <v>68846.939908378001</v>
      </c>
    </row>
    <row r="616" spans="1:23">
      <c r="A616">
        <v>1609</v>
      </c>
      <c r="B616">
        <v>8</v>
      </c>
      <c r="C616">
        <v>5</v>
      </c>
      <c r="D616">
        <v>1.6459999999999999</v>
      </c>
      <c r="E616" s="2">
        <f t="shared" si="45"/>
        <v>1.5</v>
      </c>
      <c r="F616" s="2">
        <f t="shared" si="46"/>
        <v>820</v>
      </c>
      <c r="G616">
        <v>0.996</v>
      </c>
      <c r="H616">
        <v>0.52500000000000002</v>
      </c>
      <c r="I616">
        <v>0.40400000000000003</v>
      </c>
      <c r="J616">
        <v>0.34899999999999998</v>
      </c>
      <c r="K616">
        <v>0.33900000000000002</v>
      </c>
      <c r="L616">
        <v>-99.998999999999995</v>
      </c>
      <c r="M616">
        <v>-99.998999999999995</v>
      </c>
      <c r="Q616" s="2">
        <f t="shared" si="47"/>
        <v>-1.1909482068599782</v>
      </c>
      <c r="T616" s="2">
        <f t="shared" si="48"/>
        <v>186967.08511509129</v>
      </c>
      <c r="W616" s="2">
        <f t="shared" si="49"/>
        <v>186967.08511509129</v>
      </c>
    </row>
    <row r="617" spans="1:23">
      <c r="A617">
        <v>1610</v>
      </c>
      <c r="B617">
        <v>8</v>
      </c>
      <c r="C617">
        <v>5</v>
      </c>
      <c r="D617">
        <v>1.9690000000000001</v>
      </c>
      <c r="E617" s="2">
        <f t="shared" si="45"/>
        <v>2</v>
      </c>
      <c r="F617" s="2">
        <f t="shared" si="46"/>
        <v>848</v>
      </c>
      <c r="G617">
        <v>1.036</v>
      </c>
      <c r="H617">
        <v>0.52500000000000002</v>
      </c>
      <c r="I617">
        <v>0.40400000000000003</v>
      </c>
      <c r="J617">
        <v>0.34899999999999998</v>
      </c>
      <c r="K617">
        <v>0.33900000000000002</v>
      </c>
      <c r="L617">
        <v>-99.998999999999995</v>
      </c>
      <c r="M617">
        <v>-99.998999999999995</v>
      </c>
      <c r="Q617" s="2">
        <f t="shared" si="47"/>
        <v>-1.1040291924811942</v>
      </c>
      <c r="T617" s="2">
        <f t="shared" si="48"/>
        <v>194301.34249720746</v>
      </c>
      <c r="W617" s="2">
        <f t="shared" si="49"/>
        <v>194301.34249720746</v>
      </c>
    </row>
    <row r="618" spans="1:23">
      <c r="A618">
        <v>1611</v>
      </c>
      <c r="B618">
        <v>8</v>
      </c>
      <c r="C618">
        <v>5</v>
      </c>
      <c r="D618">
        <v>1.105</v>
      </c>
      <c r="E618" s="2">
        <f t="shared" si="45"/>
        <v>1</v>
      </c>
      <c r="F618" s="2">
        <f t="shared" si="46"/>
        <v>747</v>
      </c>
      <c r="G618">
        <v>1.05</v>
      </c>
      <c r="H618">
        <v>0.52500000000000002</v>
      </c>
      <c r="I618">
        <v>0.40400000000000003</v>
      </c>
      <c r="J618">
        <v>0.34899999999999998</v>
      </c>
      <c r="K618">
        <v>0.33900000000000002</v>
      </c>
      <c r="L618">
        <v>-99.998999999999995</v>
      </c>
      <c r="M618">
        <v>-99.998999999999995</v>
      </c>
      <c r="Q618" s="2">
        <f t="shared" si="47"/>
        <v>-1.3365308284665482</v>
      </c>
      <c r="T618" s="2">
        <f t="shared" si="48"/>
        <v>174682.77166702668</v>
      </c>
      <c r="W618" s="2">
        <f t="shared" si="49"/>
        <v>174682.77166702668</v>
      </c>
    </row>
    <row r="619" spans="1:23">
      <c r="A619">
        <v>1612</v>
      </c>
      <c r="B619">
        <v>8</v>
      </c>
      <c r="C619">
        <v>5</v>
      </c>
      <c r="D619">
        <v>2.5449999999999999</v>
      </c>
      <c r="E619" s="2">
        <f t="shared" si="45"/>
        <v>2.5</v>
      </c>
      <c r="F619" s="2">
        <f t="shared" si="46"/>
        <v>905</v>
      </c>
      <c r="G619">
        <v>1.032</v>
      </c>
      <c r="H619">
        <v>0.52500000000000002</v>
      </c>
      <c r="I619">
        <v>0.40400000000000003</v>
      </c>
      <c r="J619">
        <v>0.34899999999999998</v>
      </c>
      <c r="K619">
        <v>0.33900000000000002</v>
      </c>
      <c r="L619">
        <v>-99.998999999999995</v>
      </c>
      <c r="M619">
        <v>-99.998999999999995</v>
      </c>
      <c r="Q619" s="2">
        <f t="shared" si="47"/>
        <v>-0.94902810182429165</v>
      </c>
      <c r="T619" s="2">
        <f t="shared" si="48"/>
        <v>207380.38971732795</v>
      </c>
      <c r="W619" s="2">
        <f t="shared" si="49"/>
        <v>207380.38971732795</v>
      </c>
    </row>
    <row r="620" spans="1:23">
      <c r="A620">
        <v>1613</v>
      </c>
      <c r="B620">
        <v>8</v>
      </c>
      <c r="C620">
        <v>5</v>
      </c>
      <c r="D620">
        <v>1.0549999999999999</v>
      </c>
      <c r="E620" s="2">
        <f t="shared" si="45"/>
        <v>1</v>
      </c>
      <c r="F620" s="2">
        <f t="shared" si="46"/>
        <v>739</v>
      </c>
      <c r="G620">
        <v>0.97799999999999998</v>
      </c>
      <c r="H620">
        <v>0.52500000000000002</v>
      </c>
      <c r="I620">
        <v>0.40400000000000003</v>
      </c>
      <c r="J620">
        <v>0.34899999999999998</v>
      </c>
      <c r="K620">
        <v>0.33900000000000002</v>
      </c>
      <c r="L620">
        <v>-99.998999999999995</v>
      </c>
      <c r="M620">
        <v>-99.998999999999995</v>
      </c>
      <c r="Q620" s="2">
        <f t="shared" si="47"/>
        <v>-1.3499857842527376</v>
      </c>
      <c r="T620" s="2">
        <f t="shared" si="48"/>
        <v>173547.4377069468</v>
      </c>
      <c r="W620" s="2">
        <f t="shared" si="49"/>
        <v>173547.4377069468</v>
      </c>
    </row>
    <row r="621" spans="1:23">
      <c r="A621">
        <v>1614</v>
      </c>
      <c r="B621">
        <v>8</v>
      </c>
      <c r="C621">
        <v>6</v>
      </c>
      <c r="D621">
        <v>0.73499999999999999</v>
      </c>
      <c r="E621" s="2">
        <f t="shared" si="45"/>
        <v>0.5</v>
      </c>
      <c r="F621" s="2">
        <f t="shared" si="46"/>
        <v>688</v>
      </c>
      <c r="G621">
        <v>0.89700000000000002</v>
      </c>
      <c r="H621">
        <v>0.52500000000000002</v>
      </c>
      <c r="I621">
        <v>0.40400000000000003</v>
      </c>
      <c r="J621">
        <v>0.34899999999999998</v>
      </c>
      <c r="K621">
        <v>0.33900000000000002</v>
      </c>
      <c r="L621">
        <v>-99.998999999999995</v>
      </c>
      <c r="M621">
        <v>-99.998999999999995</v>
      </c>
      <c r="Q621" s="2">
        <f t="shared" si="47"/>
        <v>-1.4360975012843502</v>
      </c>
      <c r="T621" s="2">
        <f t="shared" si="48"/>
        <v>166281.3003624354</v>
      </c>
      <c r="W621" s="2">
        <f t="shared" si="49"/>
        <v>166281.3003624354</v>
      </c>
    </row>
    <row r="622" spans="1:23">
      <c r="A622">
        <v>1615</v>
      </c>
      <c r="B622">
        <v>8</v>
      </c>
      <c r="C622">
        <v>6</v>
      </c>
      <c r="D622">
        <v>1.778</v>
      </c>
      <c r="E622" s="2">
        <f t="shared" si="45"/>
        <v>2</v>
      </c>
      <c r="F622" s="2">
        <f t="shared" si="46"/>
        <v>833</v>
      </c>
      <c r="G622">
        <v>0.79700000000000004</v>
      </c>
      <c r="H622">
        <v>0.52500000000000002</v>
      </c>
      <c r="I622">
        <v>0.40600000000000003</v>
      </c>
      <c r="J622">
        <v>0.35199999999999998</v>
      </c>
      <c r="K622">
        <v>0.34200000000000003</v>
      </c>
      <c r="L622">
        <v>-99.998999999999995</v>
      </c>
      <c r="M622">
        <v>-99.998999999999995</v>
      </c>
      <c r="Q622" s="2">
        <f t="shared" si="47"/>
        <v>-1.155427123584438</v>
      </c>
      <c r="T622" s="2">
        <f t="shared" si="48"/>
        <v>189964.36676970223</v>
      </c>
      <c r="W622" s="2">
        <f t="shared" si="49"/>
        <v>189964.36676970223</v>
      </c>
    </row>
    <row r="623" spans="1:23">
      <c r="A623">
        <v>1616</v>
      </c>
      <c r="B623">
        <v>8</v>
      </c>
      <c r="C623">
        <v>6</v>
      </c>
      <c r="D623">
        <v>-0.61199999999999999</v>
      </c>
      <c r="E623" s="2">
        <f t="shared" si="45"/>
        <v>-0.5</v>
      </c>
      <c r="F623" s="2">
        <f t="shared" si="46"/>
        <v>462</v>
      </c>
      <c r="G623">
        <v>0.69</v>
      </c>
      <c r="H623">
        <v>0.52500000000000002</v>
      </c>
      <c r="I623">
        <v>0.41499999999999998</v>
      </c>
      <c r="J623">
        <v>0.35599999999999998</v>
      </c>
      <c r="K623">
        <v>0.34499999999999997</v>
      </c>
      <c r="L623">
        <v>-99.998999999999995</v>
      </c>
      <c r="M623">
        <v>-99.998999999999995</v>
      </c>
      <c r="Q623" s="2">
        <f t="shared" si="47"/>
        <v>-1.7985740101642944</v>
      </c>
      <c r="T623" s="2">
        <f t="shared" si="48"/>
        <v>135695.40347788279</v>
      </c>
      <c r="W623" s="2">
        <f t="shared" si="49"/>
        <v>135695.40347788279</v>
      </c>
    </row>
    <row r="624" spans="1:23">
      <c r="A624">
        <v>1617</v>
      </c>
      <c r="B624">
        <v>8</v>
      </c>
      <c r="C624">
        <v>6</v>
      </c>
      <c r="D624">
        <v>0.41199999999999998</v>
      </c>
      <c r="E624" s="2">
        <f t="shared" si="45"/>
        <v>0.5</v>
      </c>
      <c r="F624" s="2">
        <f t="shared" si="46"/>
        <v>637</v>
      </c>
      <c r="G624">
        <v>0.58899999999999997</v>
      </c>
      <c r="H624">
        <v>0.52500000000000002</v>
      </c>
      <c r="I624">
        <v>0.41499999999999998</v>
      </c>
      <c r="J624">
        <v>0.35599999999999998</v>
      </c>
      <c r="K624">
        <v>0.34499999999999997</v>
      </c>
      <c r="L624">
        <v>-99.998999999999995</v>
      </c>
      <c r="M624">
        <v>-99.998999999999995</v>
      </c>
      <c r="Q624" s="2">
        <f t="shared" si="47"/>
        <v>-1.5230165156631341</v>
      </c>
      <c r="T624" s="2">
        <f t="shared" si="48"/>
        <v>158947.04298031924</v>
      </c>
      <c r="W624" s="2">
        <f t="shared" si="49"/>
        <v>158947.04298031924</v>
      </c>
    </row>
    <row r="625" spans="1:23">
      <c r="A625">
        <v>1618</v>
      </c>
      <c r="B625">
        <v>8</v>
      </c>
      <c r="C625">
        <v>6</v>
      </c>
      <c r="D625">
        <v>-1.5920000000000001</v>
      </c>
      <c r="E625" s="2">
        <f t="shared" si="45"/>
        <v>-1.5</v>
      </c>
      <c r="F625" s="2">
        <f t="shared" si="46"/>
        <v>307</v>
      </c>
      <c r="G625">
        <v>0.504</v>
      </c>
      <c r="H625">
        <v>0.52500000000000002</v>
      </c>
      <c r="I625">
        <v>0.41499999999999998</v>
      </c>
      <c r="J625">
        <v>0.35599999999999998</v>
      </c>
      <c r="K625">
        <v>0.34499999999999997</v>
      </c>
      <c r="L625">
        <v>-99.998999999999995</v>
      </c>
      <c r="M625">
        <v>-99.998999999999995</v>
      </c>
      <c r="Q625" s="2">
        <f t="shared" si="47"/>
        <v>-2.0622911435736082</v>
      </c>
      <c r="T625" s="2">
        <f t="shared" si="48"/>
        <v>113442.85786031664</v>
      </c>
      <c r="W625" s="2">
        <f t="shared" si="49"/>
        <v>113442.85786031664</v>
      </c>
    </row>
    <row r="626" spans="1:23">
      <c r="A626">
        <v>1619</v>
      </c>
      <c r="B626">
        <v>8</v>
      </c>
      <c r="C626">
        <v>6</v>
      </c>
      <c r="D626">
        <v>-1.498</v>
      </c>
      <c r="E626" s="2">
        <f t="shared" si="45"/>
        <v>-1.5</v>
      </c>
      <c r="F626" s="2">
        <f t="shared" si="46"/>
        <v>329</v>
      </c>
      <c r="G626">
        <v>0.433</v>
      </c>
      <c r="H626">
        <v>0.52500000000000002</v>
      </c>
      <c r="I626">
        <v>0.41499999999999998</v>
      </c>
      <c r="J626">
        <v>0.35599999999999998</v>
      </c>
      <c r="K626">
        <v>0.34499999999999997</v>
      </c>
      <c r="L626">
        <v>-99.998999999999995</v>
      </c>
      <c r="M626">
        <v>-99.998999999999995</v>
      </c>
      <c r="Q626" s="2">
        <f t="shared" si="47"/>
        <v>-2.0369958266955717</v>
      </c>
      <c r="T626" s="2">
        <f t="shared" si="48"/>
        <v>115577.2857052669</v>
      </c>
      <c r="W626" s="2">
        <f t="shared" si="49"/>
        <v>115577.2857052669</v>
      </c>
    </row>
    <row r="627" spans="1:23">
      <c r="A627">
        <v>1620</v>
      </c>
      <c r="B627">
        <v>8</v>
      </c>
      <c r="C627">
        <v>6</v>
      </c>
      <c r="D627">
        <v>2.56</v>
      </c>
      <c r="E627" s="2">
        <f t="shared" si="45"/>
        <v>2.5</v>
      </c>
      <c r="F627" s="2">
        <f t="shared" si="46"/>
        <v>907</v>
      </c>
      <c r="G627">
        <v>0.36099999999999999</v>
      </c>
      <c r="H627">
        <v>0.52500000000000002</v>
      </c>
      <c r="I627">
        <v>0.41499999999999998</v>
      </c>
      <c r="J627">
        <v>0.36199999999999999</v>
      </c>
      <c r="K627">
        <v>0.35099999999999998</v>
      </c>
      <c r="L627">
        <v>-99.998999999999995</v>
      </c>
      <c r="M627">
        <v>-99.998999999999995</v>
      </c>
      <c r="Q627" s="2">
        <f t="shared" si="47"/>
        <v>-0.94499161508843477</v>
      </c>
      <c r="T627" s="2">
        <f t="shared" si="48"/>
        <v>207720.98990535192</v>
      </c>
      <c r="W627" s="2">
        <f t="shared" si="49"/>
        <v>207720.98990535192</v>
      </c>
    </row>
    <row r="628" spans="1:23">
      <c r="A628">
        <v>1621</v>
      </c>
      <c r="B628">
        <v>8</v>
      </c>
      <c r="C628">
        <v>6</v>
      </c>
      <c r="D628">
        <v>2.6059999999999999</v>
      </c>
      <c r="E628" s="2">
        <f t="shared" si="45"/>
        <v>2.5</v>
      </c>
      <c r="F628" s="2">
        <f t="shared" si="46"/>
        <v>911</v>
      </c>
      <c r="G628">
        <v>0.25900000000000001</v>
      </c>
      <c r="H628">
        <v>0.52500000000000002</v>
      </c>
      <c r="I628">
        <v>0.41499999999999998</v>
      </c>
      <c r="J628">
        <v>0.36799999999999999</v>
      </c>
      <c r="K628">
        <v>0.35799999999999998</v>
      </c>
      <c r="L628">
        <v>-99.998999999999995</v>
      </c>
      <c r="M628">
        <v>-99.998999999999995</v>
      </c>
      <c r="Q628" s="2">
        <f t="shared" si="47"/>
        <v>-0.93261305576514053</v>
      </c>
      <c r="T628" s="2">
        <f t="shared" si="48"/>
        <v>208765.49714862544</v>
      </c>
      <c r="W628" s="2">
        <f t="shared" si="49"/>
        <v>208765.49714862544</v>
      </c>
    </row>
    <row r="629" spans="1:23">
      <c r="A629">
        <v>1622</v>
      </c>
      <c r="B629">
        <v>8</v>
      </c>
      <c r="C629">
        <v>6</v>
      </c>
      <c r="D629">
        <v>2.907</v>
      </c>
      <c r="E629" s="2">
        <f t="shared" si="45"/>
        <v>3</v>
      </c>
      <c r="F629" s="2">
        <f t="shared" si="46"/>
        <v>931</v>
      </c>
      <c r="G629">
        <v>0.114</v>
      </c>
      <c r="H629">
        <v>0.52500000000000002</v>
      </c>
      <c r="I629">
        <v>0.41499999999999998</v>
      </c>
      <c r="J629">
        <v>0.36799999999999999</v>
      </c>
      <c r="K629">
        <v>0.35799999999999998</v>
      </c>
      <c r="L629">
        <v>-99.998999999999995</v>
      </c>
      <c r="M629">
        <v>-99.998999999999995</v>
      </c>
      <c r="Q629" s="2">
        <f t="shared" si="47"/>
        <v>-0.85161422193227987</v>
      </c>
      <c r="T629" s="2">
        <f t="shared" si="48"/>
        <v>215600.20758830645</v>
      </c>
      <c r="W629" s="2">
        <f t="shared" si="49"/>
        <v>215600.20758830645</v>
      </c>
    </row>
    <row r="630" spans="1:23">
      <c r="A630">
        <v>1623</v>
      </c>
      <c r="B630">
        <v>8</v>
      </c>
      <c r="C630">
        <v>6</v>
      </c>
      <c r="D630">
        <v>-1.859</v>
      </c>
      <c r="E630" s="2">
        <f t="shared" si="45"/>
        <v>-2</v>
      </c>
      <c r="F630" s="2">
        <f t="shared" si="46"/>
        <v>262</v>
      </c>
      <c r="G630">
        <v>-6.4000000000000001E-2</v>
      </c>
      <c r="H630">
        <v>0.52500000000000002</v>
      </c>
      <c r="I630">
        <v>0.41499999999999998</v>
      </c>
      <c r="J630">
        <v>0.36799999999999999</v>
      </c>
      <c r="K630">
        <v>0.35799999999999998</v>
      </c>
      <c r="L630">
        <v>-99.998999999999995</v>
      </c>
      <c r="M630">
        <v>-99.998999999999995</v>
      </c>
      <c r="Q630" s="2">
        <f t="shared" si="47"/>
        <v>-2.1341406074718599</v>
      </c>
      <c r="T630" s="2">
        <f t="shared" si="48"/>
        <v>107380.17451348997</v>
      </c>
      <c r="W630" s="2">
        <f t="shared" si="49"/>
        <v>107380.17451348997</v>
      </c>
    </row>
    <row r="631" spans="1:23">
      <c r="A631">
        <v>1624</v>
      </c>
      <c r="B631">
        <v>8</v>
      </c>
      <c r="C631">
        <v>6</v>
      </c>
      <c r="D631">
        <v>1.7529999999999999</v>
      </c>
      <c r="E631" s="2">
        <f t="shared" si="45"/>
        <v>2</v>
      </c>
      <c r="F631" s="2">
        <f t="shared" si="46"/>
        <v>830</v>
      </c>
      <c r="G631">
        <v>-0.248</v>
      </c>
      <c r="H631">
        <v>0.52500000000000002</v>
      </c>
      <c r="I631">
        <v>0.41499999999999998</v>
      </c>
      <c r="J631">
        <v>0.36799999999999999</v>
      </c>
      <c r="K631">
        <v>0.35799999999999998</v>
      </c>
      <c r="L631">
        <v>-99.998999999999995</v>
      </c>
      <c r="M631">
        <v>-99.998999999999995</v>
      </c>
      <c r="Q631" s="2">
        <f t="shared" si="47"/>
        <v>-1.1621546014775328</v>
      </c>
      <c r="T631" s="2">
        <f t="shared" si="48"/>
        <v>189396.69978966226</v>
      </c>
      <c r="W631" s="2">
        <f t="shared" si="49"/>
        <v>189396.69978966226</v>
      </c>
    </row>
    <row r="632" spans="1:23">
      <c r="A632">
        <v>1625</v>
      </c>
      <c r="B632">
        <v>8</v>
      </c>
      <c r="C632">
        <v>6</v>
      </c>
      <c r="D632">
        <v>-2.7829999999999999</v>
      </c>
      <c r="E632" s="2">
        <f t="shared" si="45"/>
        <v>-3</v>
      </c>
      <c r="F632" s="2">
        <f t="shared" si="46"/>
        <v>137</v>
      </c>
      <c r="G632">
        <v>-0.41199999999999998</v>
      </c>
      <c r="H632">
        <v>0.52500000000000002</v>
      </c>
      <c r="I632">
        <v>0.41799999999999998</v>
      </c>
      <c r="J632">
        <v>0.36799999999999999</v>
      </c>
      <c r="K632">
        <v>0.35799999999999998</v>
      </c>
      <c r="L632">
        <v>-99.998999999999995</v>
      </c>
      <c r="M632">
        <v>-99.998999999999995</v>
      </c>
      <c r="Q632" s="2">
        <f t="shared" si="47"/>
        <v>-2.3827881904006412</v>
      </c>
      <c r="T632" s="2">
        <f t="shared" si="48"/>
        <v>86399.202931213338</v>
      </c>
      <c r="W632" s="2">
        <f t="shared" si="49"/>
        <v>86399.202931213338</v>
      </c>
    </row>
    <row r="633" spans="1:23">
      <c r="A633">
        <v>1626</v>
      </c>
      <c r="B633">
        <v>8</v>
      </c>
      <c r="C633">
        <v>8</v>
      </c>
      <c r="D633">
        <v>-2.7389999999999999</v>
      </c>
      <c r="E633" s="2">
        <f t="shared" si="45"/>
        <v>-2.5</v>
      </c>
      <c r="F633" s="2">
        <f t="shared" si="46"/>
        <v>140</v>
      </c>
      <c r="G633">
        <v>-0.52600000000000002</v>
      </c>
      <c r="H633">
        <v>0.52500000000000002</v>
      </c>
      <c r="I633">
        <v>0.46100000000000002</v>
      </c>
      <c r="J633">
        <v>0.40600000000000003</v>
      </c>
      <c r="K633">
        <v>0.39600000000000002</v>
      </c>
      <c r="L633">
        <v>-99.998999999999995</v>
      </c>
      <c r="M633">
        <v>-99.998999999999995</v>
      </c>
      <c r="Q633" s="2">
        <f t="shared" si="47"/>
        <v>-2.3709478293087942</v>
      </c>
      <c r="T633" s="2">
        <f t="shared" si="48"/>
        <v>87398.296816083661</v>
      </c>
      <c r="W633" s="2">
        <f t="shared" si="49"/>
        <v>87398.296816083661</v>
      </c>
    </row>
    <row r="634" spans="1:23">
      <c r="A634">
        <v>1627</v>
      </c>
      <c r="B634">
        <v>8</v>
      </c>
      <c r="C634">
        <v>8</v>
      </c>
      <c r="D634">
        <v>-3.2829999999999999</v>
      </c>
      <c r="E634" s="2">
        <f t="shared" si="45"/>
        <v>-3.5</v>
      </c>
      <c r="F634" s="2">
        <f t="shared" si="46"/>
        <v>89</v>
      </c>
      <c r="G634">
        <v>-0.57299999999999995</v>
      </c>
      <c r="H634">
        <v>0.52500000000000002</v>
      </c>
      <c r="I634">
        <v>0.46100000000000002</v>
      </c>
      <c r="J634">
        <v>0.40600000000000003</v>
      </c>
      <c r="K634">
        <v>0.39600000000000002</v>
      </c>
      <c r="L634">
        <v>-99.998999999999995</v>
      </c>
      <c r="M634">
        <v>-99.998999999999995</v>
      </c>
      <c r="Q634" s="2">
        <f t="shared" si="47"/>
        <v>-2.5173377482625359</v>
      </c>
      <c r="T634" s="2">
        <f t="shared" si="48"/>
        <v>75045.863330414286</v>
      </c>
      <c r="W634" s="2">
        <f t="shared" si="49"/>
        <v>75045.863330414286</v>
      </c>
    </row>
    <row r="635" spans="1:23">
      <c r="A635">
        <v>1628</v>
      </c>
      <c r="B635">
        <v>8</v>
      </c>
      <c r="C635">
        <v>8</v>
      </c>
      <c r="D635">
        <v>0.49399999999999999</v>
      </c>
      <c r="E635" s="2">
        <f t="shared" si="45"/>
        <v>0.5</v>
      </c>
      <c r="F635" s="2">
        <f t="shared" si="46"/>
        <v>647</v>
      </c>
      <c r="G635">
        <v>-0.56100000000000005</v>
      </c>
      <c r="H635">
        <v>0.52500000000000002</v>
      </c>
      <c r="I635">
        <v>0.46100000000000002</v>
      </c>
      <c r="J635">
        <v>0.40600000000000003</v>
      </c>
      <c r="K635">
        <v>0.39600000000000002</v>
      </c>
      <c r="L635">
        <v>-99.998999999999995</v>
      </c>
      <c r="M635">
        <v>-99.998999999999995</v>
      </c>
      <c r="Q635" s="2">
        <f t="shared" si="47"/>
        <v>-1.5009503881737836</v>
      </c>
      <c r="T635" s="2">
        <f t="shared" si="48"/>
        <v>160808.99067485027</v>
      </c>
      <c r="W635" s="2">
        <f t="shared" si="49"/>
        <v>160808.99067485027</v>
      </c>
    </row>
    <row r="636" spans="1:23">
      <c r="A636">
        <v>1629</v>
      </c>
      <c r="B636">
        <v>8</v>
      </c>
      <c r="C636">
        <v>8</v>
      </c>
      <c r="D636">
        <v>2.85</v>
      </c>
      <c r="E636" s="2">
        <f t="shared" si="45"/>
        <v>3</v>
      </c>
      <c r="F636" s="2">
        <f t="shared" si="46"/>
        <v>928</v>
      </c>
      <c r="G636">
        <v>-0.51800000000000002</v>
      </c>
      <c r="H636">
        <v>0.52500000000000002</v>
      </c>
      <c r="I636">
        <v>0.46100000000000002</v>
      </c>
      <c r="J636">
        <v>0.40600000000000003</v>
      </c>
      <c r="K636">
        <v>0.39600000000000002</v>
      </c>
      <c r="L636">
        <v>-99.998999999999995</v>
      </c>
      <c r="M636">
        <v>-99.998999999999995</v>
      </c>
      <c r="Q636" s="2">
        <f t="shared" si="47"/>
        <v>-0.86695287152853584</v>
      </c>
      <c r="T636" s="2">
        <f t="shared" si="48"/>
        <v>214305.92687381536</v>
      </c>
      <c r="W636" s="2">
        <f t="shared" si="49"/>
        <v>214305.92687381536</v>
      </c>
    </row>
    <row r="637" spans="1:23">
      <c r="A637">
        <v>1630</v>
      </c>
      <c r="B637">
        <v>8</v>
      </c>
      <c r="C637">
        <v>8</v>
      </c>
      <c r="D637">
        <v>-0.224</v>
      </c>
      <c r="E637" s="2">
        <f t="shared" si="45"/>
        <v>0</v>
      </c>
      <c r="F637" s="2">
        <f t="shared" si="46"/>
        <v>531</v>
      </c>
      <c r="G637">
        <v>-0.46100000000000002</v>
      </c>
      <c r="H637">
        <v>0.52500000000000002</v>
      </c>
      <c r="I637">
        <v>0.46100000000000002</v>
      </c>
      <c r="J637">
        <v>0.40600000000000003</v>
      </c>
      <c r="K637">
        <v>0.39600000000000002</v>
      </c>
      <c r="L637">
        <v>-99.998999999999995</v>
      </c>
      <c r="M637">
        <v>-99.998999999999995</v>
      </c>
      <c r="Q637" s="2">
        <f t="shared" si="47"/>
        <v>-1.6941635532634642</v>
      </c>
      <c r="T637" s="2">
        <f t="shared" si="48"/>
        <v>144505.59500810283</v>
      </c>
      <c r="W637" s="2">
        <f t="shared" si="49"/>
        <v>144505.59500810283</v>
      </c>
    </row>
    <row r="638" spans="1:23">
      <c r="A638">
        <v>1631</v>
      </c>
      <c r="B638">
        <v>8</v>
      </c>
      <c r="C638">
        <v>8</v>
      </c>
      <c r="D638">
        <v>-2.38</v>
      </c>
      <c r="E638" s="2">
        <f t="shared" si="45"/>
        <v>-2.5</v>
      </c>
      <c r="F638" s="2">
        <f t="shared" si="46"/>
        <v>192</v>
      </c>
      <c r="G638">
        <v>-0.38600000000000001</v>
      </c>
      <c r="H638">
        <v>0.52500000000000002</v>
      </c>
      <c r="I638">
        <v>0.46100000000000002</v>
      </c>
      <c r="J638">
        <v>0.40600000000000003</v>
      </c>
      <c r="K638">
        <v>0.39600000000000002</v>
      </c>
      <c r="L638">
        <v>-99.998999999999995</v>
      </c>
      <c r="M638">
        <v>-99.998999999999995</v>
      </c>
      <c r="Q638" s="2">
        <f t="shared" si="47"/>
        <v>-2.2743412467639539</v>
      </c>
      <c r="T638" s="2">
        <f t="shared" si="48"/>
        <v>95549.994649457367</v>
      </c>
      <c r="W638" s="2">
        <f t="shared" si="49"/>
        <v>95549.994649457367</v>
      </c>
    </row>
    <row r="639" spans="1:23">
      <c r="A639">
        <v>1632</v>
      </c>
      <c r="B639">
        <v>8</v>
      </c>
      <c r="C639">
        <v>8</v>
      </c>
      <c r="D639">
        <v>-3.6469999999999998</v>
      </c>
      <c r="E639" s="2">
        <f t="shared" si="45"/>
        <v>-3.5</v>
      </c>
      <c r="F639" s="2">
        <f t="shared" si="46"/>
        <v>64</v>
      </c>
      <c r="G639">
        <v>-0.28499999999999998</v>
      </c>
      <c r="H639">
        <v>0.52500000000000002</v>
      </c>
      <c r="I639">
        <v>0.46100000000000002</v>
      </c>
      <c r="J639">
        <v>0.40600000000000003</v>
      </c>
      <c r="K639">
        <v>0.39600000000000002</v>
      </c>
      <c r="L639">
        <v>-99.998999999999995</v>
      </c>
      <c r="M639">
        <v>-99.998999999999995</v>
      </c>
      <c r="Q639" s="2">
        <f t="shared" si="47"/>
        <v>-2.6152898263859949</v>
      </c>
      <c r="T639" s="2">
        <f t="shared" si="48"/>
        <v>66780.632101032592</v>
      </c>
      <c r="W639" s="2">
        <f t="shared" si="49"/>
        <v>66780.632101032592</v>
      </c>
    </row>
    <row r="640" spans="1:23">
      <c r="A640">
        <v>1633</v>
      </c>
      <c r="B640">
        <v>8</v>
      </c>
      <c r="C640">
        <v>8</v>
      </c>
      <c r="D640">
        <v>1.8220000000000001</v>
      </c>
      <c r="E640" s="2">
        <f t="shared" si="45"/>
        <v>2</v>
      </c>
      <c r="F640" s="2">
        <f t="shared" si="46"/>
        <v>836</v>
      </c>
      <c r="G640">
        <v>-0.16500000000000001</v>
      </c>
      <c r="H640">
        <v>0.52500000000000002</v>
      </c>
      <c r="I640">
        <v>0.46100000000000002</v>
      </c>
      <c r="J640">
        <v>0.40600000000000003</v>
      </c>
      <c r="K640">
        <v>0.39600000000000002</v>
      </c>
      <c r="L640">
        <v>-99.998999999999995</v>
      </c>
      <c r="M640">
        <v>-99.998999999999995</v>
      </c>
      <c r="Q640" s="2">
        <f t="shared" si="47"/>
        <v>-1.1435867624925913</v>
      </c>
      <c r="T640" s="2">
        <f t="shared" si="48"/>
        <v>190963.46065457253</v>
      </c>
      <c r="W640" s="2">
        <f t="shared" si="49"/>
        <v>190963.46065457253</v>
      </c>
    </row>
    <row r="641" spans="1:23">
      <c r="A641">
        <v>1634</v>
      </c>
      <c r="B641">
        <v>8</v>
      </c>
      <c r="C641">
        <v>8</v>
      </c>
      <c r="D641">
        <v>0.28799999999999998</v>
      </c>
      <c r="E641" s="2">
        <f t="shared" si="45"/>
        <v>0.5</v>
      </c>
      <c r="F641" s="2">
        <f t="shared" si="46"/>
        <v>618</v>
      </c>
      <c r="G641">
        <v>-5.8000000000000003E-2</v>
      </c>
      <c r="H641">
        <v>0.52500000000000002</v>
      </c>
      <c r="I641">
        <v>0.46100000000000002</v>
      </c>
      <c r="J641">
        <v>0.40600000000000003</v>
      </c>
      <c r="K641">
        <v>0.39600000000000002</v>
      </c>
      <c r="L641">
        <v>-99.998999999999995</v>
      </c>
      <c r="M641">
        <v>-99.998999999999995</v>
      </c>
      <c r="Q641" s="2">
        <f t="shared" si="47"/>
        <v>-1.556384806012884</v>
      </c>
      <c r="T641" s="2">
        <f t="shared" si="48"/>
        <v>156131.41475932108</v>
      </c>
      <c r="W641" s="2">
        <f t="shared" si="49"/>
        <v>156131.41475932108</v>
      </c>
    </row>
    <row r="642" spans="1:23">
      <c r="A642">
        <v>1635</v>
      </c>
      <c r="B642">
        <v>8</v>
      </c>
      <c r="C642">
        <v>8</v>
      </c>
      <c r="D642">
        <v>1.2889999999999999</v>
      </c>
      <c r="E642" s="2">
        <f t="shared" si="45"/>
        <v>1.5</v>
      </c>
      <c r="F642" s="2">
        <f t="shared" si="46"/>
        <v>773</v>
      </c>
      <c r="G642">
        <v>1.2999999999999999E-2</v>
      </c>
      <c r="H642">
        <v>0.52500000000000002</v>
      </c>
      <c r="I642">
        <v>0.46100000000000002</v>
      </c>
      <c r="J642">
        <v>0.40600000000000003</v>
      </c>
      <c r="K642">
        <v>0.39600000000000002</v>
      </c>
      <c r="L642">
        <v>-99.998999999999995</v>
      </c>
      <c r="M642">
        <v>-99.998999999999995</v>
      </c>
      <c r="Q642" s="2">
        <f t="shared" si="47"/>
        <v>-1.2870165911733711</v>
      </c>
      <c r="T642" s="2">
        <f t="shared" si="48"/>
        <v>178860.80064012075</v>
      </c>
      <c r="W642" s="2">
        <f t="shared" si="49"/>
        <v>178860.80064012075</v>
      </c>
    </row>
    <row r="643" spans="1:23">
      <c r="A643">
        <v>1636</v>
      </c>
      <c r="B643">
        <v>8</v>
      </c>
      <c r="C643">
        <v>8</v>
      </c>
      <c r="D643">
        <v>0.89200000000000002</v>
      </c>
      <c r="E643" s="2">
        <f t="shared" ref="E643:E706" si="50">IF(D643&gt;0,MROUND(D643,0.5),MROUND(D643,-0.5))</f>
        <v>1</v>
      </c>
      <c r="F643" s="2">
        <f t="shared" ref="F643:F706" si="51">RANK(D643,$D$3:$D$1011,1)</f>
        <v>708</v>
      </c>
      <c r="G643">
        <v>3.2000000000000001E-2</v>
      </c>
      <c r="H643">
        <v>0.52500000000000002</v>
      </c>
      <c r="I643">
        <v>0.46100000000000002</v>
      </c>
      <c r="J643">
        <v>0.40600000000000003</v>
      </c>
      <c r="K643">
        <v>0.39600000000000002</v>
      </c>
      <c r="L643">
        <v>-99.998999999999995</v>
      </c>
      <c r="M643">
        <v>-99.998999999999995</v>
      </c>
      <c r="Q643" s="2">
        <f t="shared" ref="Q643:Q706" si="52">$Q$1022+($Q$1021*D643)</f>
        <v>-1.3938489401157153</v>
      </c>
      <c r="T643" s="2">
        <f t="shared" ref="T643:T706" si="53">$T$1025+(Q643*$T$1024)</f>
        <v>169846.24899708631</v>
      </c>
      <c r="W643" s="2">
        <f t="shared" ref="W643:W706" si="54">$T$1025+(Q643*$T$1024)</f>
        <v>169846.24899708631</v>
      </c>
    </row>
    <row r="644" spans="1:23">
      <c r="A644">
        <v>1637</v>
      </c>
      <c r="B644">
        <v>8</v>
      </c>
      <c r="C644">
        <v>8</v>
      </c>
      <c r="D644">
        <v>1.038</v>
      </c>
      <c r="E644" s="2">
        <f t="shared" si="50"/>
        <v>1</v>
      </c>
      <c r="F644" s="2">
        <f t="shared" si="51"/>
        <v>735</v>
      </c>
      <c r="G644">
        <v>-6.0000000000000001E-3</v>
      </c>
      <c r="H644">
        <v>0.52800000000000002</v>
      </c>
      <c r="I644">
        <v>0.46500000000000002</v>
      </c>
      <c r="J644">
        <v>0.41099999999999998</v>
      </c>
      <c r="K644">
        <v>0.40100000000000002</v>
      </c>
      <c r="L644">
        <v>-99.998999999999995</v>
      </c>
      <c r="M644">
        <v>-99.998999999999995</v>
      </c>
      <c r="Q644" s="2">
        <f t="shared" si="52"/>
        <v>-1.3545604692200421</v>
      </c>
      <c r="T644" s="2">
        <f t="shared" si="53"/>
        <v>173161.42416051961</v>
      </c>
      <c r="W644" s="2">
        <f t="shared" si="54"/>
        <v>173161.42416051961</v>
      </c>
    </row>
    <row r="645" spans="1:23">
      <c r="A645">
        <v>1638</v>
      </c>
      <c r="B645">
        <v>8</v>
      </c>
      <c r="C645">
        <v>8</v>
      </c>
      <c r="D645">
        <v>-1.4259999999999999</v>
      </c>
      <c r="E645" s="2">
        <f t="shared" si="50"/>
        <v>-1.5</v>
      </c>
      <c r="F645" s="2">
        <f t="shared" si="51"/>
        <v>343</v>
      </c>
      <c r="G645">
        <v>-9.6000000000000002E-2</v>
      </c>
      <c r="H645">
        <v>0.52800000000000002</v>
      </c>
      <c r="I645">
        <v>0.46500000000000002</v>
      </c>
      <c r="J645">
        <v>0.41099999999999998</v>
      </c>
      <c r="K645">
        <v>0.40100000000000002</v>
      </c>
      <c r="L645">
        <v>-99.998999999999995</v>
      </c>
      <c r="M645">
        <v>-99.998999999999995</v>
      </c>
      <c r="Q645" s="2">
        <f t="shared" si="52"/>
        <v>-2.0176206903634588</v>
      </c>
      <c r="T645" s="2">
        <f t="shared" si="53"/>
        <v>117212.16660778195</v>
      </c>
      <c r="W645" s="2">
        <f t="shared" si="54"/>
        <v>117212.16660778195</v>
      </c>
    </row>
    <row r="646" spans="1:23">
      <c r="A646">
        <v>1639</v>
      </c>
      <c r="B646">
        <v>8</v>
      </c>
      <c r="C646">
        <v>8</v>
      </c>
      <c r="D646">
        <v>2.556</v>
      </c>
      <c r="E646" s="2">
        <f t="shared" si="50"/>
        <v>2.5</v>
      </c>
      <c r="F646" s="2">
        <f t="shared" si="51"/>
        <v>906</v>
      </c>
      <c r="G646">
        <v>-0.22900000000000001</v>
      </c>
      <c r="H646">
        <v>0.52800000000000002</v>
      </c>
      <c r="I646">
        <v>0.46700000000000003</v>
      </c>
      <c r="J646">
        <v>0.41099999999999998</v>
      </c>
      <c r="K646">
        <v>0.40100000000000002</v>
      </c>
      <c r="L646">
        <v>-99.998999999999995</v>
      </c>
      <c r="M646">
        <v>-99.998999999999995</v>
      </c>
      <c r="Q646" s="2">
        <f t="shared" si="52"/>
        <v>-0.94606801155132991</v>
      </c>
      <c r="T646" s="2">
        <f t="shared" si="53"/>
        <v>207630.16318854553</v>
      </c>
      <c r="W646" s="2">
        <f t="shared" si="54"/>
        <v>207630.16318854553</v>
      </c>
    </row>
    <row r="647" spans="1:23">
      <c r="A647">
        <v>1640</v>
      </c>
      <c r="B647">
        <v>8</v>
      </c>
      <c r="C647">
        <v>8</v>
      </c>
      <c r="D647">
        <v>0.40200000000000002</v>
      </c>
      <c r="E647" s="2">
        <f t="shared" si="50"/>
        <v>0.5</v>
      </c>
      <c r="F647" s="2">
        <f t="shared" si="51"/>
        <v>633</v>
      </c>
      <c r="G647">
        <v>-0.39600000000000002</v>
      </c>
      <c r="H647">
        <v>0.52800000000000002</v>
      </c>
      <c r="I647">
        <v>0.46700000000000003</v>
      </c>
      <c r="J647">
        <v>0.41099999999999998</v>
      </c>
      <c r="K647">
        <v>0.40100000000000002</v>
      </c>
      <c r="L647">
        <v>-99.998999999999995</v>
      </c>
      <c r="M647">
        <v>-99.998999999999995</v>
      </c>
      <c r="Q647" s="2">
        <f t="shared" si="52"/>
        <v>-1.525707506820372</v>
      </c>
      <c r="T647" s="2">
        <f t="shared" si="53"/>
        <v>158719.97618830326</v>
      </c>
      <c r="W647" s="2">
        <f t="shared" si="54"/>
        <v>158719.97618830326</v>
      </c>
    </row>
    <row r="648" spans="1:23">
      <c r="A648">
        <v>1641</v>
      </c>
      <c r="B648">
        <v>8</v>
      </c>
      <c r="C648">
        <v>8</v>
      </c>
      <c r="D648">
        <v>-2.7250000000000001</v>
      </c>
      <c r="E648" s="2">
        <f t="shared" si="50"/>
        <v>-2.5</v>
      </c>
      <c r="F648" s="2">
        <f t="shared" si="51"/>
        <v>144</v>
      </c>
      <c r="G648">
        <v>-0.57399999999999995</v>
      </c>
      <c r="H648">
        <v>0.52800000000000002</v>
      </c>
      <c r="I648">
        <v>0.46700000000000003</v>
      </c>
      <c r="J648">
        <v>0.41099999999999998</v>
      </c>
      <c r="K648">
        <v>0.40100000000000002</v>
      </c>
      <c r="L648">
        <v>-99.998999999999995</v>
      </c>
      <c r="M648">
        <v>-99.998999999999995</v>
      </c>
      <c r="Q648" s="2">
        <f t="shared" si="52"/>
        <v>-2.367180441688661</v>
      </c>
      <c r="T648" s="2">
        <f t="shared" si="53"/>
        <v>87716.190324906056</v>
      </c>
      <c r="W648" s="2">
        <f t="shared" si="54"/>
        <v>87716.190324906056</v>
      </c>
    </row>
    <row r="649" spans="1:23">
      <c r="A649">
        <v>1642</v>
      </c>
      <c r="B649">
        <v>8</v>
      </c>
      <c r="C649">
        <v>8</v>
      </c>
      <c r="D649">
        <v>-0.7</v>
      </c>
      <c r="E649" s="2">
        <f t="shared" si="50"/>
        <v>-0.5</v>
      </c>
      <c r="F649" s="2">
        <f t="shared" si="51"/>
        <v>450</v>
      </c>
      <c r="G649">
        <v>-0.72899999999999998</v>
      </c>
      <c r="H649">
        <v>0.52800000000000002</v>
      </c>
      <c r="I649">
        <v>0.46700000000000003</v>
      </c>
      <c r="J649">
        <v>0.41099999999999998</v>
      </c>
      <c r="K649">
        <v>0.40100000000000002</v>
      </c>
      <c r="L649">
        <v>-99.998999999999995</v>
      </c>
      <c r="M649">
        <v>-99.998999999999995</v>
      </c>
      <c r="Q649" s="2">
        <f t="shared" si="52"/>
        <v>-1.8222547323479878</v>
      </c>
      <c r="T649" s="2">
        <f t="shared" si="53"/>
        <v>133697.21570814215</v>
      </c>
      <c r="W649" s="2">
        <f t="shared" si="54"/>
        <v>133697.21570814215</v>
      </c>
    </row>
    <row r="650" spans="1:23">
      <c r="A650">
        <v>1643</v>
      </c>
      <c r="B650">
        <v>8</v>
      </c>
      <c r="C650">
        <v>8</v>
      </c>
      <c r="D650">
        <v>-1.641</v>
      </c>
      <c r="E650" s="2">
        <f t="shared" si="50"/>
        <v>-1.5</v>
      </c>
      <c r="F650" s="2">
        <f t="shared" si="51"/>
        <v>301</v>
      </c>
      <c r="G650">
        <v>-0.84499999999999997</v>
      </c>
      <c r="H650">
        <v>0.55100000000000005</v>
      </c>
      <c r="I650">
        <v>0.46700000000000003</v>
      </c>
      <c r="J650">
        <v>0.41099999999999998</v>
      </c>
      <c r="K650">
        <v>0.40100000000000002</v>
      </c>
      <c r="L650">
        <v>-99.998999999999995</v>
      </c>
      <c r="M650">
        <v>-99.998999999999995</v>
      </c>
      <c r="Q650" s="2">
        <f t="shared" si="52"/>
        <v>-2.0754770002440734</v>
      </c>
      <c r="T650" s="2">
        <f t="shared" si="53"/>
        <v>112330.23057943836</v>
      </c>
      <c r="W650" s="2">
        <f t="shared" si="54"/>
        <v>112330.23057943836</v>
      </c>
    </row>
    <row r="651" spans="1:23">
      <c r="A651">
        <v>1644</v>
      </c>
      <c r="B651">
        <v>8</v>
      </c>
      <c r="C651">
        <v>8</v>
      </c>
      <c r="D651">
        <v>-2.5369999999999999</v>
      </c>
      <c r="E651" s="2">
        <f t="shared" si="50"/>
        <v>-2.5</v>
      </c>
      <c r="F651" s="2">
        <f t="shared" si="51"/>
        <v>172</v>
      </c>
      <c r="G651">
        <v>-0.90700000000000003</v>
      </c>
      <c r="H651">
        <v>0.55100000000000005</v>
      </c>
      <c r="I651">
        <v>0.46700000000000003</v>
      </c>
      <c r="J651">
        <v>0.41099999999999998</v>
      </c>
      <c r="K651">
        <v>0.40100000000000002</v>
      </c>
      <c r="L651">
        <v>-99.998999999999995</v>
      </c>
      <c r="M651">
        <v>-99.998999999999995</v>
      </c>
      <c r="Q651" s="2">
        <f t="shared" si="52"/>
        <v>-2.3165898079325888</v>
      </c>
      <c r="T651" s="2">
        <f t="shared" si="53"/>
        <v>91985.046014806459</v>
      </c>
      <c r="W651" s="2">
        <f t="shared" si="54"/>
        <v>91985.046014806459</v>
      </c>
    </row>
    <row r="652" spans="1:23">
      <c r="A652">
        <v>1645</v>
      </c>
      <c r="B652">
        <v>8</v>
      </c>
      <c r="C652">
        <v>8</v>
      </c>
      <c r="D652">
        <v>-1.234</v>
      </c>
      <c r="E652" s="2">
        <f t="shared" si="50"/>
        <v>-1</v>
      </c>
      <c r="F652" s="2">
        <f t="shared" si="51"/>
        <v>365</v>
      </c>
      <c r="G652">
        <v>-0.90800000000000003</v>
      </c>
      <c r="H652">
        <v>0.55100000000000005</v>
      </c>
      <c r="I652">
        <v>0.46700000000000003</v>
      </c>
      <c r="J652">
        <v>0.41099999999999998</v>
      </c>
      <c r="K652">
        <v>0.40100000000000002</v>
      </c>
      <c r="L652">
        <v>-99.998999999999995</v>
      </c>
      <c r="M652">
        <v>-99.998999999999995</v>
      </c>
      <c r="Q652" s="2">
        <f t="shared" si="52"/>
        <v>-1.9659536601444914</v>
      </c>
      <c r="T652" s="2">
        <f t="shared" si="53"/>
        <v>121571.84901448878</v>
      </c>
      <c r="W652" s="2">
        <f t="shared" si="54"/>
        <v>121571.84901448878</v>
      </c>
    </row>
    <row r="653" spans="1:23">
      <c r="A653">
        <v>1646</v>
      </c>
      <c r="B653">
        <v>8</v>
      </c>
      <c r="C653">
        <v>8</v>
      </c>
      <c r="D653">
        <v>-0.45900000000000002</v>
      </c>
      <c r="E653" s="2">
        <f t="shared" si="50"/>
        <v>-0.5</v>
      </c>
      <c r="F653" s="2">
        <f t="shared" si="51"/>
        <v>487</v>
      </c>
      <c r="G653">
        <v>-0.85599999999999998</v>
      </c>
      <c r="H653">
        <v>0.55100000000000005</v>
      </c>
      <c r="I653">
        <v>0.46700000000000003</v>
      </c>
      <c r="J653">
        <v>0.41099999999999998</v>
      </c>
      <c r="K653">
        <v>0.40100000000000002</v>
      </c>
      <c r="L653">
        <v>-99.998999999999995</v>
      </c>
      <c r="M653">
        <v>-99.998999999999995</v>
      </c>
      <c r="Q653" s="2">
        <f t="shared" si="52"/>
        <v>-1.7574018454585547</v>
      </c>
      <c r="T653" s="2">
        <f t="shared" si="53"/>
        <v>139169.52539572728</v>
      </c>
      <c r="W653" s="2">
        <f t="shared" si="54"/>
        <v>139169.52539572728</v>
      </c>
    </row>
    <row r="654" spans="1:23">
      <c r="A654">
        <v>1647</v>
      </c>
      <c r="B654">
        <v>8</v>
      </c>
      <c r="C654">
        <v>8</v>
      </c>
      <c r="D654">
        <v>-2.2949999999999999</v>
      </c>
      <c r="E654" s="2">
        <f t="shared" si="50"/>
        <v>-2.5</v>
      </c>
      <c r="F654" s="2">
        <f t="shared" si="51"/>
        <v>205</v>
      </c>
      <c r="G654">
        <v>-0.76</v>
      </c>
      <c r="H654">
        <v>0.55200000000000005</v>
      </c>
      <c r="I654">
        <v>0.46700000000000003</v>
      </c>
      <c r="J654">
        <v>0.41099999999999998</v>
      </c>
      <c r="K654">
        <v>0.40100000000000002</v>
      </c>
      <c r="L654">
        <v>-99.998999999999995</v>
      </c>
      <c r="M654">
        <v>-99.998999999999995</v>
      </c>
      <c r="Q654" s="2">
        <f t="shared" si="52"/>
        <v>-2.2514678219274318</v>
      </c>
      <c r="T654" s="2">
        <f t="shared" si="53"/>
        <v>97480.062381593219</v>
      </c>
      <c r="W654" s="2">
        <f t="shared" si="54"/>
        <v>97480.062381593219</v>
      </c>
    </row>
    <row r="655" spans="1:23">
      <c r="A655">
        <v>1648</v>
      </c>
      <c r="B655">
        <v>9</v>
      </c>
      <c r="C655">
        <v>8</v>
      </c>
      <c r="D655">
        <v>-3.1030000000000002</v>
      </c>
      <c r="E655" s="2">
        <f t="shared" si="50"/>
        <v>-3</v>
      </c>
      <c r="F655" s="2">
        <f t="shared" si="51"/>
        <v>101</v>
      </c>
      <c r="G655">
        <v>-0.63100000000000001</v>
      </c>
      <c r="H655">
        <v>0.55300000000000005</v>
      </c>
      <c r="I655">
        <v>0.57699999999999996</v>
      </c>
      <c r="J655">
        <v>0.51700000000000002</v>
      </c>
      <c r="K655">
        <v>0.51</v>
      </c>
      <c r="L655">
        <v>-99.998999999999995</v>
      </c>
      <c r="M655">
        <v>-99.998999999999995</v>
      </c>
      <c r="Q655" s="2">
        <f t="shared" si="52"/>
        <v>-2.4688999074322537</v>
      </c>
      <c r="T655" s="2">
        <f t="shared" si="53"/>
        <v>79133.065586701938</v>
      </c>
      <c r="W655" s="2">
        <f t="shared" si="54"/>
        <v>79133.065586701938</v>
      </c>
    </row>
    <row r="656" spans="1:23">
      <c r="A656">
        <v>1649</v>
      </c>
      <c r="B656">
        <v>9</v>
      </c>
      <c r="C656">
        <v>8</v>
      </c>
      <c r="D656">
        <v>3.5550000000000002</v>
      </c>
      <c r="E656" s="2">
        <f t="shared" si="50"/>
        <v>3.5</v>
      </c>
      <c r="F656" s="2">
        <f t="shared" si="51"/>
        <v>964</v>
      </c>
      <c r="G656">
        <v>-0.49299999999999999</v>
      </c>
      <c r="H656">
        <v>0.55300000000000005</v>
      </c>
      <c r="I656">
        <v>0.58099999999999996</v>
      </c>
      <c r="J656">
        <v>0.51700000000000002</v>
      </c>
      <c r="K656">
        <v>0.51</v>
      </c>
      <c r="L656">
        <v>-99.998999999999995</v>
      </c>
      <c r="M656">
        <v>-99.998999999999995</v>
      </c>
      <c r="Q656" s="2">
        <f t="shared" si="52"/>
        <v>-0.67723799494326431</v>
      </c>
      <c r="T656" s="2">
        <f t="shared" si="53"/>
        <v>230314.13571094204</v>
      </c>
      <c r="W656" s="2">
        <f t="shared" si="54"/>
        <v>230314.13571094204</v>
      </c>
    </row>
    <row r="657" spans="1:23">
      <c r="A657">
        <v>1650</v>
      </c>
      <c r="B657">
        <v>9</v>
      </c>
      <c r="C657">
        <v>8</v>
      </c>
      <c r="D657">
        <v>1.53</v>
      </c>
      <c r="E657" s="2">
        <f t="shared" si="50"/>
        <v>1.5</v>
      </c>
      <c r="F657" s="2">
        <f t="shared" si="51"/>
        <v>802</v>
      </c>
      <c r="G657">
        <v>-0.38300000000000001</v>
      </c>
      <c r="H657">
        <v>0.55400000000000005</v>
      </c>
      <c r="I657">
        <v>0.58099999999999996</v>
      </c>
      <c r="J657">
        <v>0.51700000000000002</v>
      </c>
      <c r="K657">
        <v>0.51</v>
      </c>
      <c r="L657">
        <v>-99.998999999999995</v>
      </c>
      <c r="M657">
        <v>-99.998999999999995</v>
      </c>
      <c r="Q657" s="2">
        <f t="shared" si="52"/>
        <v>-1.2221637042839377</v>
      </c>
      <c r="T657" s="2">
        <f t="shared" si="53"/>
        <v>184333.11032770592</v>
      </c>
      <c r="W657" s="2">
        <f t="shared" si="54"/>
        <v>184333.11032770592</v>
      </c>
    </row>
    <row r="658" spans="1:23">
      <c r="A658">
        <v>1651</v>
      </c>
      <c r="B658">
        <v>9</v>
      </c>
      <c r="C658">
        <v>8</v>
      </c>
      <c r="D658">
        <v>0.51500000000000001</v>
      </c>
      <c r="E658" s="2">
        <f t="shared" si="50"/>
        <v>0.5</v>
      </c>
      <c r="F658" s="2">
        <f t="shared" si="51"/>
        <v>650</v>
      </c>
      <c r="G658">
        <v>-0.311</v>
      </c>
      <c r="H658">
        <v>0.55500000000000005</v>
      </c>
      <c r="I658">
        <v>0.58099999999999996</v>
      </c>
      <c r="J658">
        <v>0.51700000000000002</v>
      </c>
      <c r="K658">
        <v>0.51</v>
      </c>
      <c r="L658">
        <v>-99.998999999999995</v>
      </c>
      <c r="M658">
        <v>-99.998999999999995</v>
      </c>
      <c r="Q658" s="2">
        <f t="shared" si="52"/>
        <v>-1.4952993067435838</v>
      </c>
      <c r="T658" s="2">
        <f t="shared" si="53"/>
        <v>161285.83093808385</v>
      </c>
      <c r="W658" s="2">
        <f t="shared" si="54"/>
        <v>161285.83093808385</v>
      </c>
    </row>
    <row r="659" spans="1:23">
      <c r="A659">
        <v>1652</v>
      </c>
      <c r="B659">
        <v>9</v>
      </c>
      <c r="C659">
        <v>8</v>
      </c>
      <c r="D659">
        <v>-0.91900000000000004</v>
      </c>
      <c r="E659" s="2">
        <f t="shared" si="50"/>
        <v>-1</v>
      </c>
      <c r="F659" s="2">
        <f t="shared" si="51"/>
        <v>402</v>
      </c>
      <c r="G659">
        <v>-0.26700000000000002</v>
      </c>
      <c r="H659">
        <v>0.55500000000000005</v>
      </c>
      <c r="I659">
        <v>0.58099999999999996</v>
      </c>
      <c r="J659">
        <v>0.51700000000000002</v>
      </c>
      <c r="K659">
        <v>0.51</v>
      </c>
      <c r="L659">
        <v>-99.998999999999995</v>
      </c>
      <c r="M659">
        <v>-99.998999999999995</v>
      </c>
      <c r="Q659" s="2">
        <f t="shared" si="52"/>
        <v>-1.8811874386914977</v>
      </c>
      <c r="T659" s="2">
        <f t="shared" si="53"/>
        <v>128724.45296299219</v>
      </c>
      <c r="W659" s="2">
        <f t="shared" si="54"/>
        <v>128724.45296299219</v>
      </c>
    </row>
    <row r="660" spans="1:23">
      <c r="A660">
        <v>1653</v>
      </c>
      <c r="B660">
        <v>9</v>
      </c>
      <c r="C660">
        <v>8</v>
      </c>
      <c r="D660">
        <v>1.681</v>
      </c>
      <c r="E660" s="2">
        <f t="shared" si="50"/>
        <v>1.5</v>
      </c>
      <c r="F660" s="2">
        <f t="shared" si="51"/>
        <v>825</v>
      </c>
      <c r="G660">
        <v>-0.23400000000000001</v>
      </c>
      <c r="H660">
        <v>0.55800000000000005</v>
      </c>
      <c r="I660">
        <v>0.58099999999999996</v>
      </c>
      <c r="J660">
        <v>0.51700000000000002</v>
      </c>
      <c r="K660">
        <v>0.51</v>
      </c>
      <c r="L660">
        <v>-99.998999999999995</v>
      </c>
      <c r="M660">
        <v>-99.998999999999995</v>
      </c>
      <c r="Q660" s="2">
        <f t="shared" si="52"/>
        <v>-1.1815297378096457</v>
      </c>
      <c r="T660" s="2">
        <f t="shared" si="53"/>
        <v>187761.81888714718</v>
      </c>
      <c r="W660" s="2">
        <f t="shared" si="54"/>
        <v>187761.81888714718</v>
      </c>
    </row>
    <row r="661" spans="1:23">
      <c r="A661">
        <v>1654</v>
      </c>
      <c r="B661">
        <v>9</v>
      </c>
      <c r="C661">
        <v>8</v>
      </c>
      <c r="D661">
        <v>-4.0890000000000004</v>
      </c>
      <c r="E661" s="2">
        <f t="shared" si="50"/>
        <v>-4</v>
      </c>
      <c r="F661" s="2">
        <f t="shared" si="51"/>
        <v>28</v>
      </c>
      <c r="G661">
        <v>-0.19600000000000001</v>
      </c>
      <c r="H661">
        <v>0.56299999999999994</v>
      </c>
      <c r="I661">
        <v>0.58099999999999996</v>
      </c>
      <c r="J661">
        <v>0.51700000000000002</v>
      </c>
      <c r="K661">
        <v>0.51</v>
      </c>
      <c r="L661">
        <v>-99.998999999999995</v>
      </c>
      <c r="M661">
        <v>-99.998999999999995</v>
      </c>
      <c r="Q661" s="2">
        <f t="shared" si="52"/>
        <v>-2.73423163553591</v>
      </c>
      <c r="T661" s="2">
        <f t="shared" si="53"/>
        <v>56744.279893926228</v>
      </c>
      <c r="W661" s="2">
        <f t="shared" si="54"/>
        <v>56744.279893926228</v>
      </c>
    </row>
    <row r="662" spans="1:23">
      <c r="A662">
        <v>1655</v>
      </c>
      <c r="B662">
        <v>9</v>
      </c>
      <c r="C662">
        <v>8</v>
      </c>
      <c r="D662">
        <v>0.12</v>
      </c>
      <c r="E662" s="2">
        <f t="shared" si="50"/>
        <v>0</v>
      </c>
      <c r="F662" s="2">
        <f t="shared" si="51"/>
        <v>584</v>
      </c>
      <c r="G662">
        <v>-0.129</v>
      </c>
      <c r="H662">
        <v>0.56699999999999995</v>
      </c>
      <c r="I662">
        <v>0.58099999999999996</v>
      </c>
      <c r="J662">
        <v>0.52200000000000002</v>
      </c>
      <c r="K662">
        <v>0.51500000000000001</v>
      </c>
      <c r="L662">
        <v>-99.998999999999995</v>
      </c>
      <c r="M662">
        <v>-99.998999999999995</v>
      </c>
      <c r="Q662" s="2">
        <f t="shared" si="52"/>
        <v>-1.6015934574544808</v>
      </c>
      <c r="T662" s="2">
        <f t="shared" si="53"/>
        <v>152316.69265345257</v>
      </c>
      <c r="W662" s="2">
        <f t="shared" si="54"/>
        <v>152316.69265345257</v>
      </c>
    </row>
    <row r="663" spans="1:23">
      <c r="A663">
        <v>1656</v>
      </c>
      <c r="B663">
        <v>9</v>
      </c>
      <c r="C663">
        <v>8</v>
      </c>
      <c r="D663">
        <v>-0.74299999999999999</v>
      </c>
      <c r="E663" s="2">
        <f t="shared" si="50"/>
        <v>-0.5</v>
      </c>
      <c r="F663" s="2">
        <f t="shared" si="51"/>
        <v>433</v>
      </c>
      <c r="G663">
        <v>-3.4000000000000002E-2</v>
      </c>
      <c r="H663">
        <v>0.57599999999999996</v>
      </c>
      <c r="I663">
        <v>0.58599999999999997</v>
      </c>
      <c r="J663">
        <v>0.52200000000000002</v>
      </c>
      <c r="K663">
        <v>0.51500000000000001</v>
      </c>
      <c r="L663">
        <v>-99.998999999999995</v>
      </c>
      <c r="M663">
        <v>-99.998999999999995</v>
      </c>
      <c r="Q663" s="2">
        <f t="shared" si="52"/>
        <v>-1.8338259943241109</v>
      </c>
      <c r="T663" s="2">
        <f t="shared" si="53"/>
        <v>132720.82850247345</v>
      </c>
      <c r="W663" s="2">
        <f t="shared" si="54"/>
        <v>132720.82850247345</v>
      </c>
    </row>
    <row r="664" spans="1:23">
      <c r="A664">
        <v>1657</v>
      </c>
      <c r="B664">
        <v>9</v>
      </c>
      <c r="C664">
        <v>8</v>
      </c>
      <c r="D664">
        <v>0.89400000000000002</v>
      </c>
      <c r="E664" s="2">
        <f t="shared" si="50"/>
        <v>1</v>
      </c>
      <c r="F664" s="2">
        <f t="shared" si="51"/>
        <v>710</v>
      </c>
      <c r="G664">
        <v>8.5000000000000006E-2</v>
      </c>
      <c r="H664">
        <v>0.57799999999999996</v>
      </c>
      <c r="I664">
        <v>0.58699999999999997</v>
      </c>
      <c r="J664">
        <v>0.52200000000000002</v>
      </c>
      <c r="K664">
        <v>0.51500000000000001</v>
      </c>
      <c r="L664">
        <v>-99.998999999999995</v>
      </c>
      <c r="M664">
        <v>-99.998999999999995</v>
      </c>
      <c r="Q664" s="2">
        <f t="shared" si="52"/>
        <v>-1.3933107418842678</v>
      </c>
      <c r="T664" s="2">
        <f t="shared" si="53"/>
        <v>169891.6623554895</v>
      </c>
      <c r="W664" s="2">
        <f t="shared" si="54"/>
        <v>169891.6623554895</v>
      </c>
    </row>
    <row r="665" spans="1:23">
      <c r="A665">
        <v>1658</v>
      </c>
      <c r="B665">
        <v>9</v>
      </c>
      <c r="C665">
        <v>9</v>
      </c>
      <c r="D665">
        <v>-7.4999999999999997E-2</v>
      </c>
      <c r="E665" s="2">
        <f t="shared" si="50"/>
        <v>0</v>
      </c>
      <c r="F665" s="2">
        <f t="shared" si="51"/>
        <v>554</v>
      </c>
      <c r="G665">
        <v>0.22</v>
      </c>
      <c r="H665">
        <v>0.57799999999999996</v>
      </c>
      <c r="I665">
        <v>0.58699999999999997</v>
      </c>
      <c r="J665">
        <v>0.53300000000000003</v>
      </c>
      <c r="K665">
        <v>0.52600000000000002</v>
      </c>
      <c r="L665">
        <v>-99.998999999999995</v>
      </c>
      <c r="M665">
        <v>-99.998999999999995</v>
      </c>
      <c r="Q665" s="2">
        <f t="shared" si="52"/>
        <v>-1.6540677850206196</v>
      </c>
      <c r="T665" s="2">
        <f t="shared" si="53"/>
        <v>147888.89020914095</v>
      </c>
      <c r="W665" s="2">
        <f t="shared" si="54"/>
        <v>147888.89020914095</v>
      </c>
    </row>
    <row r="666" spans="1:23">
      <c r="A666">
        <v>1659</v>
      </c>
      <c r="B666">
        <v>9</v>
      </c>
      <c r="C666">
        <v>9</v>
      </c>
      <c r="D666">
        <v>-2.1110000000000002</v>
      </c>
      <c r="E666" s="2">
        <f t="shared" si="50"/>
        <v>-2</v>
      </c>
      <c r="F666" s="2">
        <f t="shared" si="51"/>
        <v>230</v>
      </c>
      <c r="G666">
        <v>0.36499999999999999</v>
      </c>
      <c r="H666">
        <v>0.57799999999999996</v>
      </c>
      <c r="I666">
        <v>0.58699999999999997</v>
      </c>
      <c r="J666">
        <v>0.54200000000000004</v>
      </c>
      <c r="K666">
        <v>0.53500000000000003</v>
      </c>
      <c r="L666">
        <v>-99.998999999999995</v>
      </c>
      <c r="M666">
        <v>-99.998999999999995</v>
      </c>
      <c r="Q666" s="2">
        <f t="shared" si="52"/>
        <v>-2.2019535846342548</v>
      </c>
      <c r="T666" s="2">
        <f t="shared" si="53"/>
        <v>101658.09135468723</v>
      </c>
      <c r="W666" s="2">
        <f t="shared" si="54"/>
        <v>101658.09135468723</v>
      </c>
    </row>
    <row r="667" spans="1:23">
      <c r="A667">
        <v>1660</v>
      </c>
      <c r="B667">
        <v>9</v>
      </c>
      <c r="C667">
        <v>9</v>
      </c>
      <c r="D667">
        <v>2.9489999999999998</v>
      </c>
      <c r="E667" s="2">
        <f t="shared" si="50"/>
        <v>3</v>
      </c>
      <c r="F667" s="2">
        <f t="shared" si="51"/>
        <v>934</v>
      </c>
      <c r="G667">
        <v>0.51100000000000001</v>
      </c>
      <c r="H667">
        <v>0.57999999999999996</v>
      </c>
      <c r="I667">
        <v>0.58799999999999997</v>
      </c>
      <c r="J667">
        <v>0.54500000000000004</v>
      </c>
      <c r="K667">
        <v>0.53800000000000003</v>
      </c>
      <c r="L667">
        <v>-99.998999999999995</v>
      </c>
      <c r="M667">
        <v>-99.998999999999995</v>
      </c>
      <c r="Q667" s="2">
        <f t="shared" si="52"/>
        <v>-0.84031205907188078</v>
      </c>
      <c r="T667" s="2">
        <f t="shared" si="53"/>
        <v>216553.88811477358</v>
      </c>
      <c r="W667" s="2">
        <f t="shared" si="54"/>
        <v>216553.88811477358</v>
      </c>
    </row>
    <row r="668" spans="1:23">
      <c r="A668">
        <v>1661</v>
      </c>
      <c r="B668">
        <v>9</v>
      </c>
      <c r="C668">
        <v>10</v>
      </c>
      <c r="D668">
        <v>-0.312</v>
      </c>
      <c r="E668" s="2">
        <f t="shared" si="50"/>
        <v>-0.5</v>
      </c>
      <c r="F668" s="2">
        <f t="shared" si="51"/>
        <v>517</v>
      </c>
      <c r="G668">
        <v>0.63700000000000001</v>
      </c>
      <c r="H668">
        <v>0.57999999999999996</v>
      </c>
      <c r="I668">
        <v>0.59</v>
      </c>
      <c r="J668">
        <v>0.54500000000000004</v>
      </c>
      <c r="K668">
        <v>0.53800000000000003</v>
      </c>
      <c r="L668">
        <v>-99.998999999999995</v>
      </c>
      <c r="M668">
        <v>-99.998999999999995</v>
      </c>
      <c r="Q668" s="2">
        <f t="shared" si="52"/>
        <v>-1.7178442754471577</v>
      </c>
      <c r="T668" s="2">
        <f t="shared" si="53"/>
        <v>142507.40723836221</v>
      </c>
      <c r="W668" s="2">
        <f t="shared" si="54"/>
        <v>142507.40723836221</v>
      </c>
    </row>
    <row r="669" spans="1:23">
      <c r="A669">
        <v>1662</v>
      </c>
      <c r="B669">
        <v>9</v>
      </c>
      <c r="C669">
        <v>10</v>
      </c>
      <c r="D669">
        <v>3.931</v>
      </c>
      <c r="E669" s="2">
        <f t="shared" si="50"/>
        <v>4</v>
      </c>
      <c r="F669" s="2">
        <f t="shared" si="51"/>
        <v>974</v>
      </c>
      <c r="G669">
        <v>0.73199999999999998</v>
      </c>
      <c r="H669">
        <v>0.57999999999999996</v>
      </c>
      <c r="I669">
        <v>0.59</v>
      </c>
      <c r="J669">
        <v>0.54500000000000004</v>
      </c>
      <c r="K669">
        <v>0.53800000000000003</v>
      </c>
      <c r="L669">
        <v>-99.998999999999995</v>
      </c>
      <c r="M669">
        <v>-99.998999999999995</v>
      </c>
      <c r="Q669" s="2">
        <f t="shared" si="52"/>
        <v>-0.57605672743111969</v>
      </c>
      <c r="T669" s="2">
        <f t="shared" si="53"/>
        <v>238851.8470907429</v>
      </c>
      <c r="W669" s="2">
        <f t="shared" si="54"/>
        <v>238851.8470907429</v>
      </c>
    </row>
    <row r="670" spans="1:23">
      <c r="A670">
        <v>1663</v>
      </c>
      <c r="B670">
        <v>9</v>
      </c>
      <c r="C670">
        <v>10</v>
      </c>
      <c r="D670">
        <v>0.72399999999999998</v>
      </c>
      <c r="E670" s="2">
        <f t="shared" si="50"/>
        <v>0.5</v>
      </c>
      <c r="F670" s="2">
        <f t="shared" si="51"/>
        <v>685</v>
      </c>
      <c r="G670">
        <v>0.78600000000000003</v>
      </c>
      <c r="H670">
        <v>0.57999999999999996</v>
      </c>
      <c r="I670">
        <v>0.59</v>
      </c>
      <c r="J670">
        <v>0.54700000000000004</v>
      </c>
      <c r="K670">
        <v>0.54</v>
      </c>
      <c r="L670">
        <v>-99.998999999999995</v>
      </c>
      <c r="M670">
        <v>-99.998999999999995</v>
      </c>
      <c r="Q670" s="2">
        <f t="shared" si="52"/>
        <v>-1.4390575915573121</v>
      </c>
      <c r="T670" s="2">
        <f t="shared" si="53"/>
        <v>166031.52689121783</v>
      </c>
      <c r="W670" s="2">
        <f t="shared" si="54"/>
        <v>166031.52689121783</v>
      </c>
    </row>
    <row r="671" spans="1:23">
      <c r="A671">
        <v>1664</v>
      </c>
      <c r="B671">
        <v>9</v>
      </c>
      <c r="C671">
        <v>10</v>
      </c>
      <c r="D671">
        <v>-1.623</v>
      </c>
      <c r="E671" s="2">
        <f t="shared" si="50"/>
        <v>-1.5</v>
      </c>
      <c r="F671" s="2">
        <f t="shared" si="51"/>
        <v>304</v>
      </c>
      <c r="G671">
        <v>0.81</v>
      </c>
      <c r="H671">
        <v>0.57999999999999996</v>
      </c>
      <c r="I671">
        <v>0.59299999999999997</v>
      </c>
      <c r="J671">
        <v>0.54800000000000004</v>
      </c>
      <c r="K671">
        <v>0.54200000000000004</v>
      </c>
      <c r="L671">
        <v>-99.998999999999995</v>
      </c>
      <c r="M671">
        <v>-99.998999999999995</v>
      </c>
      <c r="Q671" s="2">
        <f t="shared" si="52"/>
        <v>-2.0706332161610455</v>
      </c>
      <c r="T671" s="2">
        <f t="shared" si="53"/>
        <v>112738.95080506711</v>
      </c>
      <c r="W671" s="2">
        <f t="shared" si="54"/>
        <v>112738.95080506711</v>
      </c>
    </row>
    <row r="672" spans="1:23">
      <c r="A672">
        <v>1665</v>
      </c>
      <c r="B672">
        <v>9</v>
      </c>
      <c r="C672">
        <v>10</v>
      </c>
      <c r="D672">
        <v>1.4279999999999999</v>
      </c>
      <c r="E672" s="2">
        <f t="shared" si="50"/>
        <v>1.5</v>
      </c>
      <c r="F672" s="2">
        <f t="shared" si="51"/>
        <v>791</v>
      </c>
      <c r="G672">
        <v>0.81599999999999995</v>
      </c>
      <c r="H672">
        <v>0.58099999999999996</v>
      </c>
      <c r="I672">
        <v>0.59799999999999998</v>
      </c>
      <c r="J672">
        <v>0.55400000000000005</v>
      </c>
      <c r="K672">
        <v>0.54700000000000004</v>
      </c>
      <c r="L672">
        <v>-99.998999999999995</v>
      </c>
      <c r="M672">
        <v>-99.998999999999995</v>
      </c>
      <c r="Q672" s="2">
        <f t="shared" si="52"/>
        <v>-1.2496118140877643</v>
      </c>
      <c r="T672" s="2">
        <f t="shared" si="53"/>
        <v>182017.02904914288</v>
      </c>
      <c r="W672" s="2">
        <f t="shared" si="54"/>
        <v>182017.02904914288</v>
      </c>
    </row>
    <row r="673" spans="1:23">
      <c r="A673">
        <v>1666</v>
      </c>
      <c r="B673">
        <v>9</v>
      </c>
      <c r="C673">
        <v>10</v>
      </c>
      <c r="D673">
        <v>-0.629</v>
      </c>
      <c r="E673" s="2">
        <f t="shared" si="50"/>
        <v>-0.5</v>
      </c>
      <c r="F673" s="2">
        <f t="shared" si="51"/>
        <v>459</v>
      </c>
      <c r="G673">
        <v>0.8</v>
      </c>
      <c r="H673">
        <v>0.58099999999999996</v>
      </c>
      <c r="I673">
        <v>0.60099999999999998</v>
      </c>
      <c r="J673">
        <v>0.55400000000000005</v>
      </c>
      <c r="K673">
        <v>0.54800000000000004</v>
      </c>
      <c r="L673">
        <v>-99.998999999999995</v>
      </c>
      <c r="M673">
        <v>-99.998999999999995</v>
      </c>
      <c r="Q673" s="2">
        <f t="shared" si="52"/>
        <v>-1.8031486951315989</v>
      </c>
      <c r="T673" s="2">
        <f t="shared" si="53"/>
        <v>135309.3899314556</v>
      </c>
      <c r="W673" s="2">
        <f t="shared" si="54"/>
        <v>135309.3899314556</v>
      </c>
    </row>
    <row r="674" spans="1:23">
      <c r="A674">
        <v>1667</v>
      </c>
      <c r="B674">
        <v>9</v>
      </c>
      <c r="C674">
        <v>11</v>
      </c>
      <c r="D674">
        <v>2.1469999999999998</v>
      </c>
      <c r="E674" s="2">
        <f t="shared" si="50"/>
        <v>2</v>
      </c>
      <c r="F674" s="2">
        <f t="shared" si="51"/>
        <v>869</v>
      </c>
      <c r="G674">
        <v>0.75700000000000001</v>
      </c>
      <c r="H674">
        <v>0.58099999999999996</v>
      </c>
      <c r="I674">
        <v>0.60499999999999998</v>
      </c>
      <c r="J674">
        <v>0.57099999999999995</v>
      </c>
      <c r="K674">
        <v>0.56499999999999995</v>
      </c>
      <c r="L674">
        <v>-99.998999999999995</v>
      </c>
      <c r="M674">
        <v>-99.998999999999995</v>
      </c>
      <c r="Q674" s="2">
        <f t="shared" si="52"/>
        <v>-1.05612954988236</v>
      </c>
      <c r="T674" s="2">
        <f t="shared" si="53"/>
        <v>198343.13139509188</v>
      </c>
      <c r="W674" s="2">
        <f t="shared" si="54"/>
        <v>198343.13139509188</v>
      </c>
    </row>
    <row r="675" spans="1:23">
      <c r="A675">
        <v>1668</v>
      </c>
      <c r="B675">
        <v>9</v>
      </c>
      <c r="C675">
        <v>13</v>
      </c>
      <c r="D675">
        <v>4.5869999999999997</v>
      </c>
      <c r="E675" s="2">
        <f t="shared" si="50"/>
        <v>4.5</v>
      </c>
      <c r="F675" s="2">
        <f t="shared" si="51"/>
        <v>989</v>
      </c>
      <c r="G675">
        <v>0.67500000000000004</v>
      </c>
      <c r="H675">
        <v>0.58099999999999996</v>
      </c>
      <c r="I675">
        <v>0.61099999999999999</v>
      </c>
      <c r="J675">
        <v>0.57799999999999996</v>
      </c>
      <c r="K675">
        <v>0.57199999999999995</v>
      </c>
      <c r="L675">
        <v>-99.998999999999995</v>
      </c>
      <c r="M675">
        <v>-99.998999999999995</v>
      </c>
      <c r="Q675" s="2">
        <f t="shared" si="52"/>
        <v>-0.39952770751631395</v>
      </c>
      <c r="T675" s="2">
        <f t="shared" si="53"/>
        <v>253747.42864699123</v>
      </c>
      <c r="W675" s="2">
        <f t="shared" si="54"/>
        <v>253747.42864699123</v>
      </c>
    </row>
    <row r="676" spans="1:23">
      <c r="A676">
        <v>1669</v>
      </c>
      <c r="B676">
        <v>9</v>
      </c>
      <c r="C676">
        <v>14</v>
      </c>
      <c r="D676">
        <v>0.53200000000000003</v>
      </c>
      <c r="E676" s="2">
        <f t="shared" si="50"/>
        <v>0.5</v>
      </c>
      <c r="F676" s="2">
        <f t="shared" si="51"/>
        <v>655</v>
      </c>
      <c r="G676">
        <v>0.55400000000000005</v>
      </c>
      <c r="H676">
        <v>0.58899999999999997</v>
      </c>
      <c r="I676">
        <v>0.61399999999999999</v>
      </c>
      <c r="J676">
        <v>0.57999999999999996</v>
      </c>
      <c r="K676">
        <v>0.57399999999999995</v>
      </c>
      <c r="L676">
        <v>-99.998999999999995</v>
      </c>
      <c r="M676">
        <v>-99.998999999999995</v>
      </c>
      <c r="Q676" s="2">
        <f t="shared" si="52"/>
        <v>-1.4907246217762795</v>
      </c>
      <c r="T676" s="2">
        <f t="shared" si="53"/>
        <v>161671.84448451101</v>
      </c>
      <c r="W676" s="2">
        <f t="shared" si="54"/>
        <v>161671.84448451101</v>
      </c>
    </row>
    <row r="677" spans="1:23">
      <c r="A677">
        <v>1670</v>
      </c>
      <c r="B677">
        <v>9</v>
      </c>
      <c r="C677">
        <v>14</v>
      </c>
      <c r="D677">
        <v>-3.613</v>
      </c>
      <c r="E677" s="2">
        <f t="shared" si="50"/>
        <v>-3.5</v>
      </c>
      <c r="F677" s="2">
        <f t="shared" si="51"/>
        <v>66</v>
      </c>
      <c r="G677">
        <v>0.42399999999999999</v>
      </c>
      <c r="H677">
        <v>0.59199999999999997</v>
      </c>
      <c r="I677">
        <v>0.61499999999999999</v>
      </c>
      <c r="J677">
        <v>0.58199999999999996</v>
      </c>
      <c r="K677">
        <v>0.57699999999999996</v>
      </c>
      <c r="L677">
        <v>-99.998999999999995</v>
      </c>
      <c r="M677">
        <v>-99.998999999999995</v>
      </c>
      <c r="Q677" s="2">
        <f t="shared" si="52"/>
        <v>-2.6061404564513859</v>
      </c>
      <c r="T677" s="2">
        <f t="shared" si="53"/>
        <v>67552.659193886939</v>
      </c>
      <c r="W677" s="2">
        <f t="shared" si="54"/>
        <v>67552.659193886939</v>
      </c>
    </row>
    <row r="678" spans="1:23">
      <c r="A678">
        <v>1671</v>
      </c>
      <c r="B678">
        <v>9</v>
      </c>
      <c r="C678">
        <v>15</v>
      </c>
      <c r="D678">
        <v>0.27</v>
      </c>
      <c r="E678" s="2">
        <f t="shared" si="50"/>
        <v>0.5</v>
      </c>
      <c r="F678" s="2">
        <f t="shared" si="51"/>
        <v>612</v>
      </c>
      <c r="G678">
        <v>0.314</v>
      </c>
      <c r="H678">
        <v>0.59199999999999997</v>
      </c>
      <c r="I678">
        <v>0.61599999999999999</v>
      </c>
      <c r="J678">
        <v>0.59299999999999997</v>
      </c>
      <c r="K678">
        <v>0.58699999999999997</v>
      </c>
      <c r="L678">
        <v>-99.998999999999995</v>
      </c>
      <c r="M678">
        <v>-99.998999999999995</v>
      </c>
      <c r="Q678" s="2">
        <f t="shared" si="52"/>
        <v>-1.5612285900959122</v>
      </c>
      <c r="T678" s="2">
        <f t="shared" si="53"/>
        <v>155722.69453369229</v>
      </c>
      <c r="W678" s="2">
        <f t="shared" si="54"/>
        <v>155722.69453369229</v>
      </c>
    </row>
    <row r="679" spans="1:23">
      <c r="A679">
        <v>1672</v>
      </c>
      <c r="B679">
        <v>9</v>
      </c>
      <c r="C679">
        <v>17</v>
      </c>
      <c r="D679">
        <v>1.1539999999999999</v>
      </c>
      <c r="E679" s="2">
        <f t="shared" si="50"/>
        <v>1</v>
      </c>
      <c r="F679" s="2">
        <f t="shared" si="51"/>
        <v>752</v>
      </c>
      <c r="G679">
        <v>0.22600000000000001</v>
      </c>
      <c r="H679">
        <v>0.59199999999999997</v>
      </c>
      <c r="I679">
        <v>0.61599999999999999</v>
      </c>
      <c r="J679">
        <v>0.59299999999999997</v>
      </c>
      <c r="K679">
        <v>0.58699999999999997</v>
      </c>
      <c r="L679">
        <v>-99.998999999999995</v>
      </c>
      <c r="M679">
        <v>-99.998999999999995</v>
      </c>
      <c r="Q679" s="2">
        <f t="shared" si="52"/>
        <v>-1.3233449717960826</v>
      </c>
      <c r="T679" s="2">
        <f t="shared" si="53"/>
        <v>175795.39894790499</v>
      </c>
      <c r="W679" s="2">
        <f t="shared" si="54"/>
        <v>175795.39894790499</v>
      </c>
    </row>
    <row r="680" spans="1:23">
      <c r="A680">
        <v>1673</v>
      </c>
      <c r="B680">
        <v>9</v>
      </c>
      <c r="C680">
        <v>17</v>
      </c>
      <c r="D680">
        <v>-0.59799999999999998</v>
      </c>
      <c r="E680" s="2">
        <f t="shared" si="50"/>
        <v>-0.5</v>
      </c>
      <c r="F680" s="2">
        <f t="shared" si="51"/>
        <v>464</v>
      </c>
      <c r="G680">
        <v>0.155</v>
      </c>
      <c r="H680">
        <v>0.59199999999999997</v>
      </c>
      <c r="I680">
        <v>0.61599999999999999</v>
      </c>
      <c r="J680">
        <v>0.59299999999999997</v>
      </c>
      <c r="K680">
        <v>0.58699999999999997</v>
      </c>
      <c r="L680">
        <v>-99.998999999999995</v>
      </c>
      <c r="M680">
        <v>-99.998999999999995</v>
      </c>
      <c r="Q680" s="2">
        <f t="shared" si="52"/>
        <v>-1.7948066225441615</v>
      </c>
      <c r="T680" s="2">
        <f t="shared" si="53"/>
        <v>136013.29698670516</v>
      </c>
      <c r="W680" s="2">
        <f t="shared" si="54"/>
        <v>136013.29698670516</v>
      </c>
    </row>
    <row r="681" spans="1:23">
      <c r="A681">
        <v>1674</v>
      </c>
      <c r="B681">
        <v>9</v>
      </c>
      <c r="C681">
        <v>17</v>
      </c>
      <c r="D681">
        <v>1.5449999999999999</v>
      </c>
      <c r="E681" s="2">
        <f t="shared" si="50"/>
        <v>1.5</v>
      </c>
      <c r="F681" s="2">
        <f t="shared" si="51"/>
        <v>808</v>
      </c>
      <c r="G681">
        <v>0.105</v>
      </c>
      <c r="H681">
        <v>0.59199999999999997</v>
      </c>
      <c r="I681">
        <v>0.61599999999999999</v>
      </c>
      <c r="J681">
        <v>0.59299999999999997</v>
      </c>
      <c r="K681">
        <v>0.58699999999999997</v>
      </c>
      <c r="L681">
        <v>-99.998999999999995</v>
      </c>
      <c r="M681">
        <v>-99.998999999999995</v>
      </c>
      <c r="Q681" s="2">
        <f t="shared" si="52"/>
        <v>-1.2181272175480808</v>
      </c>
      <c r="T681" s="2">
        <f t="shared" si="53"/>
        <v>184673.71051572985</v>
      </c>
      <c r="W681" s="2">
        <f t="shared" si="54"/>
        <v>184673.71051572985</v>
      </c>
    </row>
    <row r="682" spans="1:23">
      <c r="A682">
        <v>1675</v>
      </c>
      <c r="B682">
        <v>9</v>
      </c>
      <c r="C682">
        <v>17</v>
      </c>
      <c r="D682">
        <v>-3.8559999999999999</v>
      </c>
      <c r="E682" s="2">
        <f t="shared" si="50"/>
        <v>-4</v>
      </c>
      <c r="F682" s="2">
        <f t="shared" si="51"/>
        <v>49</v>
      </c>
      <c r="G682">
        <v>7.5999999999999998E-2</v>
      </c>
      <c r="H682">
        <v>0.59199999999999997</v>
      </c>
      <c r="I682">
        <v>0.61599999999999999</v>
      </c>
      <c r="J682">
        <v>0.59299999999999997</v>
      </c>
      <c r="K682">
        <v>0.58699999999999997</v>
      </c>
      <c r="L682">
        <v>-99.998999999999995</v>
      </c>
      <c r="M682">
        <v>-99.998999999999995</v>
      </c>
      <c r="Q682" s="2">
        <f t="shared" si="52"/>
        <v>-2.6715315415722669</v>
      </c>
      <c r="T682" s="2">
        <f t="shared" si="53"/>
        <v>62034.936147898581</v>
      </c>
      <c r="W682" s="2">
        <f t="shared" si="54"/>
        <v>62034.936147898581</v>
      </c>
    </row>
    <row r="683" spans="1:23">
      <c r="A683">
        <v>1676</v>
      </c>
      <c r="B683">
        <v>9</v>
      </c>
      <c r="C683">
        <v>17</v>
      </c>
      <c r="D683">
        <v>-1.98</v>
      </c>
      <c r="E683" s="2">
        <f t="shared" si="50"/>
        <v>-2</v>
      </c>
      <c r="F683" s="2">
        <f t="shared" si="51"/>
        <v>247</v>
      </c>
      <c r="G683">
        <v>7.0000000000000007E-2</v>
      </c>
      <c r="H683">
        <v>0.59199999999999997</v>
      </c>
      <c r="I683">
        <v>0.627</v>
      </c>
      <c r="J683">
        <v>0.59799999999999998</v>
      </c>
      <c r="K683">
        <v>0.59299999999999997</v>
      </c>
      <c r="L683">
        <v>-99.998999999999995</v>
      </c>
      <c r="M683">
        <v>-99.998999999999995</v>
      </c>
      <c r="Q683" s="2">
        <f t="shared" si="52"/>
        <v>-2.1667016004744379</v>
      </c>
      <c r="T683" s="2">
        <f t="shared" si="53"/>
        <v>104632.66633009663</v>
      </c>
      <c r="W683" s="2">
        <f t="shared" si="54"/>
        <v>104632.66633009663</v>
      </c>
    </row>
    <row r="684" spans="1:23">
      <c r="A684">
        <v>1677</v>
      </c>
      <c r="B684">
        <v>9</v>
      </c>
      <c r="C684">
        <v>18</v>
      </c>
      <c r="D684">
        <v>4.5279999999999996</v>
      </c>
      <c r="E684" s="2">
        <f t="shared" si="50"/>
        <v>4.5</v>
      </c>
      <c r="F684" s="2">
        <f t="shared" si="51"/>
        <v>986</v>
      </c>
      <c r="G684">
        <v>6.3E-2</v>
      </c>
      <c r="H684">
        <v>0.59599999999999997</v>
      </c>
      <c r="I684">
        <v>0.63400000000000001</v>
      </c>
      <c r="J684">
        <v>0.61299999999999999</v>
      </c>
      <c r="K684">
        <v>0.60699999999999998</v>
      </c>
      <c r="L684">
        <v>-99.998999999999995</v>
      </c>
      <c r="M684">
        <v>-99.998999999999995</v>
      </c>
      <c r="Q684" s="2">
        <f t="shared" si="52"/>
        <v>-0.41540455534401755</v>
      </c>
      <c r="T684" s="2">
        <f t="shared" si="53"/>
        <v>252407.73457409695</v>
      </c>
      <c r="W684" s="2">
        <f t="shared" si="54"/>
        <v>252407.73457409695</v>
      </c>
    </row>
    <row r="685" spans="1:23">
      <c r="A685">
        <v>1678</v>
      </c>
      <c r="B685">
        <v>9</v>
      </c>
      <c r="C685">
        <v>19</v>
      </c>
      <c r="D685">
        <v>1.7010000000000001</v>
      </c>
      <c r="E685" s="2">
        <f t="shared" si="50"/>
        <v>1.5</v>
      </c>
      <c r="F685" s="2">
        <f t="shared" si="51"/>
        <v>826</v>
      </c>
      <c r="G685">
        <v>1.7999999999999999E-2</v>
      </c>
      <c r="H685">
        <v>0.61299999999999999</v>
      </c>
      <c r="I685">
        <v>0.64700000000000002</v>
      </c>
      <c r="J685">
        <v>0.623</v>
      </c>
      <c r="K685">
        <v>0.61799999999999999</v>
      </c>
      <c r="L685">
        <v>-99.998999999999995</v>
      </c>
      <c r="M685">
        <v>-99.998999999999995</v>
      </c>
      <c r="Q685" s="2">
        <f t="shared" si="52"/>
        <v>-1.1761477554951698</v>
      </c>
      <c r="T685" s="2">
        <f t="shared" si="53"/>
        <v>188215.95247117916</v>
      </c>
      <c r="W685" s="2">
        <f t="shared" si="54"/>
        <v>188215.95247117916</v>
      </c>
    </row>
    <row r="686" spans="1:23">
      <c r="A686">
        <v>1679</v>
      </c>
      <c r="B686">
        <v>9</v>
      </c>
      <c r="C686">
        <v>19</v>
      </c>
      <c r="D686">
        <v>0.442</v>
      </c>
      <c r="E686" s="2">
        <f t="shared" si="50"/>
        <v>0.5</v>
      </c>
      <c r="F686" s="2">
        <f t="shared" si="51"/>
        <v>640</v>
      </c>
      <c r="G686">
        <v>-7.2999999999999995E-2</v>
      </c>
      <c r="H686">
        <v>0.61299999999999999</v>
      </c>
      <c r="I686">
        <v>0.64700000000000002</v>
      </c>
      <c r="J686">
        <v>0.623</v>
      </c>
      <c r="K686">
        <v>0.61799999999999999</v>
      </c>
      <c r="L686">
        <v>-99.998999999999995</v>
      </c>
      <c r="M686">
        <v>-99.998999999999995</v>
      </c>
      <c r="Q686" s="2">
        <f t="shared" si="52"/>
        <v>-1.5149435421914206</v>
      </c>
      <c r="T686" s="2">
        <f t="shared" si="53"/>
        <v>159628.24335636717</v>
      </c>
      <c r="W686" s="2">
        <f t="shared" si="54"/>
        <v>159628.24335636717</v>
      </c>
    </row>
    <row r="687" spans="1:23">
      <c r="A687">
        <v>1680</v>
      </c>
      <c r="B687">
        <v>9</v>
      </c>
      <c r="C687">
        <v>20</v>
      </c>
      <c r="D687">
        <v>2.25</v>
      </c>
      <c r="E687" s="2">
        <f t="shared" si="50"/>
        <v>2.5</v>
      </c>
      <c r="F687" s="2">
        <f t="shared" si="51"/>
        <v>879</v>
      </c>
      <c r="G687">
        <v>-0.2</v>
      </c>
      <c r="H687">
        <v>0.66300000000000003</v>
      </c>
      <c r="I687">
        <v>0.68700000000000006</v>
      </c>
      <c r="J687">
        <v>0.65500000000000003</v>
      </c>
      <c r="K687">
        <v>0.65</v>
      </c>
      <c r="L687">
        <v>-99.998999999999995</v>
      </c>
      <c r="M687">
        <v>-99.998999999999995</v>
      </c>
      <c r="Q687" s="2">
        <f t="shared" si="52"/>
        <v>-1.0284123409628094</v>
      </c>
      <c r="T687" s="2">
        <f t="shared" si="53"/>
        <v>200681.91935285652</v>
      </c>
      <c r="W687" s="2">
        <f t="shared" si="54"/>
        <v>200681.91935285652</v>
      </c>
    </row>
    <row r="688" spans="1:23">
      <c r="A688">
        <v>1681</v>
      </c>
      <c r="B688">
        <v>9</v>
      </c>
      <c r="C688">
        <v>22</v>
      </c>
      <c r="D688">
        <v>-3.4359999999999999</v>
      </c>
      <c r="E688" s="2">
        <f t="shared" si="50"/>
        <v>-3.5</v>
      </c>
      <c r="F688" s="2">
        <f t="shared" si="51"/>
        <v>81</v>
      </c>
      <c r="G688">
        <v>-0.34100000000000003</v>
      </c>
      <c r="H688">
        <v>0.68899999999999995</v>
      </c>
      <c r="I688">
        <v>0.748</v>
      </c>
      <c r="J688">
        <v>0.71299999999999997</v>
      </c>
      <c r="K688">
        <v>0.68</v>
      </c>
      <c r="L688">
        <v>-99.998999999999995</v>
      </c>
      <c r="M688">
        <v>-99.998999999999995</v>
      </c>
      <c r="Q688" s="2">
        <f t="shared" si="52"/>
        <v>-2.5585099129682756</v>
      </c>
      <c r="T688" s="2">
        <f t="shared" si="53"/>
        <v>71571.741412569769</v>
      </c>
      <c r="W688" s="2">
        <f t="shared" si="54"/>
        <v>71571.741412569769</v>
      </c>
    </row>
    <row r="689" spans="1:23">
      <c r="A689">
        <v>1682</v>
      </c>
      <c r="B689">
        <v>9</v>
      </c>
      <c r="C689">
        <v>23</v>
      </c>
      <c r="D689">
        <v>-2.3239999999999998</v>
      </c>
      <c r="E689" s="2">
        <f t="shared" si="50"/>
        <v>-2.5</v>
      </c>
      <c r="F689" s="2">
        <f t="shared" si="51"/>
        <v>199</v>
      </c>
      <c r="G689">
        <v>-0.46400000000000002</v>
      </c>
      <c r="H689">
        <v>0.68899999999999995</v>
      </c>
      <c r="I689">
        <v>0.75</v>
      </c>
      <c r="J689">
        <v>0.71799999999999997</v>
      </c>
      <c r="K689">
        <v>0.71099999999999997</v>
      </c>
      <c r="L689">
        <v>-99.998999999999995</v>
      </c>
      <c r="M689">
        <v>-99.998999999999995</v>
      </c>
      <c r="Q689" s="2">
        <f t="shared" si="52"/>
        <v>-2.2592716962834216</v>
      </c>
      <c r="T689" s="2">
        <f t="shared" si="53"/>
        <v>96821.568684746861</v>
      </c>
      <c r="W689" s="2">
        <f t="shared" si="54"/>
        <v>96821.568684746861</v>
      </c>
    </row>
    <row r="690" spans="1:23">
      <c r="A690">
        <v>1683</v>
      </c>
      <c r="B690">
        <v>9</v>
      </c>
      <c r="C690">
        <v>23</v>
      </c>
      <c r="D690">
        <v>1.7709999999999999</v>
      </c>
      <c r="E690" s="2">
        <f t="shared" si="50"/>
        <v>2</v>
      </c>
      <c r="F690" s="2">
        <f t="shared" si="51"/>
        <v>832</v>
      </c>
      <c r="G690">
        <v>-0.55600000000000005</v>
      </c>
      <c r="H690">
        <v>0.68899999999999995</v>
      </c>
      <c r="I690">
        <v>0.75</v>
      </c>
      <c r="J690">
        <v>0.71799999999999997</v>
      </c>
      <c r="K690">
        <v>0.71599999999999997</v>
      </c>
      <c r="L690">
        <v>-99.998999999999995</v>
      </c>
      <c r="M690">
        <v>-99.998999999999995</v>
      </c>
      <c r="Q690" s="2">
        <f t="shared" si="52"/>
        <v>-1.1573108173945046</v>
      </c>
      <c r="T690" s="2">
        <f t="shared" si="53"/>
        <v>189805.42001529102</v>
      </c>
      <c r="W690" s="2">
        <f t="shared" si="54"/>
        <v>189805.42001529102</v>
      </c>
    </row>
    <row r="691" spans="1:23">
      <c r="A691">
        <v>1684</v>
      </c>
      <c r="B691">
        <v>9</v>
      </c>
      <c r="C691">
        <v>23</v>
      </c>
      <c r="D691">
        <v>-2.5550000000000002</v>
      </c>
      <c r="E691" s="2">
        <f t="shared" si="50"/>
        <v>-2.5</v>
      </c>
      <c r="F691" s="2">
        <f t="shared" si="51"/>
        <v>170</v>
      </c>
      <c r="G691">
        <v>-0.61599999999999999</v>
      </c>
      <c r="H691">
        <v>0.68899999999999995</v>
      </c>
      <c r="I691">
        <v>0.751</v>
      </c>
      <c r="J691">
        <v>0.72099999999999997</v>
      </c>
      <c r="K691">
        <v>0.71599999999999997</v>
      </c>
      <c r="L691">
        <v>-99.998999999999995</v>
      </c>
      <c r="M691">
        <v>-99.998999999999995</v>
      </c>
      <c r="Q691" s="2">
        <f t="shared" si="52"/>
        <v>-2.3214335920156173</v>
      </c>
      <c r="T691" s="2">
        <f t="shared" si="53"/>
        <v>91576.325789177674</v>
      </c>
      <c r="W691" s="2">
        <f t="shared" si="54"/>
        <v>91576.325789177674</v>
      </c>
    </row>
    <row r="692" spans="1:23">
      <c r="A692">
        <v>1685</v>
      </c>
      <c r="B692">
        <v>9</v>
      </c>
      <c r="C692">
        <v>25</v>
      </c>
      <c r="D692">
        <v>-2.0230000000000001</v>
      </c>
      <c r="E692" s="2">
        <f t="shared" si="50"/>
        <v>-2</v>
      </c>
      <c r="F692" s="2">
        <f t="shared" si="51"/>
        <v>241</v>
      </c>
      <c r="G692">
        <v>-0.63600000000000001</v>
      </c>
      <c r="H692">
        <v>0.68899999999999995</v>
      </c>
      <c r="I692">
        <v>0.75700000000000001</v>
      </c>
      <c r="J692">
        <v>0.73</v>
      </c>
      <c r="K692">
        <v>0.72</v>
      </c>
      <c r="L692">
        <v>-99.998999999999995</v>
      </c>
      <c r="M692">
        <v>-99.998999999999995</v>
      </c>
      <c r="Q692" s="2">
        <f t="shared" si="52"/>
        <v>-2.1782728624505614</v>
      </c>
      <c r="T692" s="2">
        <f t="shared" si="53"/>
        <v>103656.27912442788</v>
      </c>
      <c r="W692" s="2">
        <f t="shared" si="54"/>
        <v>103656.27912442788</v>
      </c>
    </row>
    <row r="693" spans="1:23">
      <c r="A693">
        <v>1686</v>
      </c>
      <c r="B693">
        <v>9</v>
      </c>
      <c r="C693">
        <v>26</v>
      </c>
      <c r="D693">
        <v>1.0049999999999999</v>
      </c>
      <c r="E693" s="2">
        <f t="shared" si="50"/>
        <v>1</v>
      </c>
      <c r="F693" s="2">
        <f t="shared" si="51"/>
        <v>731</v>
      </c>
      <c r="G693">
        <v>-0.61699999999999999</v>
      </c>
      <c r="H693">
        <v>0.68899999999999995</v>
      </c>
      <c r="I693">
        <v>0.77</v>
      </c>
      <c r="J693">
        <v>0.751</v>
      </c>
      <c r="K693">
        <v>0.72799999999999998</v>
      </c>
      <c r="L693">
        <v>-99.998999999999995</v>
      </c>
      <c r="M693">
        <v>-99.998999999999995</v>
      </c>
      <c r="Q693" s="2">
        <f t="shared" si="52"/>
        <v>-1.3634407400389272</v>
      </c>
      <c r="T693" s="2">
        <f t="shared" si="53"/>
        <v>172412.10374686689</v>
      </c>
      <c r="W693" s="2">
        <f t="shared" si="54"/>
        <v>172412.10374686689</v>
      </c>
    </row>
    <row r="694" spans="1:23">
      <c r="A694">
        <v>1687</v>
      </c>
      <c r="B694">
        <v>9</v>
      </c>
      <c r="C694">
        <v>26</v>
      </c>
      <c r="D694">
        <v>-0.27900000000000003</v>
      </c>
      <c r="E694" s="2">
        <f t="shared" si="50"/>
        <v>-0.5</v>
      </c>
      <c r="F694" s="2">
        <f t="shared" si="51"/>
        <v>520</v>
      </c>
      <c r="G694">
        <v>-0.57099999999999995</v>
      </c>
      <c r="H694">
        <v>0.68899999999999995</v>
      </c>
      <c r="I694">
        <v>0.77</v>
      </c>
      <c r="J694">
        <v>0.751</v>
      </c>
      <c r="K694">
        <v>0.751</v>
      </c>
      <c r="L694">
        <v>-99.998999999999995</v>
      </c>
      <c r="M694">
        <v>-99.998999999999995</v>
      </c>
      <c r="Q694" s="2">
        <f t="shared" si="52"/>
        <v>-1.7089640046282726</v>
      </c>
      <c r="T694" s="2">
        <f t="shared" si="53"/>
        <v>143256.72765201496</v>
      </c>
      <c r="W694" s="2">
        <f t="shared" si="54"/>
        <v>143256.72765201496</v>
      </c>
    </row>
    <row r="695" spans="1:23">
      <c r="A695">
        <v>1688</v>
      </c>
      <c r="B695">
        <v>9</v>
      </c>
      <c r="C695">
        <v>26</v>
      </c>
      <c r="D695">
        <v>-0.51500000000000001</v>
      </c>
      <c r="E695" s="2">
        <f t="shared" si="50"/>
        <v>-0.5</v>
      </c>
      <c r="F695" s="2">
        <f t="shared" si="51"/>
        <v>482</v>
      </c>
      <c r="G695">
        <v>-0.502</v>
      </c>
      <c r="H695">
        <v>0.68899999999999995</v>
      </c>
      <c r="I695">
        <v>0.77</v>
      </c>
      <c r="J695">
        <v>0.751</v>
      </c>
      <c r="K695">
        <v>0.751</v>
      </c>
      <c r="L695">
        <v>-99.998999999999995</v>
      </c>
      <c r="M695">
        <v>-99.998999999999995</v>
      </c>
      <c r="Q695" s="2">
        <f t="shared" si="52"/>
        <v>-1.772471395939087</v>
      </c>
      <c r="T695" s="2">
        <f t="shared" si="53"/>
        <v>137897.95136043779</v>
      </c>
      <c r="W695" s="2">
        <f t="shared" si="54"/>
        <v>137897.95136043779</v>
      </c>
    </row>
    <row r="696" spans="1:23">
      <c r="A696">
        <v>1689</v>
      </c>
      <c r="B696">
        <v>9</v>
      </c>
      <c r="C696">
        <v>26</v>
      </c>
      <c r="D696">
        <v>-0.70899999999999996</v>
      </c>
      <c r="E696" s="2">
        <f t="shared" si="50"/>
        <v>-0.5</v>
      </c>
      <c r="F696" s="2">
        <f t="shared" si="51"/>
        <v>445</v>
      </c>
      <c r="G696">
        <v>-0.40699999999999997</v>
      </c>
      <c r="H696">
        <v>0.68899999999999995</v>
      </c>
      <c r="I696">
        <v>0.77</v>
      </c>
      <c r="J696">
        <v>0.751</v>
      </c>
      <c r="K696">
        <v>0.751</v>
      </c>
      <c r="L696">
        <v>-99.998999999999995</v>
      </c>
      <c r="M696">
        <v>-99.998999999999995</v>
      </c>
      <c r="Q696" s="2">
        <f t="shared" si="52"/>
        <v>-1.8246766243895021</v>
      </c>
      <c r="T696" s="2">
        <f t="shared" si="53"/>
        <v>133492.85559532777</v>
      </c>
      <c r="W696" s="2">
        <f t="shared" si="54"/>
        <v>133492.85559532777</v>
      </c>
    </row>
    <row r="697" spans="1:23">
      <c r="A697">
        <v>1690</v>
      </c>
      <c r="B697">
        <v>9</v>
      </c>
      <c r="C697">
        <v>26</v>
      </c>
      <c r="D697">
        <v>-1.6639999999999999</v>
      </c>
      <c r="E697" s="2">
        <f t="shared" si="50"/>
        <v>-1.5</v>
      </c>
      <c r="F697" s="2">
        <f t="shared" si="51"/>
        <v>295</v>
      </c>
      <c r="G697">
        <v>-0.28399999999999997</v>
      </c>
      <c r="H697">
        <v>0.68899999999999995</v>
      </c>
      <c r="I697">
        <v>0.77100000000000002</v>
      </c>
      <c r="J697">
        <v>0.752</v>
      </c>
      <c r="K697">
        <v>0.751</v>
      </c>
      <c r="L697">
        <v>-99.998999999999995</v>
      </c>
      <c r="M697">
        <v>-99.998999999999995</v>
      </c>
      <c r="Q697" s="2">
        <f t="shared" si="52"/>
        <v>-2.0816662799057206</v>
      </c>
      <c r="T697" s="2">
        <f t="shared" si="53"/>
        <v>111807.97695780161</v>
      </c>
      <c r="W697" s="2">
        <f t="shared" si="54"/>
        <v>111807.97695780161</v>
      </c>
    </row>
    <row r="698" spans="1:23">
      <c r="A698">
        <v>1691</v>
      </c>
      <c r="B698">
        <v>9</v>
      </c>
      <c r="C698">
        <v>28</v>
      </c>
      <c r="D698">
        <v>-2.4409999999999998</v>
      </c>
      <c r="E698" s="2">
        <f t="shared" si="50"/>
        <v>-2.5</v>
      </c>
      <c r="F698" s="2">
        <f t="shared" si="51"/>
        <v>182</v>
      </c>
      <c r="G698">
        <v>-0.13700000000000001</v>
      </c>
      <c r="H698">
        <v>0.68899999999999995</v>
      </c>
      <c r="I698">
        <v>0.78300000000000003</v>
      </c>
      <c r="J698">
        <v>0.76600000000000001</v>
      </c>
      <c r="K698">
        <v>0.751</v>
      </c>
      <c r="L698">
        <v>-99.998999999999995</v>
      </c>
      <c r="M698">
        <v>-99.998999999999995</v>
      </c>
      <c r="Q698" s="2">
        <f t="shared" si="52"/>
        <v>-2.2907562928231049</v>
      </c>
      <c r="T698" s="2">
        <f t="shared" si="53"/>
        <v>94164.887218159885</v>
      </c>
      <c r="W698" s="2">
        <f t="shared" si="54"/>
        <v>94164.887218159885</v>
      </c>
    </row>
    <row r="699" spans="1:23">
      <c r="A699">
        <v>1692</v>
      </c>
      <c r="B699">
        <v>9</v>
      </c>
      <c r="C699">
        <v>28</v>
      </c>
      <c r="D699">
        <v>0.98699999999999999</v>
      </c>
      <c r="E699" s="2">
        <f t="shared" si="50"/>
        <v>1</v>
      </c>
      <c r="F699" s="2">
        <f t="shared" si="51"/>
        <v>726</v>
      </c>
      <c r="G699">
        <v>1.7999999999999999E-2</v>
      </c>
      <c r="H699">
        <v>0.68899999999999995</v>
      </c>
      <c r="I699">
        <v>0.78300000000000003</v>
      </c>
      <c r="J699">
        <v>0.76600000000000001</v>
      </c>
      <c r="K699">
        <v>0.76500000000000001</v>
      </c>
      <c r="L699">
        <v>-99.998999999999995</v>
      </c>
      <c r="M699">
        <v>-99.998999999999995</v>
      </c>
      <c r="Q699" s="2">
        <f t="shared" si="52"/>
        <v>-1.3682845241219552</v>
      </c>
      <c r="T699" s="2">
        <f t="shared" si="53"/>
        <v>172003.38352123814</v>
      </c>
      <c r="W699" s="2">
        <f t="shared" si="54"/>
        <v>172003.38352123814</v>
      </c>
    </row>
    <row r="700" spans="1:23">
      <c r="A700">
        <v>1693</v>
      </c>
      <c r="B700">
        <v>9</v>
      </c>
      <c r="C700">
        <v>28</v>
      </c>
      <c r="D700">
        <v>-0.14599999999999999</v>
      </c>
      <c r="E700" s="2">
        <f t="shared" si="50"/>
        <v>0</v>
      </c>
      <c r="F700" s="2">
        <f t="shared" si="51"/>
        <v>544</v>
      </c>
      <c r="G700">
        <v>0.151</v>
      </c>
      <c r="H700">
        <v>0.68899999999999995</v>
      </c>
      <c r="I700">
        <v>0.78300000000000003</v>
      </c>
      <c r="J700">
        <v>0.76600000000000001</v>
      </c>
      <c r="K700">
        <v>0.76500000000000001</v>
      </c>
      <c r="L700">
        <v>-99.998999999999995</v>
      </c>
      <c r="M700">
        <v>-99.998999999999995</v>
      </c>
      <c r="Q700" s="2">
        <f t="shared" si="52"/>
        <v>-1.6731738222370087</v>
      </c>
      <c r="T700" s="2">
        <f t="shared" si="53"/>
        <v>146276.7159858275</v>
      </c>
      <c r="W700" s="2">
        <f t="shared" si="54"/>
        <v>146276.7159858275</v>
      </c>
    </row>
    <row r="701" spans="1:23">
      <c r="A701">
        <v>1694</v>
      </c>
      <c r="B701">
        <v>9</v>
      </c>
      <c r="C701">
        <v>28</v>
      </c>
      <c r="D701">
        <v>3.0819999999999999</v>
      </c>
      <c r="E701" s="2">
        <f t="shared" si="50"/>
        <v>3</v>
      </c>
      <c r="F701" s="2">
        <f t="shared" si="51"/>
        <v>940</v>
      </c>
      <c r="G701">
        <v>0.23200000000000001</v>
      </c>
      <c r="H701">
        <v>0.68899999999999995</v>
      </c>
      <c r="I701">
        <v>0.78300000000000003</v>
      </c>
      <c r="J701">
        <v>0.76600000000000001</v>
      </c>
      <c r="K701">
        <v>0.76500000000000001</v>
      </c>
      <c r="L701">
        <v>-99.998999999999995</v>
      </c>
      <c r="M701">
        <v>-99.998999999999995</v>
      </c>
      <c r="Q701" s="2">
        <f t="shared" si="52"/>
        <v>-0.80452187668061681</v>
      </c>
      <c r="T701" s="2">
        <f t="shared" si="53"/>
        <v>219573.87644858612</v>
      </c>
      <c r="W701" s="2">
        <f t="shared" si="54"/>
        <v>219573.87644858612</v>
      </c>
    </row>
    <row r="702" spans="1:23">
      <c r="A702">
        <v>1695</v>
      </c>
      <c r="B702">
        <v>9</v>
      </c>
      <c r="C702">
        <v>28</v>
      </c>
      <c r="D702">
        <v>5.2380000000000004</v>
      </c>
      <c r="E702" s="2">
        <f t="shared" si="50"/>
        <v>5</v>
      </c>
      <c r="F702" s="2">
        <f t="shared" si="51"/>
        <v>1001</v>
      </c>
      <c r="G702">
        <v>0.23599999999999999</v>
      </c>
      <c r="H702">
        <v>0.68899999999999995</v>
      </c>
      <c r="I702">
        <v>0.78300000000000003</v>
      </c>
      <c r="J702">
        <v>0.76600000000000001</v>
      </c>
      <c r="K702">
        <v>0.76500000000000001</v>
      </c>
      <c r="L702">
        <v>-99.998999999999995</v>
      </c>
      <c r="M702">
        <v>-99.998999999999995</v>
      </c>
      <c r="Q702" s="2">
        <f t="shared" si="52"/>
        <v>-0.22434418318012694</v>
      </c>
      <c r="T702" s="2">
        <f t="shared" si="53"/>
        <v>268529.47680723161</v>
      </c>
      <c r="W702" s="2">
        <f t="shared" si="54"/>
        <v>268529.47680723161</v>
      </c>
    </row>
    <row r="703" spans="1:23">
      <c r="A703">
        <v>1696</v>
      </c>
      <c r="B703">
        <v>9</v>
      </c>
      <c r="C703">
        <v>28</v>
      </c>
      <c r="D703">
        <v>-0.86799999999999999</v>
      </c>
      <c r="E703" s="2">
        <f t="shared" si="50"/>
        <v>-1</v>
      </c>
      <c r="F703" s="2">
        <f t="shared" si="51"/>
        <v>412</v>
      </c>
      <c r="G703">
        <v>0.16400000000000001</v>
      </c>
      <c r="H703">
        <v>0.68899999999999995</v>
      </c>
      <c r="I703">
        <v>0.78300000000000003</v>
      </c>
      <c r="J703">
        <v>0.76600000000000001</v>
      </c>
      <c r="K703">
        <v>0.76500000000000001</v>
      </c>
      <c r="L703">
        <v>-99.998999999999995</v>
      </c>
      <c r="M703">
        <v>-99.998999999999995</v>
      </c>
      <c r="Q703" s="2">
        <f t="shared" si="52"/>
        <v>-1.8674633837895844</v>
      </c>
      <c r="T703" s="2">
        <f t="shared" si="53"/>
        <v>129882.49360227369</v>
      </c>
      <c r="W703" s="2">
        <f t="shared" si="54"/>
        <v>129882.49360227369</v>
      </c>
    </row>
    <row r="704" spans="1:23">
      <c r="A704">
        <v>1697</v>
      </c>
      <c r="B704">
        <v>9</v>
      </c>
      <c r="C704">
        <v>28</v>
      </c>
      <c r="D704">
        <v>-1.54</v>
      </c>
      <c r="E704" s="2">
        <f t="shared" si="50"/>
        <v>-1.5</v>
      </c>
      <c r="F704" s="2">
        <f t="shared" si="51"/>
        <v>319</v>
      </c>
      <c r="G704">
        <v>5.1999999999999998E-2</v>
      </c>
      <c r="H704">
        <v>0.68899999999999995</v>
      </c>
      <c r="I704">
        <v>0.78900000000000003</v>
      </c>
      <c r="J704">
        <v>0.77200000000000002</v>
      </c>
      <c r="K704">
        <v>0.76500000000000001</v>
      </c>
      <c r="L704">
        <v>-99.998999999999995</v>
      </c>
      <c r="M704">
        <v>-99.998999999999995</v>
      </c>
      <c r="Q704" s="2">
        <f t="shared" si="52"/>
        <v>-2.0482979895559708</v>
      </c>
      <c r="T704" s="2">
        <f t="shared" si="53"/>
        <v>114623.60517879977</v>
      </c>
      <c r="W704" s="2">
        <f t="shared" si="54"/>
        <v>114623.60517879977</v>
      </c>
    </row>
    <row r="705" spans="1:23">
      <c r="A705">
        <v>1698</v>
      </c>
      <c r="B705">
        <v>9</v>
      </c>
      <c r="C705">
        <v>30</v>
      </c>
      <c r="D705">
        <v>-1.5029999999999999</v>
      </c>
      <c r="E705" s="2">
        <f t="shared" si="50"/>
        <v>-1.5</v>
      </c>
      <c r="F705" s="2">
        <f t="shared" si="51"/>
        <v>328</v>
      </c>
      <c r="G705">
        <v>-6.5000000000000002E-2</v>
      </c>
      <c r="H705">
        <v>0.68899999999999995</v>
      </c>
      <c r="I705">
        <v>0.78900000000000003</v>
      </c>
      <c r="J705">
        <v>0.77200000000000002</v>
      </c>
      <c r="K705">
        <v>0.77200000000000002</v>
      </c>
      <c r="L705">
        <v>-99.998999999999995</v>
      </c>
      <c r="M705">
        <v>-99.998999999999995</v>
      </c>
      <c r="Q705" s="2">
        <f t="shared" si="52"/>
        <v>-2.0383413222741908</v>
      </c>
      <c r="T705" s="2">
        <f t="shared" si="53"/>
        <v>115463.75230925888</v>
      </c>
      <c r="W705" s="2">
        <f t="shared" si="54"/>
        <v>115463.75230925888</v>
      </c>
    </row>
    <row r="706" spans="1:23">
      <c r="A706">
        <v>1699</v>
      </c>
      <c r="B706">
        <v>9</v>
      </c>
      <c r="C706">
        <v>30</v>
      </c>
      <c r="D706">
        <v>-3.1080000000000001</v>
      </c>
      <c r="E706" s="2">
        <f t="shared" si="50"/>
        <v>-3</v>
      </c>
      <c r="F706" s="2">
        <f t="shared" si="51"/>
        <v>100</v>
      </c>
      <c r="G706">
        <v>-0.16500000000000001</v>
      </c>
      <c r="H706">
        <v>0.68899999999999995</v>
      </c>
      <c r="I706">
        <v>0.78900000000000003</v>
      </c>
      <c r="J706">
        <v>0.77200000000000002</v>
      </c>
      <c r="K706">
        <v>0.77200000000000002</v>
      </c>
      <c r="L706">
        <v>-99.998999999999995</v>
      </c>
      <c r="M706">
        <v>-99.998999999999995</v>
      </c>
      <c r="Q706" s="2">
        <f t="shared" si="52"/>
        <v>-2.4702454030108725</v>
      </c>
      <c r="T706" s="2">
        <f t="shared" si="53"/>
        <v>79019.53219069395</v>
      </c>
      <c r="W706" s="2">
        <f t="shared" si="54"/>
        <v>79019.53219069395</v>
      </c>
    </row>
    <row r="707" spans="1:23">
      <c r="A707">
        <v>1700</v>
      </c>
      <c r="B707">
        <v>9</v>
      </c>
      <c r="C707">
        <v>31</v>
      </c>
      <c r="D707">
        <v>0.27100000000000002</v>
      </c>
      <c r="E707" s="2">
        <f t="shared" ref="E707:E770" si="55">IF(D707&gt;0,MROUND(D707,0.5),MROUND(D707,-0.5))</f>
        <v>0.5</v>
      </c>
      <c r="F707" s="2">
        <f t="shared" ref="F707:F770" si="56">RANK(D707,$D$3:$D$1011,1)</f>
        <v>614</v>
      </c>
      <c r="G707">
        <v>-0.245</v>
      </c>
      <c r="H707">
        <v>0.68899999999999995</v>
      </c>
      <c r="I707">
        <v>0.78900000000000003</v>
      </c>
      <c r="J707">
        <v>0.77200000000000002</v>
      </c>
      <c r="K707">
        <v>0.77200000000000002</v>
      </c>
      <c r="L707">
        <v>-99.998999999999995</v>
      </c>
      <c r="M707">
        <v>-99.998999999999995</v>
      </c>
      <c r="Q707" s="2">
        <f t="shared" ref="Q707:Q770" si="57">$Q$1022+($Q$1021*D707)</f>
        <v>-1.5609594909801885</v>
      </c>
      <c r="T707" s="2">
        <f t="shared" ref="T707:T770" si="58">$T$1025+(Q707*$T$1024)</f>
        <v>155745.40121289389</v>
      </c>
      <c r="W707" s="2">
        <f t="shared" ref="W707:W770" si="59">$T$1025+(Q707*$T$1024)</f>
        <v>155745.40121289389</v>
      </c>
    </row>
    <row r="708" spans="1:23">
      <c r="A708">
        <v>1701</v>
      </c>
      <c r="B708">
        <v>9</v>
      </c>
      <c r="C708">
        <v>31</v>
      </c>
      <c r="D708">
        <v>2.0529999999999999</v>
      </c>
      <c r="E708" s="2">
        <f t="shared" si="55"/>
        <v>2</v>
      </c>
      <c r="F708" s="2">
        <f t="shared" si="56"/>
        <v>857</v>
      </c>
      <c r="G708">
        <v>-0.32</v>
      </c>
      <c r="H708">
        <v>0.68899999999999995</v>
      </c>
      <c r="I708">
        <v>0.78900000000000003</v>
      </c>
      <c r="J708">
        <v>0.77200000000000002</v>
      </c>
      <c r="K708">
        <v>0.77200000000000002</v>
      </c>
      <c r="L708">
        <v>-99.998999999999995</v>
      </c>
      <c r="M708">
        <v>-99.998999999999995</v>
      </c>
      <c r="Q708" s="2">
        <f t="shared" si="57"/>
        <v>-1.0814248667603961</v>
      </c>
      <c r="T708" s="2">
        <f t="shared" si="58"/>
        <v>196208.70355014168</v>
      </c>
      <c r="W708" s="2">
        <f t="shared" si="59"/>
        <v>196208.70355014168</v>
      </c>
    </row>
    <row r="709" spans="1:23">
      <c r="A709">
        <v>1702</v>
      </c>
      <c r="B709">
        <v>9</v>
      </c>
      <c r="C709">
        <v>31</v>
      </c>
      <c r="D709">
        <v>2.343</v>
      </c>
      <c r="E709" s="2">
        <f t="shared" si="55"/>
        <v>2.5</v>
      </c>
      <c r="F709" s="2">
        <f t="shared" si="56"/>
        <v>887</v>
      </c>
      <c r="G709">
        <v>-0.40400000000000003</v>
      </c>
      <c r="H709">
        <v>0.68899999999999995</v>
      </c>
      <c r="I709">
        <v>0.78900000000000003</v>
      </c>
      <c r="J709">
        <v>0.77200000000000002</v>
      </c>
      <c r="K709">
        <v>0.77200000000000002</v>
      </c>
      <c r="L709">
        <v>-99.998999999999995</v>
      </c>
      <c r="M709">
        <v>-99.998999999999995</v>
      </c>
      <c r="Q709" s="2">
        <f t="shared" si="57"/>
        <v>-1.003386123200497</v>
      </c>
      <c r="T709" s="2">
        <f t="shared" si="58"/>
        <v>202793.64051860513</v>
      </c>
      <c r="W709" s="2">
        <f t="shared" si="59"/>
        <v>202793.64051860513</v>
      </c>
    </row>
    <row r="710" spans="1:23">
      <c r="A710">
        <v>1703</v>
      </c>
      <c r="B710">
        <v>9</v>
      </c>
      <c r="C710">
        <v>31</v>
      </c>
      <c r="D710">
        <v>-2.1520000000000001</v>
      </c>
      <c r="E710" s="2">
        <f t="shared" si="55"/>
        <v>-2</v>
      </c>
      <c r="F710" s="2">
        <f t="shared" si="56"/>
        <v>225</v>
      </c>
      <c r="G710">
        <v>-0.49199999999999999</v>
      </c>
      <c r="H710">
        <v>0.68899999999999995</v>
      </c>
      <c r="I710">
        <v>0.78900000000000003</v>
      </c>
      <c r="J710">
        <v>0.77200000000000002</v>
      </c>
      <c r="K710">
        <v>0.77200000000000002</v>
      </c>
      <c r="L710">
        <v>-99.998999999999995</v>
      </c>
      <c r="M710">
        <v>-99.998999999999995</v>
      </c>
      <c r="Q710" s="2">
        <f t="shared" si="57"/>
        <v>-2.21298664837893</v>
      </c>
      <c r="T710" s="2">
        <f t="shared" si="58"/>
        <v>100727.11750742173</v>
      </c>
      <c r="W710" s="2">
        <f t="shared" si="59"/>
        <v>100727.11750742173</v>
      </c>
    </row>
    <row r="711" spans="1:23">
      <c r="A711">
        <v>1704</v>
      </c>
      <c r="B711">
        <v>9</v>
      </c>
      <c r="C711">
        <v>31</v>
      </c>
      <c r="D711">
        <v>-4.1100000000000003</v>
      </c>
      <c r="E711" s="2">
        <f t="shared" si="55"/>
        <v>-4</v>
      </c>
      <c r="F711" s="2">
        <f t="shared" si="56"/>
        <v>27</v>
      </c>
      <c r="G711">
        <v>-0.55600000000000005</v>
      </c>
      <c r="H711">
        <v>0.69</v>
      </c>
      <c r="I711">
        <v>0.78900000000000003</v>
      </c>
      <c r="J711">
        <v>0.77200000000000002</v>
      </c>
      <c r="K711">
        <v>0.77200000000000002</v>
      </c>
      <c r="L711">
        <v>-99.998999999999995</v>
      </c>
      <c r="M711">
        <v>-99.998999999999995</v>
      </c>
      <c r="Q711" s="2">
        <f t="shared" si="57"/>
        <v>-2.7398827169661093</v>
      </c>
      <c r="T711" s="2">
        <f t="shared" si="58"/>
        <v>56267.439630692679</v>
      </c>
      <c r="W711" s="2">
        <f t="shared" si="59"/>
        <v>56267.439630692679</v>
      </c>
    </row>
    <row r="712" spans="1:23">
      <c r="A712">
        <v>1705</v>
      </c>
      <c r="B712">
        <v>9</v>
      </c>
      <c r="C712">
        <v>31</v>
      </c>
      <c r="D712">
        <v>-1.5740000000000001</v>
      </c>
      <c r="E712" s="2">
        <f t="shared" si="55"/>
        <v>-1.5</v>
      </c>
      <c r="F712" s="2">
        <f t="shared" si="56"/>
        <v>309</v>
      </c>
      <c r="G712">
        <v>-0.58399999999999996</v>
      </c>
      <c r="H712">
        <v>0.69</v>
      </c>
      <c r="I712">
        <v>0.79</v>
      </c>
      <c r="J712">
        <v>0.77300000000000002</v>
      </c>
      <c r="K712">
        <v>0.77200000000000002</v>
      </c>
      <c r="L712">
        <v>-99.998999999999995</v>
      </c>
      <c r="M712">
        <v>-99.998999999999995</v>
      </c>
      <c r="Q712" s="2">
        <f t="shared" si="57"/>
        <v>-2.0574473594905798</v>
      </c>
      <c r="T712" s="2">
        <f t="shared" si="58"/>
        <v>113851.57808594542</v>
      </c>
      <c r="W712" s="2">
        <f t="shared" si="59"/>
        <v>113851.57808594542</v>
      </c>
    </row>
    <row r="713" spans="1:23">
      <c r="A713">
        <v>1706</v>
      </c>
      <c r="B713">
        <v>9</v>
      </c>
      <c r="C713">
        <v>31</v>
      </c>
      <c r="D713">
        <v>2.3959999999999999</v>
      </c>
      <c r="E713" s="2">
        <f t="shared" si="55"/>
        <v>2.5</v>
      </c>
      <c r="F713" s="2">
        <f t="shared" si="56"/>
        <v>893</v>
      </c>
      <c r="G713">
        <v>-0.58899999999999997</v>
      </c>
      <c r="H713">
        <v>0.69</v>
      </c>
      <c r="I713">
        <v>0.79</v>
      </c>
      <c r="J713">
        <v>0.77300000000000002</v>
      </c>
      <c r="K713">
        <v>0.77200000000000002</v>
      </c>
      <c r="L713">
        <v>-99.998999999999995</v>
      </c>
      <c r="M713">
        <v>-99.998999999999995</v>
      </c>
      <c r="Q713" s="2">
        <f t="shared" si="57"/>
        <v>-0.9891238700671362</v>
      </c>
      <c r="T713" s="2">
        <f t="shared" si="58"/>
        <v>203997.09451628983</v>
      </c>
      <c r="W713" s="2">
        <f t="shared" si="59"/>
        <v>203997.09451628983</v>
      </c>
    </row>
    <row r="714" spans="1:23">
      <c r="A714">
        <v>1707</v>
      </c>
      <c r="B714">
        <v>9</v>
      </c>
      <c r="C714">
        <v>31</v>
      </c>
      <c r="D714">
        <v>0.97599999999999998</v>
      </c>
      <c r="E714" s="2">
        <f t="shared" si="55"/>
        <v>1</v>
      </c>
      <c r="F714" s="2">
        <f t="shared" si="56"/>
        <v>723</v>
      </c>
      <c r="G714">
        <v>-0.59199999999999997</v>
      </c>
      <c r="H714">
        <v>0.69</v>
      </c>
      <c r="I714">
        <v>0.79</v>
      </c>
      <c r="J714">
        <v>0.77300000000000002</v>
      </c>
      <c r="K714">
        <v>0.77200000000000002</v>
      </c>
      <c r="L714">
        <v>-99.998999999999995</v>
      </c>
      <c r="M714">
        <v>-99.998999999999995</v>
      </c>
      <c r="Q714" s="2">
        <f t="shared" si="57"/>
        <v>-1.3712446143949171</v>
      </c>
      <c r="T714" s="2">
        <f t="shared" si="58"/>
        <v>171753.61005002056</v>
      </c>
      <c r="W714" s="2">
        <f t="shared" si="59"/>
        <v>171753.61005002056</v>
      </c>
    </row>
    <row r="715" spans="1:23">
      <c r="A715">
        <v>1708</v>
      </c>
      <c r="B715">
        <v>9</v>
      </c>
      <c r="C715">
        <v>31</v>
      </c>
      <c r="D715">
        <v>-2.036</v>
      </c>
      <c r="E715" s="2">
        <f t="shared" si="55"/>
        <v>-2</v>
      </c>
      <c r="F715" s="2">
        <f t="shared" si="56"/>
        <v>240</v>
      </c>
      <c r="G715">
        <v>-0.59299999999999997</v>
      </c>
      <c r="H715">
        <v>0.69</v>
      </c>
      <c r="I715">
        <v>0.79</v>
      </c>
      <c r="J715">
        <v>0.77300000000000002</v>
      </c>
      <c r="K715">
        <v>0.77200000000000002</v>
      </c>
      <c r="L715">
        <v>-99.998999999999995</v>
      </c>
      <c r="M715">
        <v>-99.998999999999995</v>
      </c>
      <c r="Q715" s="2">
        <f t="shared" si="57"/>
        <v>-2.1817711509549707</v>
      </c>
      <c r="T715" s="2">
        <f t="shared" si="58"/>
        <v>103361.09229480708</v>
      </c>
      <c r="W715" s="2">
        <f t="shared" si="59"/>
        <v>103361.09229480708</v>
      </c>
    </row>
    <row r="716" spans="1:23">
      <c r="A716">
        <v>1709</v>
      </c>
      <c r="B716">
        <v>9</v>
      </c>
      <c r="C716">
        <v>31</v>
      </c>
      <c r="D716">
        <v>-1.0409999999999999</v>
      </c>
      <c r="E716" s="2">
        <f t="shared" si="55"/>
        <v>-1</v>
      </c>
      <c r="F716" s="2">
        <f t="shared" si="56"/>
        <v>386</v>
      </c>
      <c r="G716">
        <v>-0.58199999999999996</v>
      </c>
      <c r="H716">
        <v>0.69</v>
      </c>
      <c r="I716">
        <v>0.79</v>
      </c>
      <c r="J716">
        <v>0.77300000000000002</v>
      </c>
      <c r="K716">
        <v>0.77200000000000002</v>
      </c>
      <c r="L716">
        <v>-99.998999999999995</v>
      </c>
      <c r="M716">
        <v>-99.998999999999995</v>
      </c>
      <c r="Q716" s="2">
        <f t="shared" si="57"/>
        <v>-1.9140175308098</v>
      </c>
      <c r="T716" s="2">
        <f t="shared" si="58"/>
        <v>125954.23810039723</v>
      </c>
      <c r="W716" s="2">
        <f t="shared" si="59"/>
        <v>125954.23810039723</v>
      </c>
    </row>
    <row r="717" spans="1:23">
      <c r="A717">
        <v>1710</v>
      </c>
      <c r="B717">
        <v>9</v>
      </c>
      <c r="C717">
        <v>31</v>
      </c>
      <c r="D717">
        <v>-0.51700000000000002</v>
      </c>
      <c r="E717" s="2">
        <f t="shared" si="55"/>
        <v>-0.5</v>
      </c>
      <c r="F717" s="2">
        <f t="shared" si="56"/>
        <v>481</v>
      </c>
      <c r="G717">
        <v>-0.55300000000000005</v>
      </c>
      <c r="H717">
        <v>0.69</v>
      </c>
      <c r="I717">
        <v>0.79300000000000004</v>
      </c>
      <c r="J717">
        <v>0.77400000000000002</v>
      </c>
      <c r="K717">
        <v>0.77200000000000002</v>
      </c>
      <c r="L717">
        <v>-99.998999999999995</v>
      </c>
      <c r="M717">
        <v>-99.998999999999995</v>
      </c>
      <c r="Q717" s="2">
        <f t="shared" si="57"/>
        <v>-1.7730095941705344</v>
      </c>
      <c r="T717" s="2">
        <f t="shared" si="58"/>
        <v>137852.53800203462</v>
      </c>
      <c r="W717" s="2">
        <f t="shared" si="59"/>
        <v>137852.53800203462</v>
      </c>
    </row>
    <row r="718" spans="1:23">
      <c r="A718">
        <v>1711</v>
      </c>
      <c r="B718">
        <v>9</v>
      </c>
      <c r="C718">
        <v>31</v>
      </c>
      <c r="D718">
        <v>0.3</v>
      </c>
      <c r="E718" s="2">
        <f t="shared" si="55"/>
        <v>0.5</v>
      </c>
      <c r="F718" s="2">
        <f t="shared" si="56"/>
        <v>620</v>
      </c>
      <c r="G718">
        <v>-0.50700000000000001</v>
      </c>
      <c r="H718">
        <v>0.69</v>
      </c>
      <c r="I718">
        <v>0.79300000000000004</v>
      </c>
      <c r="J718">
        <v>0.77500000000000002</v>
      </c>
      <c r="K718">
        <v>0.77400000000000002</v>
      </c>
      <c r="L718">
        <v>-99.998999999999995</v>
      </c>
      <c r="M718">
        <v>-99.998999999999995</v>
      </c>
      <c r="Q718" s="2">
        <f t="shared" si="57"/>
        <v>-1.5531556166241987</v>
      </c>
      <c r="T718" s="2">
        <f t="shared" si="58"/>
        <v>156403.89490974025</v>
      </c>
      <c r="W718" s="2">
        <f t="shared" si="59"/>
        <v>156403.89490974025</v>
      </c>
    </row>
    <row r="719" spans="1:23">
      <c r="A719">
        <v>1712</v>
      </c>
      <c r="B719">
        <v>9</v>
      </c>
      <c r="C719">
        <v>31</v>
      </c>
      <c r="D719">
        <v>-0.42699999999999999</v>
      </c>
      <c r="E719" s="2">
        <f t="shared" si="55"/>
        <v>-0.5</v>
      </c>
      <c r="F719" s="2">
        <f t="shared" si="56"/>
        <v>492</v>
      </c>
      <c r="G719">
        <v>-0.44500000000000001</v>
      </c>
      <c r="H719">
        <v>0.69</v>
      </c>
      <c r="I719">
        <v>0.79300000000000004</v>
      </c>
      <c r="J719">
        <v>0.77500000000000002</v>
      </c>
      <c r="K719">
        <v>0.77500000000000002</v>
      </c>
      <c r="L719">
        <v>-99.998999999999995</v>
      </c>
      <c r="M719">
        <v>-99.998999999999995</v>
      </c>
      <c r="Q719" s="2">
        <f t="shared" si="57"/>
        <v>-1.7487906737553933</v>
      </c>
      <c r="T719" s="2">
        <f t="shared" si="58"/>
        <v>139896.13913017843</v>
      </c>
      <c r="W719" s="2">
        <f t="shared" si="59"/>
        <v>139896.13913017843</v>
      </c>
    </row>
    <row r="720" spans="1:23">
      <c r="A720">
        <v>1713</v>
      </c>
      <c r="B720">
        <v>9</v>
      </c>
      <c r="C720">
        <v>31</v>
      </c>
      <c r="D720">
        <v>0.57599999999999996</v>
      </c>
      <c r="E720" s="2">
        <f t="shared" si="55"/>
        <v>0.5</v>
      </c>
      <c r="F720" s="2">
        <f t="shared" si="56"/>
        <v>666</v>
      </c>
      <c r="G720">
        <v>-0.36099999999999999</v>
      </c>
      <c r="H720">
        <v>0.69</v>
      </c>
      <c r="I720">
        <v>0.79300000000000004</v>
      </c>
      <c r="J720">
        <v>0.77500000000000002</v>
      </c>
      <c r="K720">
        <v>0.77500000000000002</v>
      </c>
      <c r="L720">
        <v>-99.998999999999995</v>
      </c>
      <c r="M720">
        <v>-99.998999999999995</v>
      </c>
      <c r="Q720" s="2">
        <f t="shared" si="57"/>
        <v>-1.4788842606844328</v>
      </c>
      <c r="T720" s="2">
        <f t="shared" si="58"/>
        <v>162670.9383693813</v>
      </c>
      <c r="W720" s="2">
        <f t="shared" si="59"/>
        <v>162670.9383693813</v>
      </c>
    </row>
    <row r="721" spans="1:23">
      <c r="A721">
        <v>1714</v>
      </c>
      <c r="B721">
        <v>9</v>
      </c>
      <c r="C721">
        <v>32</v>
      </c>
      <c r="D721">
        <v>-2.2040000000000002</v>
      </c>
      <c r="E721" s="2">
        <f t="shared" si="55"/>
        <v>-2</v>
      </c>
      <c r="F721" s="2">
        <f t="shared" si="56"/>
        <v>217</v>
      </c>
      <c r="G721">
        <v>-0.247</v>
      </c>
      <c r="H721">
        <v>0.69</v>
      </c>
      <c r="I721">
        <v>0.79300000000000004</v>
      </c>
      <c r="J721">
        <v>0.77700000000000002</v>
      </c>
      <c r="K721">
        <v>0.77500000000000002</v>
      </c>
      <c r="L721">
        <v>-99.998999999999995</v>
      </c>
      <c r="M721">
        <v>-99.998999999999995</v>
      </c>
      <c r="Q721" s="2">
        <f t="shared" si="57"/>
        <v>-2.226979802396567</v>
      </c>
      <c r="T721" s="2">
        <f t="shared" si="58"/>
        <v>99546.370188938628</v>
      </c>
      <c r="W721" s="2">
        <f t="shared" si="59"/>
        <v>99546.370188938628</v>
      </c>
    </row>
    <row r="722" spans="1:23">
      <c r="A722">
        <v>1715</v>
      </c>
      <c r="B722">
        <v>9</v>
      </c>
      <c r="C722">
        <v>32</v>
      </c>
      <c r="D722">
        <v>-2.7290000000000001</v>
      </c>
      <c r="E722" s="2">
        <f t="shared" si="55"/>
        <v>-2.5</v>
      </c>
      <c r="F722" s="2">
        <f t="shared" si="56"/>
        <v>142</v>
      </c>
      <c r="G722">
        <v>-9.1999999999999998E-2</v>
      </c>
      <c r="H722">
        <v>0.69</v>
      </c>
      <c r="I722">
        <v>0.79300000000000004</v>
      </c>
      <c r="J722">
        <v>0.77700000000000002</v>
      </c>
      <c r="K722">
        <v>0.77700000000000002</v>
      </c>
      <c r="L722">
        <v>-99.998999999999995</v>
      </c>
      <c r="M722">
        <v>-99.998999999999995</v>
      </c>
      <c r="Q722" s="2">
        <f t="shared" si="57"/>
        <v>-2.3682568381515563</v>
      </c>
      <c r="T722" s="2">
        <f t="shared" si="58"/>
        <v>87625.363608099637</v>
      </c>
      <c r="W722" s="2">
        <f t="shared" si="59"/>
        <v>87625.363608099637</v>
      </c>
    </row>
    <row r="723" spans="1:23">
      <c r="A723">
        <v>1716</v>
      </c>
      <c r="B723">
        <v>9</v>
      </c>
      <c r="C723">
        <v>32</v>
      </c>
      <c r="D723">
        <v>-0.755</v>
      </c>
      <c r="E723" s="2">
        <f t="shared" si="55"/>
        <v>-1</v>
      </c>
      <c r="F723" s="2">
        <f t="shared" si="56"/>
        <v>429</v>
      </c>
      <c r="G723">
        <v>0.10100000000000001</v>
      </c>
      <c r="H723">
        <v>0.69099999999999995</v>
      </c>
      <c r="I723">
        <v>0.79300000000000004</v>
      </c>
      <c r="J723">
        <v>0.77700000000000002</v>
      </c>
      <c r="K723">
        <v>0.77700000000000002</v>
      </c>
      <c r="L723">
        <v>-99.998999999999995</v>
      </c>
      <c r="M723">
        <v>-99.998999999999995</v>
      </c>
      <c r="Q723" s="2">
        <f t="shared" si="57"/>
        <v>-1.8370551837127964</v>
      </c>
      <c r="T723" s="2">
        <f t="shared" si="58"/>
        <v>132448.34835205425</v>
      </c>
      <c r="W723" s="2">
        <f t="shared" si="59"/>
        <v>132448.34835205425</v>
      </c>
    </row>
    <row r="724" spans="1:23">
      <c r="A724">
        <v>1717</v>
      </c>
      <c r="B724">
        <v>9</v>
      </c>
      <c r="C724">
        <v>32</v>
      </c>
      <c r="D724">
        <v>-1.966</v>
      </c>
      <c r="E724" s="2">
        <f t="shared" si="55"/>
        <v>-2</v>
      </c>
      <c r="F724" s="2">
        <f t="shared" si="56"/>
        <v>250</v>
      </c>
      <c r="G724">
        <v>0.30399999999999999</v>
      </c>
      <c r="H724">
        <v>0.69099999999999995</v>
      </c>
      <c r="I724">
        <v>0.79300000000000004</v>
      </c>
      <c r="J724">
        <v>0.77700000000000002</v>
      </c>
      <c r="K724">
        <v>0.77700000000000002</v>
      </c>
      <c r="L724">
        <v>-99.998999999999995</v>
      </c>
      <c r="M724">
        <v>-99.998999999999995</v>
      </c>
      <c r="Q724" s="2">
        <f t="shared" si="57"/>
        <v>-2.1629342128543052</v>
      </c>
      <c r="T724" s="2">
        <f t="shared" si="58"/>
        <v>104950.55983891897</v>
      </c>
      <c r="W724" s="2">
        <f t="shared" si="59"/>
        <v>104950.55983891897</v>
      </c>
    </row>
    <row r="725" spans="1:23">
      <c r="A725">
        <v>1718</v>
      </c>
      <c r="B725">
        <v>9</v>
      </c>
      <c r="C725">
        <v>32</v>
      </c>
      <c r="D725">
        <v>3.298</v>
      </c>
      <c r="E725" s="2">
        <f t="shared" si="55"/>
        <v>3.5</v>
      </c>
      <c r="F725" s="2">
        <f t="shared" si="56"/>
        <v>949</v>
      </c>
      <c r="G725">
        <v>0.47799999999999998</v>
      </c>
      <c r="H725">
        <v>0.69099999999999995</v>
      </c>
      <c r="I725">
        <v>0.79300000000000004</v>
      </c>
      <c r="J725">
        <v>0.77700000000000002</v>
      </c>
      <c r="K725">
        <v>0.77700000000000002</v>
      </c>
      <c r="L725">
        <v>-99.998999999999995</v>
      </c>
      <c r="M725">
        <v>-99.998999999999995</v>
      </c>
      <c r="Q725" s="2">
        <f t="shared" si="57"/>
        <v>-0.74639646768427825</v>
      </c>
      <c r="T725" s="2">
        <f t="shared" si="58"/>
        <v>224478.51915613131</v>
      </c>
      <c r="W725" s="2">
        <f t="shared" si="59"/>
        <v>224478.51915613131</v>
      </c>
    </row>
    <row r="726" spans="1:23">
      <c r="A726">
        <v>1719</v>
      </c>
      <c r="B726">
        <v>9</v>
      </c>
      <c r="C726">
        <v>32</v>
      </c>
      <c r="D726">
        <v>4.8390000000000004</v>
      </c>
      <c r="E726" s="2">
        <f t="shared" si="55"/>
        <v>5</v>
      </c>
      <c r="F726" s="2">
        <f t="shared" si="56"/>
        <v>995</v>
      </c>
      <c r="G726">
        <v>0.57299999999999995</v>
      </c>
      <c r="H726">
        <v>0.69199999999999995</v>
      </c>
      <c r="I726">
        <v>0.79300000000000004</v>
      </c>
      <c r="J726">
        <v>0.77700000000000002</v>
      </c>
      <c r="K726">
        <v>0.77700000000000002</v>
      </c>
      <c r="L726">
        <v>-99.998999999999995</v>
      </c>
      <c r="M726">
        <v>-99.998999999999995</v>
      </c>
      <c r="Q726" s="2">
        <f t="shared" si="57"/>
        <v>-0.33171473035391874</v>
      </c>
      <c r="T726" s="2">
        <f t="shared" si="58"/>
        <v>259469.511805794</v>
      </c>
      <c r="W726" s="2">
        <f t="shared" si="59"/>
        <v>259469.511805794</v>
      </c>
    </row>
    <row r="727" spans="1:23">
      <c r="A727">
        <v>1720</v>
      </c>
      <c r="B727">
        <v>9</v>
      </c>
      <c r="C727">
        <v>32</v>
      </c>
      <c r="D727">
        <v>1.893</v>
      </c>
      <c r="E727" s="2">
        <f t="shared" si="55"/>
        <v>2</v>
      </c>
      <c r="F727" s="2">
        <f t="shared" si="56"/>
        <v>841</v>
      </c>
      <c r="G727">
        <v>0.55800000000000005</v>
      </c>
      <c r="H727">
        <v>0.69199999999999995</v>
      </c>
      <c r="I727">
        <v>0.79300000000000004</v>
      </c>
      <c r="J727">
        <v>0.77700000000000002</v>
      </c>
      <c r="K727">
        <v>0.77700000000000002</v>
      </c>
      <c r="L727">
        <v>-99.998999999999995</v>
      </c>
      <c r="M727">
        <v>-99.998999999999995</v>
      </c>
      <c r="Q727" s="2">
        <f t="shared" si="57"/>
        <v>-1.1244807252762024</v>
      </c>
      <c r="T727" s="2">
        <f t="shared" si="58"/>
        <v>192575.63487788598</v>
      </c>
      <c r="W727" s="2">
        <f t="shared" si="59"/>
        <v>192575.63487788598</v>
      </c>
    </row>
    <row r="728" spans="1:23">
      <c r="A728">
        <v>1721</v>
      </c>
      <c r="B728">
        <v>9</v>
      </c>
      <c r="C728">
        <v>32</v>
      </c>
      <c r="D728">
        <v>2.2309999999999999</v>
      </c>
      <c r="E728" s="2">
        <f t="shared" si="55"/>
        <v>2</v>
      </c>
      <c r="F728" s="2">
        <f t="shared" si="56"/>
        <v>873</v>
      </c>
      <c r="G728">
        <v>0.439</v>
      </c>
      <c r="H728">
        <v>0.69199999999999995</v>
      </c>
      <c r="I728">
        <v>0.79300000000000004</v>
      </c>
      <c r="J728">
        <v>0.77700000000000002</v>
      </c>
      <c r="K728">
        <v>0.77700000000000002</v>
      </c>
      <c r="L728">
        <v>-99.998999999999995</v>
      </c>
      <c r="M728">
        <v>-99.998999999999995</v>
      </c>
      <c r="Q728" s="2">
        <f t="shared" si="57"/>
        <v>-1.0335252241615613</v>
      </c>
      <c r="T728" s="2">
        <f t="shared" si="58"/>
        <v>200250.49244802617</v>
      </c>
      <c r="W728" s="2">
        <f t="shared" si="59"/>
        <v>200250.49244802617</v>
      </c>
    </row>
    <row r="729" spans="1:23">
      <c r="A729">
        <v>1722</v>
      </c>
      <c r="B729">
        <v>9</v>
      </c>
      <c r="C729">
        <v>32</v>
      </c>
      <c r="D729">
        <v>-1.649</v>
      </c>
      <c r="E729" s="2">
        <f t="shared" si="55"/>
        <v>-1.5</v>
      </c>
      <c r="F729" s="2">
        <f t="shared" si="56"/>
        <v>298</v>
      </c>
      <c r="G729">
        <v>0.23899999999999999</v>
      </c>
      <c r="H729">
        <v>0.69199999999999995</v>
      </c>
      <c r="I729">
        <v>0.79400000000000004</v>
      </c>
      <c r="J729">
        <v>0.77700000000000002</v>
      </c>
      <c r="K729">
        <v>0.77700000000000002</v>
      </c>
      <c r="L729">
        <v>-99.998999999999995</v>
      </c>
      <c r="M729">
        <v>-99.998999999999995</v>
      </c>
      <c r="Q729" s="2">
        <f t="shared" si="57"/>
        <v>-2.077629793169864</v>
      </c>
      <c r="T729" s="2">
        <f t="shared" si="58"/>
        <v>112148.57714582558</v>
      </c>
      <c r="W729" s="2">
        <f t="shared" si="59"/>
        <v>112148.57714582558</v>
      </c>
    </row>
    <row r="730" spans="1:23">
      <c r="A730">
        <v>1723</v>
      </c>
      <c r="B730">
        <v>9</v>
      </c>
      <c r="C730">
        <v>32</v>
      </c>
      <c r="D730">
        <v>1.536</v>
      </c>
      <c r="E730" s="2">
        <f t="shared" si="55"/>
        <v>1.5</v>
      </c>
      <c r="F730" s="2">
        <f t="shared" si="56"/>
        <v>805</v>
      </c>
      <c r="G730">
        <v>-7.0000000000000001E-3</v>
      </c>
      <c r="H730">
        <v>0.69199999999999995</v>
      </c>
      <c r="I730">
        <v>0.79400000000000004</v>
      </c>
      <c r="J730">
        <v>0.77700000000000002</v>
      </c>
      <c r="K730">
        <v>0.77700000000000002</v>
      </c>
      <c r="L730">
        <v>-99.998999999999995</v>
      </c>
      <c r="M730">
        <v>-99.998999999999995</v>
      </c>
      <c r="Q730" s="2">
        <f t="shared" si="57"/>
        <v>-1.2205491095895951</v>
      </c>
      <c r="T730" s="2">
        <f t="shared" si="58"/>
        <v>184469.35040291547</v>
      </c>
      <c r="W730" s="2">
        <f t="shared" si="59"/>
        <v>184469.35040291547</v>
      </c>
    </row>
    <row r="731" spans="1:23">
      <c r="A731">
        <v>1724</v>
      </c>
      <c r="B731">
        <v>9</v>
      </c>
      <c r="C731">
        <v>32</v>
      </c>
      <c r="D731">
        <v>-1.522</v>
      </c>
      <c r="E731" s="2">
        <f t="shared" si="55"/>
        <v>-1.5</v>
      </c>
      <c r="F731" s="2">
        <f t="shared" si="56"/>
        <v>326</v>
      </c>
      <c r="G731">
        <v>-0.27400000000000002</v>
      </c>
      <c r="H731">
        <v>0.69199999999999995</v>
      </c>
      <c r="I731">
        <v>0.79400000000000004</v>
      </c>
      <c r="J731">
        <v>0.77700000000000002</v>
      </c>
      <c r="K731">
        <v>0.77700000000000002</v>
      </c>
      <c r="L731">
        <v>-99.998999999999995</v>
      </c>
      <c r="M731">
        <v>-99.998999999999995</v>
      </c>
      <c r="Q731" s="2">
        <f t="shared" si="57"/>
        <v>-2.0434542054729428</v>
      </c>
      <c r="T731" s="2">
        <f t="shared" si="58"/>
        <v>115032.32540442853</v>
      </c>
      <c r="W731" s="2">
        <f t="shared" si="59"/>
        <v>115032.32540442853</v>
      </c>
    </row>
    <row r="732" spans="1:23">
      <c r="A732">
        <v>1725</v>
      </c>
      <c r="B732">
        <v>9</v>
      </c>
      <c r="C732">
        <v>32</v>
      </c>
      <c r="D732">
        <v>-1.804</v>
      </c>
      <c r="E732" s="2">
        <f t="shared" si="55"/>
        <v>-2</v>
      </c>
      <c r="F732" s="2">
        <f t="shared" si="56"/>
        <v>271</v>
      </c>
      <c r="G732">
        <v>-0.52700000000000002</v>
      </c>
      <c r="H732">
        <v>0.69199999999999995</v>
      </c>
      <c r="I732">
        <v>0.79400000000000004</v>
      </c>
      <c r="J732">
        <v>0.77700000000000002</v>
      </c>
      <c r="K732">
        <v>0.77700000000000002</v>
      </c>
      <c r="L732">
        <v>-99.998999999999995</v>
      </c>
      <c r="M732">
        <v>-99.998999999999995</v>
      </c>
      <c r="Q732" s="2">
        <f t="shared" si="57"/>
        <v>-2.1193401561070511</v>
      </c>
      <c r="T732" s="2">
        <f t="shared" si="58"/>
        <v>108629.04186957789</v>
      </c>
      <c r="W732" s="2">
        <f t="shared" si="59"/>
        <v>108629.04186957789</v>
      </c>
    </row>
    <row r="733" spans="1:23">
      <c r="A733">
        <v>1726</v>
      </c>
      <c r="B733">
        <v>9</v>
      </c>
      <c r="C733">
        <v>32</v>
      </c>
      <c r="D733">
        <v>6.5000000000000002E-2</v>
      </c>
      <c r="E733" s="2">
        <f t="shared" si="55"/>
        <v>0</v>
      </c>
      <c r="F733" s="2">
        <f t="shared" si="56"/>
        <v>580</v>
      </c>
      <c r="G733">
        <v>-0.74399999999999999</v>
      </c>
      <c r="H733">
        <v>0.69199999999999995</v>
      </c>
      <c r="I733">
        <v>0.79400000000000004</v>
      </c>
      <c r="J733">
        <v>0.77800000000000002</v>
      </c>
      <c r="K733">
        <v>0.77700000000000002</v>
      </c>
      <c r="L733">
        <v>-99.998999999999995</v>
      </c>
      <c r="M733">
        <v>-99.998999999999995</v>
      </c>
      <c r="Q733" s="2">
        <f t="shared" si="57"/>
        <v>-1.6163939088192891</v>
      </c>
      <c r="T733" s="2">
        <f t="shared" si="58"/>
        <v>151067.8252973647</v>
      </c>
      <c r="W733" s="2">
        <f t="shared" si="59"/>
        <v>151067.8252973647</v>
      </c>
    </row>
    <row r="734" spans="1:23">
      <c r="A734">
        <v>1727</v>
      </c>
      <c r="B734">
        <v>9</v>
      </c>
      <c r="C734">
        <v>32</v>
      </c>
      <c r="D734">
        <v>-1.8180000000000001</v>
      </c>
      <c r="E734" s="2">
        <f t="shared" si="55"/>
        <v>-2</v>
      </c>
      <c r="F734" s="2">
        <f t="shared" si="56"/>
        <v>266</v>
      </c>
      <c r="G734">
        <v>-0.90700000000000003</v>
      </c>
      <c r="H734">
        <v>0.69199999999999995</v>
      </c>
      <c r="I734">
        <v>0.79400000000000004</v>
      </c>
      <c r="J734">
        <v>0.77800000000000002</v>
      </c>
      <c r="K734">
        <v>0.77700000000000002</v>
      </c>
      <c r="L734">
        <v>-99.998999999999995</v>
      </c>
      <c r="M734">
        <v>-99.998999999999995</v>
      </c>
      <c r="Q734" s="2">
        <f t="shared" si="57"/>
        <v>-2.1231075437271842</v>
      </c>
      <c r="T734" s="2">
        <f t="shared" si="58"/>
        <v>108311.1483607555</v>
      </c>
      <c r="W734" s="2">
        <f t="shared" si="59"/>
        <v>108311.1483607555</v>
      </c>
    </row>
    <row r="735" spans="1:23">
      <c r="A735">
        <v>1728</v>
      </c>
      <c r="B735">
        <v>9</v>
      </c>
      <c r="C735">
        <v>32</v>
      </c>
      <c r="D735">
        <v>-2.7290000000000001</v>
      </c>
      <c r="E735" s="2">
        <f t="shared" si="55"/>
        <v>-2.5</v>
      </c>
      <c r="F735" s="2">
        <f t="shared" si="56"/>
        <v>142</v>
      </c>
      <c r="G735">
        <v>-1.0009999999999999</v>
      </c>
      <c r="H735">
        <v>0.69199999999999995</v>
      </c>
      <c r="I735">
        <v>0.79400000000000004</v>
      </c>
      <c r="J735">
        <v>0.77800000000000002</v>
      </c>
      <c r="K735">
        <v>0.77700000000000002</v>
      </c>
      <c r="L735">
        <v>-99.998999999999995</v>
      </c>
      <c r="M735">
        <v>-99.998999999999995</v>
      </c>
      <c r="Q735" s="2">
        <f t="shared" si="57"/>
        <v>-2.3682568381515563</v>
      </c>
      <c r="T735" s="2">
        <f t="shared" si="58"/>
        <v>87625.363608099637</v>
      </c>
      <c r="W735" s="2">
        <f t="shared" si="59"/>
        <v>87625.363608099637</v>
      </c>
    </row>
    <row r="736" spans="1:23">
      <c r="A736">
        <v>1729</v>
      </c>
      <c r="B736">
        <v>9</v>
      </c>
      <c r="C736">
        <v>32</v>
      </c>
      <c r="D736">
        <v>-0.73399999999999999</v>
      </c>
      <c r="E736" s="2">
        <f t="shared" si="55"/>
        <v>-0.5</v>
      </c>
      <c r="F736" s="2">
        <f t="shared" si="56"/>
        <v>436</v>
      </c>
      <c r="G736">
        <v>-1.0149999999999999</v>
      </c>
      <c r="H736">
        <v>0.69199999999999995</v>
      </c>
      <c r="I736">
        <v>0.79400000000000004</v>
      </c>
      <c r="J736">
        <v>0.77800000000000002</v>
      </c>
      <c r="K736">
        <v>0.77700000000000002</v>
      </c>
      <c r="L736">
        <v>-99.998999999999995</v>
      </c>
      <c r="M736">
        <v>-99.998999999999995</v>
      </c>
      <c r="Q736" s="2">
        <f t="shared" si="57"/>
        <v>-1.8314041022825966</v>
      </c>
      <c r="T736" s="2">
        <f t="shared" si="58"/>
        <v>132925.18861528783</v>
      </c>
      <c r="W736" s="2">
        <f t="shared" si="59"/>
        <v>132925.18861528783</v>
      </c>
    </row>
    <row r="737" spans="1:23">
      <c r="A737">
        <v>1730</v>
      </c>
      <c r="B737">
        <v>9</v>
      </c>
      <c r="C737">
        <v>32</v>
      </c>
      <c r="D737">
        <v>-3.9990000000000001</v>
      </c>
      <c r="E737" s="2">
        <f t="shared" si="55"/>
        <v>-4</v>
      </c>
      <c r="F737" s="2">
        <f t="shared" si="56"/>
        <v>39</v>
      </c>
      <c r="G737">
        <v>-0.95099999999999996</v>
      </c>
      <c r="H737">
        <v>0.69199999999999995</v>
      </c>
      <c r="I737">
        <v>0.79400000000000004</v>
      </c>
      <c r="J737">
        <v>0.77800000000000002</v>
      </c>
      <c r="K737">
        <v>0.77700000000000002</v>
      </c>
      <c r="L737">
        <v>-99.998999999999995</v>
      </c>
      <c r="M737">
        <v>-99.998999999999995</v>
      </c>
      <c r="Q737" s="2">
        <f t="shared" si="57"/>
        <v>-2.7100127151207687</v>
      </c>
      <c r="T737" s="2">
        <f t="shared" si="58"/>
        <v>58787.881022070069</v>
      </c>
      <c r="W737" s="2">
        <f t="shared" si="59"/>
        <v>58787.881022070069</v>
      </c>
    </row>
    <row r="738" spans="1:23">
      <c r="A738">
        <v>1731</v>
      </c>
      <c r="B738">
        <v>9</v>
      </c>
      <c r="C738">
        <v>32</v>
      </c>
      <c r="D738">
        <v>-1.9259999999999999</v>
      </c>
      <c r="E738" s="2">
        <f t="shared" si="55"/>
        <v>-2</v>
      </c>
      <c r="F738" s="2">
        <f t="shared" si="56"/>
        <v>251</v>
      </c>
      <c r="G738">
        <v>-0.81799999999999995</v>
      </c>
      <c r="H738">
        <v>0.69199999999999995</v>
      </c>
      <c r="I738">
        <v>0.79400000000000004</v>
      </c>
      <c r="J738">
        <v>0.77800000000000002</v>
      </c>
      <c r="K738">
        <v>0.77700000000000002</v>
      </c>
      <c r="L738">
        <v>-99.998999999999995</v>
      </c>
      <c r="M738">
        <v>-99.998999999999995</v>
      </c>
      <c r="Q738" s="2">
        <f t="shared" si="57"/>
        <v>-2.1521702482253535</v>
      </c>
      <c r="T738" s="2">
        <f t="shared" si="58"/>
        <v>105858.8270069829</v>
      </c>
      <c r="W738" s="2">
        <f t="shared" si="59"/>
        <v>105858.8270069829</v>
      </c>
    </row>
    <row r="739" spans="1:23">
      <c r="A739">
        <v>1732</v>
      </c>
      <c r="B739">
        <v>9</v>
      </c>
      <c r="C739">
        <v>32</v>
      </c>
      <c r="D739">
        <v>1.9610000000000001</v>
      </c>
      <c r="E739" s="2">
        <f t="shared" si="55"/>
        <v>2</v>
      </c>
      <c r="F739" s="2">
        <f t="shared" si="56"/>
        <v>847</v>
      </c>
      <c r="G739">
        <v>-0.64600000000000002</v>
      </c>
      <c r="H739">
        <v>0.69199999999999995</v>
      </c>
      <c r="I739">
        <v>0.79400000000000004</v>
      </c>
      <c r="J739">
        <v>0.77800000000000002</v>
      </c>
      <c r="K739">
        <v>0.77700000000000002</v>
      </c>
      <c r="L739">
        <v>-99.998999999999995</v>
      </c>
      <c r="M739">
        <v>-99.998999999999995</v>
      </c>
      <c r="Q739" s="2">
        <f t="shared" si="57"/>
        <v>-1.1061819854069845</v>
      </c>
      <c r="T739" s="2">
        <f t="shared" si="58"/>
        <v>194119.68906359468</v>
      </c>
      <c r="W739" s="2">
        <f t="shared" si="59"/>
        <v>194119.68906359468</v>
      </c>
    </row>
    <row r="740" spans="1:23">
      <c r="A740">
        <v>1733</v>
      </c>
      <c r="B740">
        <v>9</v>
      </c>
      <c r="C740">
        <v>32</v>
      </c>
      <c r="D740">
        <v>1.2170000000000001</v>
      </c>
      <c r="E740" s="2">
        <f t="shared" si="55"/>
        <v>1</v>
      </c>
      <c r="F740" s="2">
        <f t="shared" si="56"/>
        <v>763</v>
      </c>
      <c r="G740">
        <v>-0.47099999999999997</v>
      </c>
      <c r="H740">
        <v>0.69199999999999995</v>
      </c>
      <c r="I740">
        <v>0.79400000000000004</v>
      </c>
      <c r="J740">
        <v>0.77800000000000002</v>
      </c>
      <c r="K740">
        <v>0.77700000000000002</v>
      </c>
      <c r="L740">
        <v>-99.998999999999995</v>
      </c>
      <c r="M740">
        <v>-99.998999999999995</v>
      </c>
      <c r="Q740" s="2">
        <f t="shared" si="57"/>
        <v>-1.3063917275054837</v>
      </c>
      <c r="T740" s="2">
        <f t="shared" si="58"/>
        <v>177225.9197376057</v>
      </c>
      <c r="W740" s="2">
        <f t="shared" si="59"/>
        <v>177225.9197376057</v>
      </c>
    </row>
    <row r="741" spans="1:23">
      <c r="A741">
        <v>1734</v>
      </c>
      <c r="B741">
        <v>9</v>
      </c>
      <c r="C741">
        <v>32</v>
      </c>
      <c r="D741">
        <v>-0.376</v>
      </c>
      <c r="E741" s="2">
        <f t="shared" si="55"/>
        <v>-0.5</v>
      </c>
      <c r="F741" s="2">
        <f t="shared" si="56"/>
        <v>503</v>
      </c>
      <c r="G741">
        <v>-0.314</v>
      </c>
      <c r="H741">
        <v>0.69199999999999995</v>
      </c>
      <c r="I741">
        <v>0.79400000000000004</v>
      </c>
      <c r="J741">
        <v>0.77800000000000002</v>
      </c>
      <c r="K741">
        <v>0.77700000000000002</v>
      </c>
      <c r="L741">
        <v>-99.998999999999995</v>
      </c>
      <c r="M741">
        <v>-99.998999999999995</v>
      </c>
      <c r="Q741" s="2">
        <f t="shared" si="57"/>
        <v>-1.7350666188534802</v>
      </c>
      <c r="T741" s="2">
        <f t="shared" si="58"/>
        <v>141054.17976945994</v>
      </c>
      <c r="W741" s="2">
        <f t="shared" si="59"/>
        <v>141054.17976945994</v>
      </c>
    </row>
    <row r="742" spans="1:23">
      <c r="A742">
        <v>1735</v>
      </c>
      <c r="B742">
        <v>9</v>
      </c>
      <c r="C742">
        <v>32</v>
      </c>
      <c r="D742">
        <v>3.532</v>
      </c>
      <c r="E742" s="2">
        <f t="shared" si="55"/>
        <v>3.5</v>
      </c>
      <c r="F742" s="2">
        <f t="shared" si="56"/>
        <v>961</v>
      </c>
      <c r="G742">
        <v>-0.17799999999999999</v>
      </c>
      <c r="H742">
        <v>0.69199999999999995</v>
      </c>
      <c r="I742">
        <v>0.79400000000000004</v>
      </c>
      <c r="J742">
        <v>0.77800000000000002</v>
      </c>
      <c r="K742">
        <v>0.77700000000000002</v>
      </c>
      <c r="L742">
        <v>-99.998999999999995</v>
      </c>
      <c r="M742">
        <v>-99.998999999999995</v>
      </c>
      <c r="Q742" s="2">
        <f t="shared" si="57"/>
        <v>-0.68342727460491159</v>
      </c>
      <c r="T742" s="2">
        <f t="shared" si="58"/>
        <v>229791.88208930526</v>
      </c>
      <c r="W742" s="2">
        <f t="shared" si="59"/>
        <v>229791.88208930526</v>
      </c>
    </row>
    <row r="743" spans="1:23">
      <c r="A743">
        <v>1736</v>
      </c>
      <c r="B743">
        <v>9</v>
      </c>
      <c r="C743">
        <v>32</v>
      </c>
      <c r="D743">
        <v>-3.343</v>
      </c>
      <c r="E743" s="2">
        <f t="shared" si="55"/>
        <v>-3.5</v>
      </c>
      <c r="F743" s="2">
        <f t="shared" si="56"/>
        <v>86</v>
      </c>
      <c r="G743">
        <v>-0.06</v>
      </c>
      <c r="H743">
        <v>0.69199999999999995</v>
      </c>
      <c r="I743">
        <v>0.79400000000000004</v>
      </c>
      <c r="J743">
        <v>0.77800000000000002</v>
      </c>
      <c r="K743">
        <v>0.77700000000000002</v>
      </c>
      <c r="L743">
        <v>-99.998999999999995</v>
      </c>
      <c r="M743">
        <v>-99.998999999999995</v>
      </c>
      <c r="Q743" s="2">
        <f t="shared" si="57"/>
        <v>-2.5334836952059629</v>
      </c>
      <c r="T743" s="2">
        <f t="shared" si="58"/>
        <v>73683.462578318402</v>
      </c>
      <c r="W743" s="2">
        <f t="shared" si="59"/>
        <v>73683.462578318402</v>
      </c>
    </row>
    <row r="744" spans="1:23">
      <c r="A744">
        <v>1737</v>
      </c>
      <c r="B744">
        <v>9</v>
      </c>
      <c r="C744">
        <v>32</v>
      </c>
      <c r="D744">
        <v>-1.448</v>
      </c>
      <c r="E744" s="2">
        <f t="shared" si="55"/>
        <v>-1.5</v>
      </c>
      <c r="F744" s="2">
        <f t="shared" si="56"/>
        <v>337</v>
      </c>
      <c r="G744">
        <v>6.4000000000000001E-2</v>
      </c>
      <c r="H744">
        <v>0.69299999999999995</v>
      </c>
      <c r="I744">
        <v>0.79400000000000004</v>
      </c>
      <c r="J744">
        <v>0.77800000000000002</v>
      </c>
      <c r="K744">
        <v>0.77700000000000002</v>
      </c>
      <c r="L744">
        <v>-99.998999999999995</v>
      </c>
      <c r="M744">
        <v>-99.998999999999995</v>
      </c>
      <c r="Q744" s="2">
        <f t="shared" si="57"/>
        <v>-2.0235408709093825</v>
      </c>
      <c r="T744" s="2">
        <f t="shared" si="58"/>
        <v>116712.61966534678</v>
      </c>
      <c r="W744" s="2">
        <f t="shared" si="59"/>
        <v>116712.61966534678</v>
      </c>
    </row>
    <row r="745" spans="1:23">
      <c r="A745">
        <v>1738</v>
      </c>
      <c r="B745">
        <v>9</v>
      </c>
      <c r="C745">
        <v>32</v>
      </c>
      <c r="D745">
        <v>-1.778</v>
      </c>
      <c r="E745" s="2">
        <f t="shared" si="55"/>
        <v>-2</v>
      </c>
      <c r="F745" s="2">
        <f t="shared" si="56"/>
        <v>277</v>
      </c>
      <c r="G745">
        <v>0.19600000000000001</v>
      </c>
      <c r="H745">
        <v>0.69299999999999995</v>
      </c>
      <c r="I745">
        <v>0.79600000000000004</v>
      </c>
      <c r="J745">
        <v>0.77800000000000002</v>
      </c>
      <c r="K745">
        <v>0.77700000000000002</v>
      </c>
      <c r="L745">
        <v>-99.998999999999995</v>
      </c>
      <c r="M745">
        <v>-99.998999999999995</v>
      </c>
      <c r="Q745" s="2">
        <f t="shared" si="57"/>
        <v>-2.1123435790982326</v>
      </c>
      <c r="T745" s="2">
        <f t="shared" si="58"/>
        <v>109219.41552881943</v>
      </c>
      <c r="W745" s="2">
        <f t="shared" si="59"/>
        <v>109219.41552881943</v>
      </c>
    </row>
    <row r="746" spans="1:23">
      <c r="A746">
        <v>1739</v>
      </c>
      <c r="B746">
        <v>9</v>
      </c>
      <c r="C746">
        <v>32</v>
      </c>
      <c r="D746">
        <v>2.2639999999999998</v>
      </c>
      <c r="E746" s="2">
        <f t="shared" si="55"/>
        <v>2.5</v>
      </c>
      <c r="F746" s="2">
        <f t="shared" si="56"/>
        <v>881</v>
      </c>
      <c r="G746">
        <v>0.32600000000000001</v>
      </c>
      <c r="H746">
        <v>0.69799999999999995</v>
      </c>
      <c r="I746">
        <v>0.79600000000000004</v>
      </c>
      <c r="J746">
        <v>0.77800000000000002</v>
      </c>
      <c r="K746">
        <v>0.77800000000000002</v>
      </c>
      <c r="L746">
        <v>-99.998999999999995</v>
      </c>
      <c r="M746">
        <v>-99.998999999999995</v>
      </c>
      <c r="Q746" s="2">
        <f t="shared" si="57"/>
        <v>-1.0246449533426765</v>
      </c>
      <c r="T746" s="2">
        <f t="shared" si="58"/>
        <v>200999.81286167889</v>
      </c>
      <c r="W746" s="2">
        <f t="shared" si="59"/>
        <v>200999.81286167889</v>
      </c>
    </row>
    <row r="747" spans="1:23">
      <c r="A747">
        <v>1740</v>
      </c>
      <c r="B747">
        <v>9</v>
      </c>
      <c r="C747">
        <v>32</v>
      </c>
      <c r="D747">
        <v>4.5190000000000001</v>
      </c>
      <c r="E747" s="2">
        <f t="shared" si="55"/>
        <v>4.5</v>
      </c>
      <c r="F747" s="2">
        <f t="shared" si="56"/>
        <v>985</v>
      </c>
      <c r="G747">
        <v>0.42499999999999999</v>
      </c>
      <c r="H747">
        <v>0.69799999999999995</v>
      </c>
      <c r="I747">
        <v>0.79600000000000004</v>
      </c>
      <c r="J747">
        <v>0.77800000000000002</v>
      </c>
      <c r="K747">
        <v>0.77800000000000002</v>
      </c>
      <c r="L747">
        <v>-99.998999999999995</v>
      </c>
      <c r="M747">
        <v>-99.998999999999995</v>
      </c>
      <c r="Q747" s="2">
        <f t="shared" si="57"/>
        <v>-0.41782644738553154</v>
      </c>
      <c r="T747" s="2">
        <f t="shared" si="58"/>
        <v>252203.37446128257</v>
      </c>
      <c r="W747" s="2">
        <f t="shared" si="59"/>
        <v>252203.37446128257</v>
      </c>
    </row>
    <row r="748" spans="1:23">
      <c r="A748">
        <v>1741</v>
      </c>
      <c r="B748">
        <v>9</v>
      </c>
      <c r="C748">
        <v>32</v>
      </c>
      <c r="D748">
        <v>-6.6000000000000003E-2</v>
      </c>
      <c r="E748" s="2">
        <f t="shared" si="55"/>
        <v>0</v>
      </c>
      <c r="F748" s="2">
        <f t="shared" si="56"/>
        <v>556</v>
      </c>
      <c r="G748">
        <v>0.48599999999999999</v>
      </c>
      <c r="H748">
        <v>0.69799999999999995</v>
      </c>
      <c r="I748">
        <v>0.79600000000000004</v>
      </c>
      <c r="J748">
        <v>0.77800000000000002</v>
      </c>
      <c r="K748">
        <v>0.77800000000000002</v>
      </c>
      <c r="L748">
        <v>-99.998999999999995</v>
      </c>
      <c r="M748">
        <v>-99.998999999999995</v>
      </c>
      <c r="Q748" s="2">
        <f t="shared" si="57"/>
        <v>-1.6516458929791056</v>
      </c>
      <c r="T748" s="2">
        <f t="shared" si="58"/>
        <v>148093.25032195533</v>
      </c>
      <c r="W748" s="2">
        <f t="shared" si="59"/>
        <v>148093.25032195533</v>
      </c>
    </row>
    <row r="749" spans="1:23">
      <c r="A749">
        <v>1742</v>
      </c>
      <c r="B749">
        <v>9</v>
      </c>
      <c r="C749">
        <v>32</v>
      </c>
      <c r="D749">
        <v>-2.1659999999999999</v>
      </c>
      <c r="E749" s="2">
        <f t="shared" si="55"/>
        <v>-2</v>
      </c>
      <c r="F749" s="2">
        <f t="shared" si="56"/>
        <v>221</v>
      </c>
      <c r="G749">
        <v>0.52700000000000002</v>
      </c>
      <c r="H749">
        <v>0.69799999999999995</v>
      </c>
      <c r="I749">
        <v>0.79600000000000004</v>
      </c>
      <c r="J749">
        <v>0.77800000000000002</v>
      </c>
      <c r="K749">
        <v>0.77800000000000002</v>
      </c>
      <c r="L749">
        <v>-99.998999999999995</v>
      </c>
      <c r="M749">
        <v>-99.998999999999995</v>
      </c>
      <c r="Q749" s="2">
        <f t="shared" si="57"/>
        <v>-2.2167540359990632</v>
      </c>
      <c r="T749" s="2">
        <f t="shared" si="58"/>
        <v>100409.22399859934</v>
      </c>
      <c r="W749" s="2">
        <f t="shared" si="59"/>
        <v>100409.22399859934</v>
      </c>
    </row>
    <row r="750" spans="1:23">
      <c r="A750">
        <v>1743</v>
      </c>
      <c r="B750">
        <v>9</v>
      </c>
      <c r="C750">
        <v>32</v>
      </c>
      <c r="D750">
        <v>-1.637</v>
      </c>
      <c r="E750" s="2">
        <f t="shared" si="55"/>
        <v>-1.5</v>
      </c>
      <c r="F750" s="2">
        <f t="shared" si="56"/>
        <v>302</v>
      </c>
      <c r="G750">
        <v>0.56599999999999995</v>
      </c>
      <c r="H750">
        <v>0.69799999999999995</v>
      </c>
      <c r="I750">
        <v>0.79600000000000004</v>
      </c>
      <c r="J750">
        <v>0.77800000000000002</v>
      </c>
      <c r="K750">
        <v>0.77800000000000002</v>
      </c>
      <c r="L750">
        <v>-99.998999999999995</v>
      </c>
      <c r="M750">
        <v>-99.998999999999995</v>
      </c>
      <c r="Q750" s="2">
        <f t="shared" si="57"/>
        <v>-2.0744006037811786</v>
      </c>
      <c r="T750" s="2">
        <f t="shared" si="58"/>
        <v>112421.05729624475</v>
      </c>
      <c r="W750" s="2">
        <f t="shared" si="59"/>
        <v>112421.05729624475</v>
      </c>
    </row>
    <row r="751" spans="1:23">
      <c r="A751">
        <v>1744</v>
      </c>
      <c r="B751">
        <v>9</v>
      </c>
      <c r="C751">
        <v>32</v>
      </c>
      <c r="D751">
        <v>0.56999999999999995</v>
      </c>
      <c r="E751" s="2">
        <f t="shared" si="55"/>
        <v>0.5</v>
      </c>
      <c r="F751" s="2">
        <f t="shared" si="56"/>
        <v>665</v>
      </c>
      <c r="G751">
        <v>0.6</v>
      </c>
      <c r="H751">
        <v>0.69799999999999995</v>
      </c>
      <c r="I751">
        <v>0.79600000000000004</v>
      </c>
      <c r="J751">
        <v>0.77800000000000002</v>
      </c>
      <c r="K751">
        <v>0.77800000000000002</v>
      </c>
      <c r="L751">
        <v>-99.998999999999995</v>
      </c>
      <c r="M751">
        <v>-99.998999999999995</v>
      </c>
      <c r="Q751" s="2">
        <f t="shared" si="57"/>
        <v>-1.4804988553787755</v>
      </c>
      <c r="T751" s="2">
        <f t="shared" si="58"/>
        <v>162534.69829417171</v>
      </c>
      <c r="W751" s="2">
        <f t="shared" si="59"/>
        <v>162534.69829417171</v>
      </c>
    </row>
    <row r="752" spans="1:23">
      <c r="A752">
        <v>1745</v>
      </c>
      <c r="B752">
        <v>9</v>
      </c>
      <c r="C752">
        <v>32</v>
      </c>
      <c r="D752">
        <v>0.35799999999999998</v>
      </c>
      <c r="E752" s="2">
        <f t="shared" si="55"/>
        <v>0.5</v>
      </c>
      <c r="F752" s="2">
        <f t="shared" si="56"/>
        <v>628</v>
      </c>
      <c r="G752">
        <v>0.60499999999999998</v>
      </c>
      <c r="H752">
        <v>0.69799999999999995</v>
      </c>
      <c r="I752">
        <v>0.79600000000000004</v>
      </c>
      <c r="J752">
        <v>0.77800000000000002</v>
      </c>
      <c r="K752">
        <v>0.77800000000000002</v>
      </c>
      <c r="L752">
        <v>-99.998999999999995</v>
      </c>
      <c r="M752">
        <v>-99.998999999999995</v>
      </c>
      <c r="Q752" s="2">
        <f t="shared" si="57"/>
        <v>-1.5375478679122188</v>
      </c>
      <c r="T752" s="2">
        <f t="shared" si="58"/>
        <v>157720.88230343294</v>
      </c>
      <c r="W752" s="2">
        <f t="shared" si="59"/>
        <v>157720.88230343294</v>
      </c>
    </row>
    <row r="753" spans="1:23">
      <c r="A753">
        <v>1746</v>
      </c>
      <c r="B753">
        <v>9</v>
      </c>
      <c r="C753">
        <v>32</v>
      </c>
      <c r="D753">
        <v>4.3280000000000003</v>
      </c>
      <c r="E753" s="2">
        <f t="shared" si="55"/>
        <v>4.5</v>
      </c>
      <c r="F753" s="2">
        <f t="shared" si="56"/>
        <v>983</v>
      </c>
      <c r="G753">
        <v>0.55400000000000005</v>
      </c>
      <c r="H753">
        <v>0.69799999999999995</v>
      </c>
      <c r="I753">
        <v>0.79600000000000004</v>
      </c>
      <c r="J753">
        <v>0.77800000000000002</v>
      </c>
      <c r="K753">
        <v>0.77800000000000002</v>
      </c>
      <c r="L753">
        <v>-99.998999999999995</v>
      </c>
      <c r="M753">
        <v>-99.998999999999995</v>
      </c>
      <c r="Q753" s="2">
        <f t="shared" si="57"/>
        <v>-0.4692243784887753</v>
      </c>
      <c r="T753" s="2">
        <f t="shared" si="58"/>
        <v>247866.39873377734</v>
      </c>
      <c r="W753" s="2">
        <f t="shared" si="59"/>
        <v>247866.39873377734</v>
      </c>
    </row>
    <row r="754" spans="1:23">
      <c r="A754">
        <v>1747</v>
      </c>
      <c r="B754">
        <v>9</v>
      </c>
      <c r="C754">
        <v>32</v>
      </c>
      <c r="D754">
        <v>2.6379999999999999</v>
      </c>
      <c r="E754" s="2">
        <f t="shared" si="55"/>
        <v>2.5</v>
      </c>
      <c r="F754" s="2">
        <f t="shared" si="56"/>
        <v>914</v>
      </c>
      <c r="G754">
        <v>0.42599999999999999</v>
      </c>
      <c r="H754">
        <v>0.69799999999999995</v>
      </c>
      <c r="I754">
        <v>0.79600000000000004</v>
      </c>
      <c r="J754">
        <v>0.77800000000000002</v>
      </c>
      <c r="K754">
        <v>0.77800000000000002</v>
      </c>
      <c r="L754">
        <v>-99.998999999999995</v>
      </c>
      <c r="M754">
        <v>-99.998999999999995</v>
      </c>
      <c r="Q754" s="2">
        <f t="shared" si="57"/>
        <v>-0.92400188406197925</v>
      </c>
      <c r="T754" s="2">
        <f t="shared" si="58"/>
        <v>209492.11088307656</v>
      </c>
      <c r="W754" s="2">
        <f t="shared" si="59"/>
        <v>209492.11088307656</v>
      </c>
    </row>
    <row r="755" spans="1:23">
      <c r="A755">
        <v>1748</v>
      </c>
      <c r="B755">
        <v>9</v>
      </c>
      <c r="C755">
        <v>32</v>
      </c>
      <c r="D755">
        <v>1.4179999999999999</v>
      </c>
      <c r="E755" s="2">
        <f t="shared" si="55"/>
        <v>1.5</v>
      </c>
      <c r="F755" s="2">
        <f t="shared" si="56"/>
        <v>789</v>
      </c>
      <c r="G755">
        <v>0.224</v>
      </c>
      <c r="H755">
        <v>0.69799999999999995</v>
      </c>
      <c r="I755">
        <v>0.79600000000000004</v>
      </c>
      <c r="J755">
        <v>0.77800000000000002</v>
      </c>
      <c r="K755">
        <v>0.77800000000000002</v>
      </c>
      <c r="L755">
        <v>-99.998999999999995</v>
      </c>
      <c r="M755">
        <v>-99.998999999999995</v>
      </c>
      <c r="Q755" s="2">
        <f t="shared" si="57"/>
        <v>-1.252302805245002</v>
      </c>
      <c r="T755" s="2">
        <f t="shared" si="58"/>
        <v>181789.96225712693</v>
      </c>
      <c r="W755" s="2">
        <f t="shared" si="59"/>
        <v>181789.96225712693</v>
      </c>
    </row>
    <row r="756" spans="1:23">
      <c r="A756">
        <v>1749</v>
      </c>
      <c r="B756">
        <v>9</v>
      </c>
      <c r="C756">
        <v>32</v>
      </c>
      <c r="D756">
        <v>0.57699999999999996</v>
      </c>
      <c r="E756" s="2">
        <f t="shared" si="55"/>
        <v>0.5</v>
      </c>
      <c r="F756" s="2">
        <f t="shared" si="56"/>
        <v>668</v>
      </c>
      <c r="G756">
        <v>-2.1999999999999999E-2</v>
      </c>
      <c r="H756">
        <v>0.69799999999999995</v>
      </c>
      <c r="I756">
        <v>0.79600000000000004</v>
      </c>
      <c r="J756">
        <v>0.77800000000000002</v>
      </c>
      <c r="K756">
        <v>0.77800000000000002</v>
      </c>
      <c r="L756">
        <v>-99.998999999999995</v>
      </c>
      <c r="M756">
        <v>-99.998999999999995</v>
      </c>
      <c r="Q756" s="2">
        <f t="shared" si="57"/>
        <v>-1.4786151615687091</v>
      </c>
      <c r="T756" s="2">
        <f t="shared" si="58"/>
        <v>162693.6450485829</v>
      </c>
      <c r="W756" s="2">
        <f t="shared" si="59"/>
        <v>162693.6450485829</v>
      </c>
    </row>
    <row r="757" spans="1:23">
      <c r="A757">
        <v>1750</v>
      </c>
      <c r="B757">
        <v>9</v>
      </c>
      <c r="C757">
        <v>32</v>
      </c>
      <c r="D757">
        <v>-1.474</v>
      </c>
      <c r="E757" s="2">
        <f t="shared" si="55"/>
        <v>-1.5</v>
      </c>
      <c r="F757" s="2">
        <f t="shared" si="56"/>
        <v>333</v>
      </c>
      <c r="G757">
        <v>-0.27400000000000002</v>
      </c>
      <c r="H757">
        <v>0.69799999999999995</v>
      </c>
      <c r="I757">
        <v>0.79600000000000004</v>
      </c>
      <c r="J757">
        <v>0.77800000000000002</v>
      </c>
      <c r="K757">
        <v>0.77800000000000002</v>
      </c>
      <c r="L757">
        <v>-99.998999999999995</v>
      </c>
      <c r="M757">
        <v>-99.998999999999995</v>
      </c>
      <c r="Q757" s="2">
        <f t="shared" si="57"/>
        <v>-2.030537447918201</v>
      </c>
      <c r="T757" s="2">
        <f t="shared" si="58"/>
        <v>116122.24600610521</v>
      </c>
      <c r="W757" s="2">
        <f t="shared" si="59"/>
        <v>116122.24600610521</v>
      </c>
    </row>
    <row r="758" spans="1:23">
      <c r="A758">
        <v>1751</v>
      </c>
      <c r="B758">
        <v>9</v>
      </c>
      <c r="C758">
        <v>32</v>
      </c>
      <c r="D758">
        <v>-1.2669999999999999</v>
      </c>
      <c r="E758" s="2">
        <f t="shared" si="55"/>
        <v>-1.5</v>
      </c>
      <c r="F758" s="2">
        <f t="shared" si="56"/>
        <v>360</v>
      </c>
      <c r="G758">
        <v>-0.48599999999999999</v>
      </c>
      <c r="H758">
        <v>0.69799999999999995</v>
      </c>
      <c r="I758">
        <v>0.79600000000000004</v>
      </c>
      <c r="J758">
        <v>0.77800000000000002</v>
      </c>
      <c r="K758">
        <v>0.77800000000000002</v>
      </c>
      <c r="L758">
        <v>-99.998999999999995</v>
      </c>
      <c r="M758">
        <v>-99.998999999999995</v>
      </c>
      <c r="Q758" s="2">
        <f t="shared" si="57"/>
        <v>-1.9748339309633764</v>
      </c>
      <c r="T758" s="2">
        <f t="shared" si="58"/>
        <v>120822.52860083603</v>
      </c>
      <c r="W758" s="2">
        <f t="shared" si="59"/>
        <v>120822.52860083603</v>
      </c>
    </row>
    <row r="759" spans="1:23">
      <c r="A759">
        <v>1752</v>
      </c>
      <c r="B759">
        <v>9</v>
      </c>
      <c r="C759">
        <v>32</v>
      </c>
      <c r="D759">
        <v>-4.0860000000000003</v>
      </c>
      <c r="E759" s="2">
        <f t="shared" si="55"/>
        <v>-4</v>
      </c>
      <c r="F759" s="2">
        <f t="shared" si="56"/>
        <v>29</v>
      </c>
      <c r="G759">
        <v>-0.624</v>
      </c>
      <c r="H759">
        <v>0.69799999999999995</v>
      </c>
      <c r="I759">
        <v>0.79600000000000004</v>
      </c>
      <c r="J759">
        <v>0.77800000000000002</v>
      </c>
      <c r="K759">
        <v>0.77800000000000002</v>
      </c>
      <c r="L759">
        <v>-99.998999999999995</v>
      </c>
      <c r="M759">
        <v>-99.998999999999995</v>
      </c>
      <c r="Q759" s="2">
        <f t="shared" si="57"/>
        <v>-2.7334243381887386</v>
      </c>
      <c r="T759" s="2">
        <f t="shared" si="58"/>
        <v>56812.399931531021</v>
      </c>
      <c r="W759" s="2">
        <f t="shared" si="59"/>
        <v>56812.399931531021</v>
      </c>
    </row>
    <row r="760" spans="1:23">
      <c r="A760">
        <v>1753</v>
      </c>
      <c r="B760">
        <v>9</v>
      </c>
      <c r="C760">
        <v>32</v>
      </c>
      <c r="D760">
        <v>-0.221</v>
      </c>
      <c r="E760" s="2">
        <f t="shared" si="55"/>
        <v>0</v>
      </c>
      <c r="F760" s="2">
        <f t="shared" si="56"/>
        <v>532</v>
      </c>
      <c r="G760">
        <v>-0.66500000000000004</v>
      </c>
      <c r="H760">
        <v>0.69799999999999995</v>
      </c>
      <c r="I760">
        <v>0.79600000000000004</v>
      </c>
      <c r="J760">
        <v>0.77800000000000002</v>
      </c>
      <c r="K760">
        <v>0.77800000000000002</v>
      </c>
      <c r="L760">
        <v>-99.998999999999995</v>
      </c>
      <c r="M760">
        <v>-99.998999999999995</v>
      </c>
      <c r="Q760" s="2">
        <f t="shared" si="57"/>
        <v>-1.6933562559162929</v>
      </c>
      <c r="T760" s="2">
        <f t="shared" si="58"/>
        <v>144573.71504570762</v>
      </c>
      <c r="W760" s="2">
        <f t="shared" si="59"/>
        <v>144573.71504570762</v>
      </c>
    </row>
    <row r="761" spans="1:23">
      <c r="A761">
        <v>1754</v>
      </c>
      <c r="B761">
        <v>9</v>
      </c>
      <c r="C761">
        <v>32</v>
      </c>
      <c r="D761">
        <v>-1.923</v>
      </c>
      <c r="E761" s="2">
        <f t="shared" si="55"/>
        <v>-2</v>
      </c>
      <c r="F761" s="2">
        <f t="shared" si="56"/>
        <v>253</v>
      </c>
      <c r="G761">
        <v>-0.60699999999999998</v>
      </c>
      <c r="H761">
        <v>0.69799999999999995</v>
      </c>
      <c r="I761">
        <v>0.79600000000000004</v>
      </c>
      <c r="J761">
        <v>0.77800000000000002</v>
      </c>
      <c r="K761">
        <v>0.77800000000000002</v>
      </c>
      <c r="L761">
        <v>-99.998999999999995</v>
      </c>
      <c r="M761">
        <v>-99.998999999999995</v>
      </c>
      <c r="Q761" s="2">
        <f t="shared" si="57"/>
        <v>-2.1513629508781822</v>
      </c>
      <c r="T761" s="2">
        <f t="shared" si="58"/>
        <v>105926.94704458769</v>
      </c>
      <c r="W761" s="2">
        <f t="shared" si="59"/>
        <v>105926.94704458769</v>
      </c>
    </row>
    <row r="762" spans="1:23">
      <c r="A762">
        <v>1755</v>
      </c>
      <c r="B762">
        <v>9</v>
      </c>
      <c r="C762">
        <v>32</v>
      </c>
      <c r="D762">
        <v>-3.4359999999999999</v>
      </c>
      <c r="E762" s="2">
        <f t="shared" si="55"/>
        <v>-3.5</v>
      </c>
      <c r="F762" s="2">
        <f t="shared" si="56"/>
        <v>81</v>
      </c>
      <c r="G762">
        <v>-0.45600000000000002</v>
      </c>
      <c r="H762">
        <v>0.69799999999999995</v>
      </c>
      <c r="I762">
        <v>0.79600000000000004</v>
      </c>
      <c r="J762">
        <v>0.77800000000000002</v>
      </c>
      <c r="K762">
        <v>0.77800000000000002</v>
      </c>
      <c r="L762">
        <v>-99.998999999999995</v>
      </c>
      <c r="M762">
        <v>-99.998999999999995</v>
      </c>
      <c r="Q762" s="2">
        <f t="shared" si="57"/>
        <v>-2.5585099129682756</v>
      </c>
      <c r="T762" s="2">
        <f t="shared" si="58"/>
        <v>71571.741412569769</v>
      </c>
      <c r="W762" s="2">
        <f t="shared" si="59"/>
        <v>71571.741412569769</v>
      </c>
    </row>
    <row r="763" spans="1:23">
      <c r="A763">
        <v>1756</v>
      </c>
      <c r="B763">
        <v>9</v>
      </c>
      <c r="C763">
        <v>32</v>
      </c>
      <c r="D763">
        <v>-1.234</v>
      </c>
      <c r="E763" s="2">
        <f t="shared" si="55"/>
        <v>-1</v>
      </c>
      <c r="F763" s="2">
        <f t="shared" si="56"/>
        <v>365</v>
      </c>
      <c r="G763">
        <v>-0.23</v>
      </c>
      <c r="H763">
        <v>0.69799999999999995</v>
      </c>
      <c r="I763">
        <v>0.79600000000000004</v>
      </c>
      <c r="J763">
        <v>0.77800000000000002</v>
      </c>
      <c r="K763">
        <v>0.77800000000000002</v>
      </c>
      <c r="L763">
        <v>-99.998999999999995</v>
      </c>
      <c r="M763">
        <v>-99.998999999999995</v>
      </c>
      <c r="Q763" s="2">
        <f t="shared" si="57"/>
        <v>-1.9659536601444914</v>
      </c>
      <c r="T763" s="2">
        <f t="shared" si="58"/>
        <v>121571.84901448878</v>
      </c>
      <c r="W763" s="2">
        <f t="shared" si="59"/>
        <v>121571.84901448878</v>
      </c>
    </row>
    <row r="764" spans="1:23">
      <c r="A764">
        <v>1757</v>
      </c>
      <c r="B764">
        <v>9</v>
      </c>
      <c r="C764">
        <v>32</v>
      </c>
      <c r="D764">
        <v>-0.71199999999999997</v>
      </c>
      <c r="E764" s="2">
        <f t="shared" si="55"/>
        <v>-0.5</v>
      </c>
      <c r="F764" s="2">
        <f t="shared" si="56"/>
        <v>443</v>
      </c>
      <c r="G764">
        <v>3.1E-2</v>
      </c>
      <c r="H764">
        <v>0.69799999999999995</v>
      </c>
      <c r="I764">
        <v>0.79600000000000004</v>
      </c>
      <c r="J764">
        <v>0.77800000000000002</v>
      </c>
      <c r="K764">
        <v>0.77800000000000002</v>
      </c>
      <c r="L764">
        <v>-99.998999999999995</v>
      </c>
      <c r="M764">
        <v>-99.998999999999995</v>
      </c>
      <c r="Q764" s="2">
        <f t="shared" si="57"/>
        <v>-1.8254839217366734</v>
      </c>
      <c r="T764" s="2">
        <f t="shared" si="58"/>
        <v>133424.73555772298</v>
      </c>
      <c r="W764" s="2">
        <f t="shared" si="59"/>
        <v>133424.73555772298</v>
      </c>
    </row>
    <row r="765" spans="1:23">
      <c r="A765">
        <v>1758</v>
      </c>
      <c r="B765">
        <v>9</v>
      </c>
      <c r="C765">
        <v>32</v>
      </c>
      <c r="D765">
        <v>4.141</v>
      </c>
      <c r="E765" s="2">
        <f t="shared" si="55"/>
        <v>4</v>
      </c>
      <c r="F765" s="2">
        <f t="shared" si="56"/>
        <v>980</v>
      </c>
      <c r="G765">
        <v>0.27400000000000002</v>
      </c>
      <c r="H765">
        <v>0.69799999999999995</v>
      </c>
      <c r="I765">
        <v>0.79600000000000004</v>
      </c>
      <c r="J765">
        <v>0.77800000000000002</v>
      </c>
      <c r="K765">
        <v>0.77800000000000002</v>
      </c>
      <c r="L765">
        <v>-99.998999999999995</v>
      </c>
      <c r="M765">
        <v>-99.998999999999995</v>
      </c>
      <c r="Q765" s="2">
        <f t="shared" si="57"/>
        <v>-0.51954591312912379</v>
      </c>
      <c r="T765" s="2">
        <f t="shared" si="58"/>
        <v>243620.24972307851</v>
      </c>
      <c r="W765" s="2">
        <f t="shared" si="59"/>
        <v>243620.24972307851</v>
      </c>
    </row>
    <row r="766" spans="1:23">
      <c r="A766">
        <v>1759</v>
      </c>
      <c r="B766">
        <v>9</v>
      </c>
      <c r="C766">
        <v>32</v>
      </c>
      <c r="D766">
        <v>2.0720000000000001</v>
      </c>
      <c r="E766" s="2">
        <f t="shared" si="55"/>
        <v>2</v>
      </c>
      <c r="F766" s="2">
        <f t="shared" si="56"/>
        <v>858</v>
      </c>
      <c r="G766">
        <v>0.44600000000000001</v>
      </c>
      <c r="H766">
        <v>0.69799999999999995</v>
      </c>
      <c r="I766">
        <v>0.79600000000000004</v>
      </c>
      <c r="J766">
        <v>0.77800000000000002</v>
      </c>
      <c r="K766">
        <v>0.77800000000000002</v>
      </c>
      <c r="L766">
        <v>-99.998999999999995</v>
      </c>
      <c r="M766">
        <v>-99.998999999999995</v>
      </c>
      <c r="Q766" s="2">
        <f t="shared" si="57"/>
        <v>-1.0763119835616439</v>
      </c>
      <c r="T766" s="2">
        <f t="shared" si="58"/>
        <v>196640.13045497207</v>
      </c>
      <c r="W766" s="2">
        <f t="shared" si="59"/>
        <v>196640.13045497207</v>
      </c>
    </row>
    <row r="767" spans="1:23">
      <c r="A767">
        <v>1760</v>
      </c>
      <c r="B767">
        <v>9</v>
      </c>
      <c r="C767">
        <v>32</v>
      </c>
      <c r="D767">
        <v>2.4889999999999999</v>
      </c>
      <c r="E767" s="2">
        <f t="shared" si="55"/>
        <v>2.5</v>
      </c>
      <c r="F767" s="2">
        <f t="shared" si="56"/>
        <v>901</v>
      </c>
      <c r="G767">
        <v>0.52</v>
      </c>
      <c r="H767">
        <v>0.69799999999999995</v>
      </c>
      <c r="I767">
        <v>0.79600000000000004</v>
      </c>
      <c r="J767">
        <v>0.77800000000000002</v>
      </c>
      <c r="K767">
        <v>0.77800000000000002</v>
      </c>
      <c r="L767">
        <v>-99.998999999999995</v>
      </c>
      <c r="M767">
        <v>-99.998999999999995</v>
      </c>
      <c r="Q767" s="2">
        <f t="shared" si="57"/>
        <v>-0.9640976523048238</v>
      </c>
      <c r="T767" s="2">
        <f t="shared" si="58"/>
        <v>206108.81568203846</v>
      </c>
      <c r="W767" s="2">
        <f t="shared" si="59"/>
        <v>206108.81568203846</v>
      </c>
    </row>
    <row r="768" spans="1:23">
      <c r="A768">
        <v>1761</v>
      </c>
      <c r="B768">
        <v>9</v>
      </c>
      <c r="C768">
        <v>32</v>
      </c>
      <c r="D768">
        <v>1.9390000000000001</v>
      </c>
      <c r="E768" s="2">
        <f t="shared" si="55"/>
        <v>2</v>
      </c>
      <c r="F768" s="2">
        <f t="shared" si="56"/>
        <v>844</v>
      </c>
      <c r="G768">
        <v>0.49</v>
      </c>
      <c r="H768">
        <v>0.69799999999999995</v>
      </c>
      <c r="I768">
        <v>0.79600000000000004</v>
      </c>
      <c r="J768">
        <v>0.77800000000000002</v>
      </c>
      <c r="K768">
        <v>0.77800000000000002</v>
      </c>
      <c r="L768">
        <v>-99.998999999999995</v>
      </c>
      <c r="M768">
        <v>-99.998999999999995</v>
      </c>
      <c r="Q768" s="2">
        <f t="shared" si="57"/>
        <v>-1.112102165952908</v>
      </c>
      <c r="T768" s="2">
        <f t="shared" si="58"/>
        <v>193620.1421211595</v>
      </c>
      <c r="W768" s="2">
        <f t="shared" si="59"/>
        <v>193620.1421211595</v>
      </c>
    </row>
    <row r="769" spans="1:23">
      <c r="A769">
        <v>1762</v>
      </c>
      <c r="B769">
        <v>9</v>
      </c>
      <c r="C769">
        <v>32</v>
      </c>
      <c r="D769">
        <v>1.274</v>
      </c>
      <c r="E769" s="2">
        <f t="shared" si="55"/>
        <v>1.5</v>
      </c>
      <c r="F769" s="2">
        <f t="shared" si="56"/>
        <v>769</v>
      </c>
      <c r="G769">
        <v>0.36499999999999999</v>
      </c>
      <c r="H769">
        <v>0.69799999999999995</v>
      </c>
      <c r="I769">
        <v>0.79600000000000004</v>
      </c>
      <c r="J769">
        <v>0.77800000000000002</v>
      </c>
      <c r="K769">
        <v>0.77800000000000002</v>
      </c>
      <c r="L769">
        <v>-99.998999999999995</v>
      </c>
      <c r="M769">
        <v>-99.998999999999995</v>
      </c>
      <c r="Q769" s="2">
        <f t="shared" si="57"/>
        <v>-1.2910530779092277</v>
      </c>
      <c r="T769" s="2">
        <f t="shared" si="58"/>
        <v>178520.20045209679</v>
      </c>
      <c r="W769" s="2">
        <f t="shared" si="59"/>
        <v>178520.20045209679</v>
      </c>
    </row>
    <row r="770" spans="1:23">
      <c r="A770">
        <v>1763</v>
      </c>
      <c r="B770">
        <v>9</v>
      </c>
      <c r="C770">
        <v>32</v>
      </c>
      <c r="D770">
        <v>-1.31</v>
      </c>
      <c r="E770" s="2">
        <f t="shared" si="55"/>
        <v>-1.5</v>
      </c>
      <c r="F770" s="2">
        <f t="shared" si="56"/>
        <v>353</v>
      </c>
      <c r="G770">
        <v>0.17199999999999999</v>
      </c>
      <c r="H770">
        <v>0.69799999999999995</v>
      </c>
      <c r="I770">
        <v>0.79600000000000004</v>
      </c>
      <c r="J770">
        <v>0.77800000000000002</v>
      </c>
      <c r="K770">
        <v>0.77800000000000002</v>
      </c>
      <c r="L770">
        <v>-99.998999999999995</v>
      </c>
      <c r="M770">
        <v>-99.998999999999995</v>
      </c>
      <c r="Q770" s="2">
        <f t="shared" si="57"/>
        <v>-1.9864051929394995</v>
      </c>
      <c r="T770" s="2">
        <f t="shared" si="58"/>
        <v>119846.1413951673</v>
      </c>
      <c r="W770" s="2">
        <f t="shared" si="59"/>
        <v>119846.1413951673</v>
      </c>
    </row>
    <row r="771" spans="1:23">
      <c r="A771">
        <v>1764</v>
      </c>
      <c r="B771">
        <v>9</v>
      </c>
      <c r="C771">
        <v>32</v>
      </c>
      <c r="D771">
        <v>-0.58399999999999996</v>
      </c>
      <c r="E771" s="2">
        <f t="shared" ref="E771:E834" si="60">IF(D771&gt;0,MROUND(D771,0.5),MROUND(D771,-0.5))</f>
        <v>-0.5</v>
      </c>
      <c r="F771" s="2">
        <f t="shared" ref="F771:F834" si="61">RANK(D771,$D$3:$D$1011,1)</f>
        <v>467</v>
      </c>
      <c r="G771">
        <v>-5.8000000000000003E-2</v>
      </c>
      <c r="H771">
        <v>0.69799999999999995</v>
      </c>
      <c r="I771">
        <v>0.79600000000000004</v>
      </c>
      <c r="J771">
        <v>0.77800000000000002</v>
      </c>
      <c r="K771">
        <v>0.77800000000000002</v>
      </c>
      <c r="L771">
        <v>-99.998999999999995</v>
      </c>
      <c r="M771">
        <v>-99.998999999999995</v>
      </c>
      <c r="Q771" s="2">
        <f t="shared" ref="Q771:Q834" si="62">$Q$1022+($Q$1021*D771)</f>
        <v>-1.7910392349240283</v>
      </c>
      <c r="T771" s="2">
        <f t="shared" ref="T771:T834" si="63">$T$1025+(Q771*$T$1024)</f>
        <v>136331.19049552755</v>
      </c>
      <c r="W771" s="2">
        <f t="shared" ref="W771:W834" si="64">$T$1025+(Q771*$T$1024)</f>
        <v>136331.19049552755</v>
      </c>
    </row>
    <row r="772" spans="1:23">
      <c r="A772">
        <v>1765</v>
      </c>
      <c r="B772">
        <v>9</v>
      </c>
      <c r="C772">
        <v>32</v>
      </c>
      <c r="D772">
        <v>-0.55300000000000005</v>
      </c>
      <c r="E772" s="2">
        <f t="shared" si="60"/>
        <v>-0.5</v>
      </c>
      <c r="F772" s="2">
        <f t="shared" si="61"/>
        <v>473</v>
      </c>
      <c r="G772">
        <v>-0.30399999999999999</v>
      </c>
      <c r="H772">
        <v>0.69799999999999995</v>
      </c>
      <c r="I772">
        <v>0.79600000000000004</v>
      </c>
      <c r="J772">
        <v>0.77800000000000002</v>
      </c>
      <c r="K772">
        <v>0.77800000000000002</v>
      </c>
      <c r="L772">
        <v>-99.998999999999995</v>
      </c>
      <c r="M772">
        <v>-99.998999999999995</v>
      </c>
      <c r="Q772" s="2">
        <f t="shared" si="62"/>
        <v>-1.7826971623365908</v>
      </c>
      <c r="T772" s="2">
        <f t="shared" si="63"/>
        <v>137035.09755077708</v>
      </c>
      <c r="W772" s="2">
        <f t="shared" si="64"/>
        <v>137035.09755077708</v>
      </c>
    </row>
    <row r="773" spans="1:23">
      <c r="A773">
        <v>1766</v>
      </c>
      <c r="B773">
        <v>9</v>
      </c>
      <c r="C773">
        <v>32</v>
      </c>
      <c r="D773">
        <v>-0.49</v>
      </c>
      <c r="E773" s="2">
        <f t="shared" si="60"/>
        <v>-0.5</v>
      </c>
      <c r="F773" s="2">
        <f t="shared" si="61"/>
        <v>483</v>
      </c>
      <c r="G773">
        <v>-0.55000000000000004</v>
      </c>
      <c r="H773">
        <v>0.69799999999999995</v>
      </c>
      <c r="I773">
        <v>0.79600000000000004</v>
      </c>
      <c r="J773">
        <v>0.77800000000000002</v>
      </c>
      <c r="K773">
        <v>0.77800000000000002</v>
      </c>
      <c r="L773">
        <v>-99.998999999999995</v>
      </c>
      <c r="M773">
        <v>-99.998999999999995</v>
      </c>
      <c r="Q773" s="2">
        <f t="shared" si="62"/>
        <v>-1.7657439180459922</v>
      </c>
      <c r="T773" s="2">
        <f t="shared" si="63"/>
        <v>138465.61834047775</v>
      </c>
      <c r="W773" s="2">
        <f t="shared" si="64"/>
        <v>138465.61834047775</v>
      </c>
    </row>
    <row r="774" spans="1:23">
      <c r="A774">
        <v>1767</v>
      </c>
      <c r="B774">
        <v>9</v>
      </c>
      <c r="C774">
        <v>32</v>
      </c>
      <c r="D774">
        <v>-2.0529999999999999</v>
      </c>
      <c r="E774" s="2">
        <f t="shared" si="60"/>
        <v>-2</v>
      </c>
      <c r="F774" s="2">
        <f t="shared" si="61"/>
        <v>237</v>
      </c>
      <c r="G774">
        <v>-0.78200000000000003</v>
      </c>
      <c r="H774">
        <v>0.69799999999999995</v>
      </c>
      <c r="I774">
        <v>0.79600000000000004</v>
      </c>
      <c r="J774">
        <v>0.77800000000000002</v>
      </c>
      <c r="K774">
        <v>0.77800000000000002</v>
      </c>
      <c r="L774">
        <v>-99.998999999999995</v>
      </c>
      <c r="M774">
        <v>-99.998999999999995</v>
      </c>
      <c r="Q774" s="2">
        <f t="shared" si="62"/>
        <v>-2.1863458359222747</v>
      </c>
      <c r="T774" s="2">
        <f t="shared" si="63"/>
        <v>102975.07874837995</v>
      </c>
      <c r="W774" s="2">
        <f t="shared" si="64"/>
        <v>102975.07874837995</v>
      </c>
    </row>
    <row r="775" spans="1:23">
      <c r="A775">
        <v>1768</v>
      </c>
      <c r="B775">
        <v>9</v>
      </c>
      <c r="C775">
        <v>32</v>
      </c>
      <c r="D775">
        <v>-1.266</v>
      </c>
      <c r="E775" s="2">
        <f t="shared" si="60"/>
        <v>-1.5</v>
      </c>
      <c r="F775" s="2">
        <f t="shared" si="61"/>
        <v>361</v>
      </c>
      <c r="G775">
        <v>-0.98899999999999999</v>
      </c>
      <c r="H775">
        <v>0.69799999999999995</v>
      </c>
      <c r="I775">
        <v>0.79600000000000004</v>
      </c>
      <c r="J775">
        <v>0.77800000000000002</v>
      </c>
      <c r="K775">
        <v>0.77800000000000002</v>
      </c>
      <c r="L775">
        <v>-99.998999999999995</v>
      </c>
      <c r="M775">
        <v>-99.998999999999995</v>
      </c>
      <c r="Q775" s="2">
        <f t="shared" si="62"/>
        <v>-1.9745648318476525</v>
      </c>
      <c r="T775" s="2">
        <f t="shared" si="63"/>
        <v>120845.23528003765</v>
      </c>
      <c r="W775" s="2">
        <f t="shared" si="64"/>
        <v>120845.23528003765</v>
      </c>
    </row>
    <row r="776" spans="1:23">
      <c r="A776">
        <v>1769</v>
      </c>
      <c r="B776">
        <v>9</v>
      </c>
      <c r="C776">
        <v>32</v>
      </c>
      <c r="D776">
        <v>-0.61399999999999999</v>
      </c>
      <c r="E776" s="2">
        <f t="shared" si="60"/>
        <v>-0.5</v>
      </c>
      <c r="F776" s="2">
        <f t="shared" si="61"/>
        <v>461</v>
      </c>
      <c r="G776">
        <v>-1.1679999999999999</v>
      </c>
      <c r="H776">
        <v>0.69799999999999995</v>
      </c>
      <c r="I776">
        <v>0.79600000000000004</v>
      </c>
      <c r="J776">
        <v>0.77800000000000002</v>
      </c>
      <c r="K776">
        <v>0.77800000000000002</v>
      </c>
      <c r="L776">
        <v>-99.998999999999995</v>
      </c>
      <c r="M776">
        <v>-99.998999999999995</v>
      </c>
      <c r="Q776" s="2">
        <f t="shared" si="62"/>
        <v>-1.799112208395742</v>
      </c>
      <c r="T776" s="2">
        <f t="shared" si="63"/>
        <v>135649.9901194796</v>
      </c>
      <c r="W776" s="2">
        <f t="shared" si="64"/>
        <v>135649.9901194796</v>
      </c>
    </row>
    <row r="777" spans="1:23">
      <c r="A777">
        <v>1770</v>
      </c>
      <c r="B777">
        <v>9</v>
      </c>
      <c r="C777">
        <v>32</v>
      </c>
      <c r="D777">
        <v>4.9000000000000002E-2</v>
      </c>
      <c r="E777" s="2">
        <f t="shared" si="60"/>
        <v>0</v>
      </c>
      <c r="F777" s="2">
        <f t="shared" si="61"/>
        <v>578</v>
      </c>
      <c r="G777">
        <v>-1.32</v>
      </c>
      <c r="H777">
        <v>0.69799999999999995</v>
      </c>
      <c r="I777">
        <v>0.79600000000000004</v>
      </c>
      <c r="J777">
        <v>0.77800000000000002</v>
      </c>
      <c r="K777">
        <v>0.77800000000000002</v>
      </c>
      <c r="L777">
        <v>-99.998999999999995</v>
      </c>
      <c r="M777">
        <v>-99.998999999999995</v>
      </c>
      <c r="Q777" s="2">
        <f t="shared" si="62"/>
        <v>-1.6206994946708697</v>
      </c>
      <c r="T777" s="2">
        <f t="shared" si="63"/>
        <v>150704.51843013911</v>
      </c>
      <c r="W777" s="2">
        <f t="shared" si="64"/>
        <v>150704.51843013911</v>
      </c>
    </row>
    <row r="778" spans="1:23">
      <c r="A778">
        <v>1771</v>
      </c>
      <c r="B778">
        <v>9</v>
      </c>
      <c r="C778">
        <v>32</v>
      </c>
      <c r="D778">
        <v>0.14099999999999999</v>
      </c>
      <c r="E778" s="2">
        <f t="shared" si="60"/>
        <v>0</v>
      </c>
      <c r="F778" s="2">
        <f t="shared" si="61"/>
        <v>590</v>
      </c>
      <c r="G778">
        <v>-1.4390000000000001</v>
      </c>
      <c r="H778">
        <v>0.69799999999999995</v>
      </c>
      <c r="I778">
        <v>0.79600000000000004</v>
      </c>
      <c r="J778">
        <v>0.77800000000000002</v>
      </c>
      <c r="K778">
        <v>0.77800000000000002</v>
      </c>
      <c r="L778">
        <v>-99.998999999999995</v>
      </c>
      <c r="M778">
        <v>-99.998999999999995</v>
      </c>
      <c r="Q778" s="2">
        <f t="shared" si="62"/>
        <v>-1.595942376024281</v>
      </c>
      <c r="T778" s="2">
        <f t="shared" si="63"/>
        <v>152793.53291668615</v>
      </c>
      <c r="W778" s="2">
        <f t="shared" si="64"/>
        <v>152793.53291668615</v>
      </c>
    </row>
    <row r="779" spans="1:23">
      <c r="A779">
        <v>1772</v>
      </c>
      <c r="B779">
        <v>9</v>
      </c>
      <c r="C779">
        <v>32</v>
      </c>
      <c r="D779">
        <v>-6.351</v>
      </c>
      <c r="E779" s="2">
        <f t="shared" si="60"/>
        <v>-6.5</v>
      </c>
      <c r="F779" s="2">
        <f t="shared" si="61"/>
        <v>3</v>
      </c>
      <c r="G779">
        <v>-1.508</v>
      </c>
      <c r="H779">
        <v>0.69799999999999995</v>
      </c>
      <c r="I779">
        <v>0.79600000000000004</v>
      </c>
      <c r="J779">
        <v>0.77800000000000002</v>
      </c>
      <c r="K779">
        <v>0.77800000000000002</v>
      </c>
      <c r="L779">
        <v>-99.998999999999995</v>
      </c>
      <c r="M779">
        <v>-99.998999999999995</v>
      </c>
      <c r="Q779" s="2">
        <f t="shared" si="62"/>
        <v>-3.3429338353031213</v>
      </c>
      <c r="T779" s="2">
        <f t="shared" si="63"/>
        <v>5381.7715399113367</v>
      </c>
      <c r="W779" s="2">
        <f t="shared" si="64"/>
        <v>5381.7715399113367</v>
      </c>
    </row>
    <row r="780" spans="1:23">
      <c r="A780">
        <v>1773</v>
      </c>
      <c r="B780">
        <v>9</v>
      </c>
      <c r="C780">
        <v>32</v>
      </c>
      <c r="D780">
        <v>-2.3180000000000001</v>
      </c>
      <c r="E780" s="2">
        <f t="shared" si="60"/>
        <v>-2.5</v>
      </c>
      <c r="F780" s="2">
        <f t="shared" si="61"/>
        <v>200</v>
      </c>
      <c r="G780">
        <v>-1.504</v>
      </c>
      <c r="H780">
        <v>0.69799999999999995</v>
      </c>
      <c r="I780">
        <v>0.79600000000000004</v>
      </c>
      <c r="J780">
        <v>0.77800000000000002</v>
      </c>
      <c r="K780">
        <v>0.77800000000000002</v>
      </c>
      <c r="L780">
        <v>-99.998999999999995</v>
      </c>
      <c r="M780">
        <v>-99.998999999999995</v>
      </c>
      <c r="Q780" s="2">
        <f t="shared" si="62"/>
        <v>-2.257657101589079</v>
      </c>
      <c r="T780" s="2">
        <f t="shared" si="63"/>
        <v>96957.808759956446</v>
      </c>
      <c r="W780" s="2">
        <f t="shared" si="64"/>
        <v>96957.808759956446</v>
      </c>
    </row>
    <row r="781" spans="1:23">
      <c r="A781">
        <v>1774</v>
      </c>
      <c r="B781">
        <v>9</v>
      </c>
      <c r="C781">
        <v>32</v>
      </c>
      <c r="D781">
        <v>-0.18099999999999999</v>
      </c>
      <c r="E781" s="2">
        <f t="shared" si="60"/>
        <v>0</v>
      </c>
      <c r="F781" s="2">
        <f t="shared" si="61"/>
        <v>541</v>
      </c>
      <c r="G781">
        <v>-1.4370000000000001</v>
      </c>
      <c r="H781">
        <v>0.69799999999999995</v>
      </c>
      <c r="I781">
        <v>0.79600000000000004</v>
      </c>
      <c r="J781">
        <v>0.77800000000000002</v>
      </c>
      <c r="K781">
        <v>0.77800000000000002</v>
      </c>
      <c r="L781">
        <v>-99.998999999999995</v>
      </c>
      <c r="M781">
        <v>-99.998999999999995</v>
      </c>
      <c r="Q781" s="2">
        <f t="shared" si="62"/>
        <v>-1.6825922912873412</v>
      </c>
      <c r="T781" s="2">
        <f t="shared" si="63"/>
        <v>145481.98221377155</v>
      </c>
      <c r="W781" s="2">
        <f t="shared" si="64"/>
        <v>145481.98221377155</v>
      </c>
    </row>
    <row r="782" spans="1:23">
      <c r="A782">
        <v>1775</v>
      </c>
      <c r="B782">
        <v>9</v>
      </c>
      <c r="C782">
        <v>32</v>
      </c>
      <c r="D782">
        <v>-1.234</v>
      </c>
      <c r="E782" s="2">
        <f t="shared" si="60"/>
        <v>-1</v>
      </c>
      <c r="F782" s="2">
        <f t="shared" si="61"/>
        <v>365</v>
      </c>
      <c r="G782">
        <v>-1.3240000000000001</v>
      </c>
      <c r="H782">
        <v>0.69799999999999995</v>
      </c>
      <c r="I782">
        <v>0.79600000000000004</v>
      </c>
      <c r="J782">
        <v>0.77800000000000002</v>
      </c>
      <c r="K782">
        <v>0.77800000000000002</v>
      </c>
      <c r="L782">
        <v>-99.998999999999995</v>
      </c>
      <c r="M782">
        <v>-99.998999999999995</v>
      </c>
      <c r="Q782" s="2">
        <f t="shared" si="62"/>
        <v>-1.9659536601444914</v>
      </c>
      <c r="T782" s="2">
        <f t="shared" si="63"/>
        <v>121571.84901448878</v>
      </c>
      <c r="W782" s="2">
        <f t="shared" si="64"/>
        <v>121571.84901448878</v>
      </c>
    </row>
    <row r="783" spans="1:23">
      <c r="A783">
        <v>1776</v>
      </c>
      <c r="B783">
        <v>9</v>
      </c>
      <c r="C783">
        <v>32</v>
      </c>
      <c r="D783">
        <v>-0.875</v>
      </c>
      <c r="E783" s="2">
        <f t="shared" si="60"/>
        <v>-1</v>
      </c>
      <c r="F783" s="2">
        <f t="shared" si="61"/>
        <v>411</v>
      </c>
      <c r="G783">
        <v>-1.179</v>
      </c>
      <c r="H783">
        <v>0.69799999999999995</v>
      </c>
      <c r="I783">
        <v>0.79600000000000004</v>
      </c>
      <c r="J783">
        <v>0.77800000000000002</v>
      </c>
      <c r="K783">
        <v>0.77800000000000002</v>
      </c>
      <c r="L783">
        <v>-99.998999999999995</v>
      </c>
      <c r="M783">
        <v>-99.998999999999995</v>
      </c>
      <c r="Q783" s="2">
        <f t="shared" si="62"/>
        <v>-1.869347077599651</v>
      </c>
      <c r="T783" s="2">
        <f t="shared" si="63"/>
        <v>129723.54684786248</v>
      </c>
      <c r="W783" s="2">
        <f t="shared" si="64"/>
        <v>129723.54684786248</v>
      </c>
    </row>
    <row r="784" spans="1:23">
      <c r="A784">
        <v>1777</v>
      </c>
      <c r="B784">
        <v>9</v>
      </c>
      <c r="C784">
        <v>32</v>
      </c>
      <c r="D784">
        <v>-1.569</v>
      </c>
      <c r="E784" s="2">
        <f t="shared" si="60"/>
        <v>-1.5</v>
      </c>
      <c r="F784" s="2">
        <f t="shared" si="61"/>
        <v>311</v>
      </c>
      <c r="G784">
        <v>-1.01</v>
      </c>
      <c r="H784">
        <v>0.69799999999999995</v>
      </c>
      <c r="I784">
        <v>0.79600000000000004</v>
      </c>
      <c r="J784">
        <v>0.77800000000000002</v>
      </c>
      <c r="K784">
        <v>0.77800000000000002</v>
      </c>
      <c r="L784">
        <v>-99.998999999999995</v>
      </c>
      <c r="M784">
        <v>-99.998999999999995</v>
      </c>
      <c r="Q784" s="2">
        <f t="shared" si="62"/>
        <v>-2.0561018639119606</v>
      </c>
      <c r="T784" s="2">
        <f t="shared" si="63"/>
        <v>113965.11148195344</v>
      </c>
      <c r="W784" s="2">
        <f t="shared" si="64"/>
        <v>113965.11148195344</v>
      </c>
    </row>
    <row r="785" spans="1:23">
      <c r="A785">
        <v>1778</v>
      </c>
      <c r="B785">
        <v>9</v>
      </c>
      <c r="C785">
        <v>32</v>
      </c>
      <c r="D785">
        <v>-2.0030000000000001</v>
      </c>
      <c r="E785" s="2">
        <f t="shared" si="60"/>
        <v>-2</v>
      </c>
      <c r="F785" s="2">
        <f t="shared" si="61"/>
        <v>244</v>
      </c>
      <c r="G785">
        <v>-0.82499999999999996</v>
      </c>
      <c r="H785">
        <v>0.69799999999999995</v>
      </c>
      <c r="I785">
        <v>0.79600000000000004</v>
      </c>
      <c r="J785">
        <v>0.77800000000000002</v>
      </c>
      <c r="K785">
        <v>0.77800000000000002</v>
      </c>
      <c r="L785">
        <v>-99.998999999999995</v>
      </c>
      <c r="M785">
        <v>-99.998999999999995</v>
      </c>
      <c r="Q785" s="2">
        <f t="shared" si="62"/>
        <v>-2.1728908801360856</v>
      </c>
      <c r="T785" s="2">
        <f t="shared" si="63"/>
        <v>104110.41270845983</v>
      </c>
      <c r="W785" s="2">
        <f t="shared" si="64"/>
        <v>104110.41270845983</v>
      </c>
    </row>
    <row r="786" spans="1:23">
      <c r="A786">
        <v>1779</v>
      </c>
      <c r="B786">
        <v>9</v>
      </c>
      <c r="C786">
        <v>32</v>
      </c>
      <c r="D786">
        <v>0.23899999999999999</v>
      </c>
      <c r="E786" s="2">
        <f t="shared" si="60"/>
        <v>0</v>
      </c>
      <c r="F786" s="2">
        <f t="shared" si="61"/>
        <v>608</v>
      </c>
      <c r="G786">
        <v>-0.63800000000000001</v>
      </c>
      <c r="H786">
        <v>0.69799999999999995</v>
      </c>
      <c r="I786">
        <v>0.79600000000000004</v>
      </c>
      <c r="J786">
        <v>0.77800000000000002</v>
      </c>
      <c r="K786">
        <v>0.77800000000000002</v>
      </c>
      <c r="L786">
        <v>-99.998999999999995</v>
      </c>
      <c r="M786">
        <v>-99.998999999999995</v>
      </c>
      <c r="Q786" s="2">
        <f t="shared" si="62"/>
        <v>-1.5695706626833497</v>
      </c>
      <c r="T786" s="2">
        <f t="shared" si="63"/>
        <v>155018.78747844277</v>
      </c>
      <c r="W786" s="2">
        <f t="shared" si="64"/>
        <v>155018.78747844277</v>
      </c>
    </row>
    <row r="787" spans="1:23">
      <c r="A787">
        <v>1780</v>
      </c>
      <c r="B787">
        <v>9</v>
      </c>
      <c r="C787">
        <v>32</v>
      </c>
      <c r="D787">
        <v>-1.657</v>
      </c>
      <c r="E787" s="2">
        <f t="shared" si="60"/>
        <v>-1.5</v>
      </c>
      <c r="F787" s="2">
        <f t="shared" si="61"/>
        <v>296</v>
      </c>
      <c r="G787">
        <v>-0.46800000000000003</v>
      </c>
      <c r="H787">
        <v>0.69799999999999995</v>
      </c>
      <c r="I787">
        <v>0.79600000000000004</v>
      </c>
      <c r="J787">
        <v>0.77800000000000002</v>
      </c>
      <c r="K787">
        <v>0.77800000000000002</v>
      </c>
      <c r="L787">
        <v>-99.998999999999995</v>
      </c>
      <c r="M787">
        <v>-99.998999999999995</v>
      </c>
      <c r="Q787" s="2">
        <f t="shared" si="62"/>
        <v>-2.0797825860956545</v>
      </c>
      <c r="T787" s="2">
        <f t="shared" si="63"/>
        <v>111966.92371221277</v>
      </c>
      <c r="W787" s="2">
        <f t="shared" si="64"/>
        <v>111966.92371221277</v>
      </c>
    </row>
    <row r="788" spans="1:23">
      <c r="A788">
        <v>1781</v>
      </c>
      <c r="B788">
        <v>9</v>
      </c>
      <c r="C788">
        <v>32</v>
      </c>
      <c r="D788">
        <v>2.4E-2</v>
      </c>
      <c r="E788" s="2">
        <f t="shared" si="60"/>
        <v>0</v>
      </c>
      <c r="F788" s="2">
        <f t="shared" si="61"/>
        <v>570</v>
      </c>
      <c r="G788">
        <v>-0.33400000000000002</v>
      </c>
      <c r="H788">
        <v>0.69799999999999995</v>
      </c>
      <c r="I788">
        <v>0.79600000000000004</v>
      </c>
      <c r="J788">
        <v>0.77800000000000002</v>
      </c>
      <c r="K788">
        <v>0.77800000000000002</v>
      </c>
      <c r="L788">
        <v>-99.998999999999995</v>
      </c>
      <c r="M788">
        <v>-99.998999999999995</v>
      </c>
      <c r="Q788" s="2">
        <f t="shared" si="62"/>
        <v>-1.6274269725639645</v>
      </c>
      <c r="T788" s="2">
        <f t="shared" si="63"/>
        <v>150136.85145009917</v>
      </c>
      <c r="W788" s="2">
        <f t="shared" si="64"/>
        <v>150136.85145009917</v>
      </c>
    </row>
    <row r="789" spans="1:23">
      <c r="A789">
        <v>1782</v>
      </c>
      <c r="B789">
        <v>9</v>
      </c>
      <c r="C789">
        <v>32</v>
      </c>
      <c r="D789">
        <v>3.8820000000000001</v>
      </c>
      <c r="E789" s="2">
        <f t="shared" si="60"/>
        <v>4</v>
      </c>
      <c r="F789" s="2">
        <f t="shared" si="61"/>
        <v>973</v>
      </c>
      <c r="G789">
        <v>-0.25900000000000001</v>
      </c>
      <c r="H789">
        <v>0.69799999999999995</v>
      </c>
      <c r="I789">
        <v>0.79600000000000004</v>
      </c>
      <c r="J789">
        <v>0.77800000000000002</v>
      </c>
      <c r="K789">
        <v>0.77800000000000002</v>
      </c>
      <c r="L789">
        <v>-99.998999999999995</v>
      </c>
      <c r="M789">
        <v>-99.998999999999995</v>
      </c>
      <c r="Q789" s="2">
        <f t="shared" si="62"/>
        <v>-0.58924258410158536</v>
      </c>
      <c r="T789" s="2">
        <f t="shared" si="63"/>
        <v>237739.21980986459</v>
      </c>
      <c r="W789" s="2">
        <f t="shared" si="64"/>
        <v>237739.21980986459</v>
      </c>
    </row>
    <row r="790" spans="1:23">
      <c r="A790">
        <v>1783</v>
      </c>
      <c r="B790">
        <v>9</v>
      </c>
      <c r="C790">
        <v>32</v>
      </c>
      <c r="D790">
        <v>2.6589999999999998</v>
      </c>
      <c r="E790" s="2">
        <f t="shared" si="60"/>
        <v>2.5</v>
      </c>
      <c r="F790" s="2">
        <f t="shared" si="61"/>
        <v>916</v>
      </c>
      <c r="G790">
        <v>-0.26100000000000001</v>
      </c>
      <c r="H790">
        <v>0.69799999999999995</v>
      </c>
      <c r="I790">
        <v>0.79600000000000004</v>
      </c>
      <c r="J790">
        <v>0.77800000000000002</v>
      </c>
      <c r="K790">
        <v>0.77800000000000002</v>
      </c>
      <c r="L790">
        <v>-99.998999999999995</v>
      </c>
      <c r="M790">
        <v>-99.998999999999995</v>
      </c>
      <c r="Q790" s="2">
        <f t="shared" si="62"/>
        <v>-0.91835080263177971</v>
      </c>
      <c r="T790" s="2">
        <f t="shared" si="63"/>
        <v>209968.95114631014</v>
      </c>
      <c r="W790" s="2">
        <f t="shared" si="64"/>
        <v>209968.95114631014</v>
      </c>
    </row>
    <row r="791" spans="1:23">
      <c r="A791">
        <v>1784</v>
      </c>
      <c r="B791">
        <v>9</v>
      </c>
      <c r="C791">
        <v>32</v>
      </c>
      <c r="D791">
        <v>0.60499999999999998</v>
      </c>
      <c r="E791" s="2">
        <f t="shared" si="60"/>
        <v>0.5</v>
      </c>
      <c r="F791" s="2">
        <f t="shared" si="61"/>
        <v>671</v>
      </c>
      <c r="G791">
        <v>-0.32300000000000001</v>
      </c>
      <c r="H791">
        <v>0.69799999999999995</v>
      </c>
      <c r="I791">
        <v>0.79600000000000004</v>
      </c>
      <c r="J791">
        <v>0.77800000000000002</v>
      </c>
      <c r="K791">
        <v>0.77800000000000002</v>
      </c>
      <c r="L791">
        <v>-99.998999999999995</v>
      </c>
      <c r="M791">
        <v>-99.998999999999995</v>
      </c>
      <c r="Q791" s="2">
        <f t="shared" si="62"/>
        <v>-1.471080386328443</v>
      </c>
      <c r="T791" s="2">
        <f t="shared" si="63"/>
        <v>163329.43206622766</v>
      </c>
      <c r="W791" s="2">
        <f t="shared" si="64"/>
        <v>163329.43206622766</v>
      </c>
    </row>
    <row r="792" spans="1:23">
      <c r="A792">
        <v>1785</v>
      </c>
      <c r="B792">
        <v>9</v>
      </c>
      <c r="C792">
        <v>32</v>
      </c>
      <c r="D792">
        <v>-2.7829999999999999</v>
      </c>
      <c r="E792" s="2">
        <f t="shared" si="60"/>
        <v>-3</v>
      </c>
      <c r="F792" s="2">
        <f t="shared" si="61"/>
        <v>137</v>
      </c>
      <c r="G792">
        <v>-0.40400000000000003</v>
      </c>
      <c r="H792">
        <v>0.69799999999999995</v>
      </c>
      <c r="I792">
        <v>0.79600000000000004</v>
      </c>
      <c r="J792">
        <v>0.77800000000000002</v>
      </c>
      <c r="K792">
        <v>0.77800000000000002</v>
      </c>
      <c r="L792">
        <v>-99.998999999999995</v>
      </c>
      <c r="M792">
        <v>-99.998999999999995</v>
      </c>
      <c r="Q792" s="2">
        <f t="shared" si="62"/>
        <v>-2.3827881904006412</v>
      </c>
      <c r="T792" s="2">
        <f t="shared" si="63"/>
        <v>86399.202931213338</v>
      </c>
      <c r="W792" s="2">
        <f t="shared" si="64"/>
        <v>86399.202931213338</v>
      </c>
    </row>
    <row r="793" spans="1:23">
      <c r="A793">
        <v>1786</v>
      </c>
      <c r="B793">
        <v>9</v>
      </c>
      <c r="C793">
        <v>32</v>
      </c>
      <c r="D793">
        <v>-4.2169999999999996</v>
      </c>
      <c r="E793" s="2">
        <f t="shared" si="60"/>
        <v>-4</v>
      </c>
      <c r="F793" s="2">
        <f t="shared" si="61"/>
        <v>20</v>
      </c>
      <c r="G793">
        <v>-0.45400000000000001</v>
      </c>
      <c r="H793">
        <v>0.69799999999999995</v>
      </c>
      <c r="I793">
        <v>0.79600000000000004</v>
      </c>
      <c r="J793">
        <v>0.77800000000000002</v>
      </c>
      <c r="K793">
        <v>0.77800000000000002</v>
      </c>
      <c r="L793">
        <v>-99.998999999999995</v>
      </c>
      <c r="M793">
        <v>-99.998999999999995</v>
      </c>
      <c r="Q793" s="2">
        <f t="shared" si="62"/>
        <v>-2.7686763223485551</v>
      </c>
      <c r="T793" s="2">
        <f t="shared" si="63"/>
        <v>53837.824956121651</v>
      </c>
      <c r="W793" s="2">
        <f t="shared" si="64"/>
        <v>53837.824956121651</v>
      </c>
    </row>
    <row r="794" spans="1:23">
      <c r="A794">
        <v>1787</v>
      </c>
      <c r="B794">
        <v>9</v>
      </c>
      <c r="C794">
        <v>32</v>
      </c>
      <c r="D794">
        <v>3.5000000000000003E-2</v>
      </c>
      <c r="E794" s="2">
        <f t="shared" si="60"/>
        <v>0</v>
      </c>
      <c r="F794" s="2">
        <f t="shared" si="61"/>
        <v>571</v>
      </c>
      <c r="G794">
        <v>-0.44400000000000001</v>
      </c>
      <c r="H794">
        <v>0.69799999999999995</v>
      </c>
      <c r="I794">
        <v>0.79600000000000004</v>
      </c>
      <c r="J794">
        <v>0.77800000000000002</v>
      </c>
      <c r="K794">
        <v>0.77800000000000002</v>
      </c>
      <c r="L794">
        <v>-99.998999999999995</v>
      </c>
      <c r="M794">
        <v>-99.998999999999995</v>
      </c>
      <c r="Q794" s="2">
        <f t="shared" si="62"/>
        <v>-1.6244668822910027</v>
      </c>
      <c r="T794" s="2">
        <f t="shared" si="63"/>
        <v>150386.62492131675</v>
      </c>
      <c r="W794" s="2">
        <f t="shared" si="64"/>
        <v>150386.62492131675</v>
      </c>
    </row>
    <row r="795" spans="1:23">
      <c r="A795">
        <v>1788</v>
      </c>
      <c r="B795">
        <v>9</v>
      </c>
      <c r="C795">
        <v>32</v>
      </c>
      <c r="D795">
        <v>2.1360000000000001</v>
      </c>
      <c r="E795" s="2">
        <f t="shared" si="60"/>
        <v>2</v>
      </c>
      <c r="F795" s="2">
        <f t="shared" si="61"/>
        <v>868</v>
      </c>
      <c r="G795">
        <v>-0.371</v>
      </c>
      <c r="H795">
        <v>0.69799999999999995</v>
      </c>
      <c r="I795">
        <v>0.79600000000000004</v>
      </c>
      <c r="J795">
        <v>0.77800000000000002</v>
      </c>
      <c r="K795">
        <v>0.77800000000000002</v>
      </c>
      <c r="L795">
        <v>-99.998999999999995</v>
      </c>
      <c r="M795">
        <v>-99.998999999999995</v>
      </c>
      <c r="Q795" s="2">
        <f t="shared" si="62"/>
        <v>-1.0590896401553214</v>
      </c>
      <c r="T795" s="2">
        <f t="shared" si="63"/>
        <v>198093.35792387434</v>
      </c>
      <c r="W795" s="2">
        <f t="shared" si="64"/>
        <v>198093.35792387434</v>
      </c>
    </row>
    <row r="796" spans="1:23">
      <c r="A796">
        <v>1789</v>
      </c>
      <c r="B796">
        <v>9</v>
      </c>
      <c r="C796">
        <v>32</v>
      </c>
      <c r="D796">
        <v>-4.0720000000000001</v>
      </c>
      <c r="E796" s="2">
        <f t="shared" si="60"/>
        <v>-4</v>
      </c>
      <c r="F796" s="2">
        <f t="shared" si="61"/>
        <v>32</v>
      </c>
      <c r="G796">
        <v>-0.23300000000000001</v>
      </c>
      <c r="H796">
        <v>0.69799999999999995</v>
      </c>
      <c r="I796">
        <v>0.79600000000000004</v>
      </c>
      <c r="J796">
        <v>0.77800000000000002</v>
      </c>
      <c r="K796">
        <v>0.77800000000000002</v>
      </c>
      <c r="L796">
        <v>-99.998999999999995</v>
      </c>
      <c r="M796">
        <v>-99.998999999999995</v>
      </c>
      <c r="Q796" s="2">
        <f t="shared" si="62"/>
        <v>-2.7296569505686055</v>
      </c>
      <c r="T796" s="2">
        <f t="shared" si="63"/>
        <v>57130.293440353387</v>
      </c>
      <c r="W796" s="2">
        <f t="shared" si="64"/>
        <v>57130.293440353387</v>
      </c>
    </row>
    <row r="797" spans="1:23">
      <c r="A797">
        <v>1790</v>
      </c>
      <c r="B797">
        <v>9</v>
      </c>
      <c r="C797">
        <v>32</v>
      </c>
      <c r="D797">
        <v>-3.8820000000000001</v>
      </c>
      <c r="E797" s="2">
        <f t="shared" si="60"/>
        <v>-4</v>
      </c>
      <c r="F797" s="2">
        <f t="shared" si="61"/>
        <v>47</v>
      </c>
      <c r="G797">
        <v>-1.6E-2</v>
      </c>
      <c r="H797">
        <v>0.69799999999999995</v>
      </c>
      <c r="I797">
        <v>0.79600000000000004</v>
      </c>
      <c r="J797">
        <v>0.77800000000000002</v>
      </c>
      <c r="K797">
        <v>0.77800000000000002</v>
      </c>
      <c r="L797">
        <v>-99.998999999999995</v>
      </c>
      <c r="M797">
        <v>-99.998999999999995</v>
      </c>
      <c r="Q797" s="2">
        <f t="shared" si="62"/>
        <v>-2.6785281185810854</v>
      </c>
      <c r="T797" s="2">
        <f t="shared" si="63"/>
        <v>61444.562488657044</v>
      </c>
      <c r="W797" s="2">
        <f t="shared" si="64"/>
        <v>61444.562488657044</v>
      </c>
    </row>
    <row r="798" spans="1:23">
      <c r="A798">
        <v>1791</v>
      </c>
      <c r="B798">
        <v>9</v>
      </c>
      <c r="C798">
        <v>32</v>
      </c>
      <c r="D798">
        <v>-0.70499999999999996</v>
      </c>
      <c r="E798" s="2">
        <f t="shared" si="60"/>
        <v>-0.5</v>
      </c>
      <c r="F798" s="2">
        <f t="shared" si="61"/>
        <v>447</v>
      </c>
      <c r="G798">
        <v>0.26700000000000002</v>
      </c>
      <c r="H798">
        <v>0.69799999999999995</v>
      </c>
      <c r="I798">
        <v>0.79600000000000004</v>
      </c>
      <c r="J798">
        <v>0.77800000000000002</v>
      </c>
      <c r="K798">
        <v>0.77800000000000002</v>
      </c>
      <c r="L798">
        <v>-99.998999999999995</v>
      </c>
      <c r="M798">
        <v>-99.998999999999995</v>
      </c>
      <c r="Q798" s="2">
        <f t="shared" si="62"/>
        <v>-1.8236002279266068</v>
      </c>
      <c r="T798" s="2">
        <f t="shared" si="63"/>
        <v>133583.68231213416</v>
      </c>
      <c r="W798" s="2">
        <f t="shared" si="64"/>
        <v>133583.68231213416</v>
      </c>
    </row>
    <row r="799" spans="1:23">
      <c r="A799">
        <v>1792</v>
      </c>
      <c r="B799">
        <v>9</v>
      </c>
      <c r="C799">
        <v>32</v>
      </c>
      <c r="D799">
        <v>1.786</v>
      </c>
      <c r="E799" s="2">
        <f t="shared" si="60"/>
        <v>2</v>
      </c>
      <c r="F799" s="2">
        <f t="shared" si="61"/>
        <v>834</v>
      </c>
      <c r="G799">
        <v>0.56999999999999995</v>
      </c>
      <c r="H799">
        <v>0.69799999999999995</v>
      </c>
      <c r="I799">
        <v>0.79600000000000004</v>
      </c>
      <c r="J799">
        <v>0.77800000000000002</v>
      </c>
      <c r="K799">
        <v>0.77800000000000002</v>
      </c>
      <c r="L799">
        <v>-99.998999999999995</v>
      </c>
      <c r="M799">
        <v>-99.998999999999995</v>
      </c>
      <c r="Q799" s="2">
        <f t="shared" si="62"/>
        <v>-1.1532743306586477</v>
      </c>
      <c r="T799" s="2">
        <f t="shared" si="63"/>
        <v>190146.02020331501</v>
      </c>
      <c r="W799" s="2">
        <f t="shared" si="64"/>
        <v>190146.02020331501</v>
      </c>
    </row>
    <row r="800" spans="1:23">
      <c r="A800">
        <v>1793</v>
      </c>
      <c r="B800">
        <v>9</v>
      </c>
      <c r="C800">
        <v>32</v>
      </c>
      <c r="D800">
        <v>4.069</v>
      </c>
      <c r="E800" s="2">
        <f t="shared" si="60"/>
        <v>4</v>
      </c>
      <c r="F800" s="2">
        <f t="shared" si="61"/>
        <v>977</v>
      </c>
      <c r="G800">
        <v>0.83499999999999996</v>
      </c>
      <c r="H800">
        <v>0.69799999999999995</v>
      </c>
      <c r="I800">
        <v>0.79600000000000004</v>
      </c>
      <c r="J800">
        <v>0.77800000000000002</v>
      </c>
      <c r="K800">
        <v>0.77800000000000002</v>
      </c>
      <c r="L800">
        <v>-99.998999999999995</v>
      </c>
      <c r="M800">
        <v>-99.998999999999995</v>
      </c>
      <c r="Q800" s="2">
        <f t="shared" si="62"/>
        <v>-0.53892104946123665</v>
      </c>
      <c r="T800" s="2">
        <f t="shared" si="63"/>
        <v>241985.36882056345</v>
      </c>
      <c r="W800" s="2">
        <f t="shared" si="64"/>
        <v>241985.36882056345</v>
      </c>
    </row>
    <row r="801" spans="1:23">
      <c r="A801">
        <v>1794</v>
      </c>
      <c r="B801">
        <v>9</v>
      </c>
      <c r="C801">
        <v>32</v>
      </c>
      <c r="D801">
        <v>2.2410000000000001</v>
      </c>
      <c r="E801" s="2">
        <f t="shared" si="60"/>
        <v>2</v>
      </c>
      <c r="F801" s="2">
        <f t="shared" si="61"/>
        <v>877</v>
      </c>
      <c r="G801">
        <v>1.018</v>
      </c>
      <c r="H801">
        <v>0.69799999999999995</v>
      </c>
      <c r="I801">
        <v>0.79600000000000004</v>
      </c>
      <c r="J801">
        <v>0.77800000000000002</v>
      </c>
      <c r="K801">
        <v>0.77800000000000002</v>
      </c>
      <c r="L801">
        <v>-99.998999999999995</v>
      </c>
      <c r="M801">
        <v>-99.998999999999995</v>
      </c>
      <c r="Q801" s="2">
        <f t="shared" si="62"/>
        <v>-1.0308342330043234</v>
      </c>
      <c r="T801" s="2">
        <f t="shared" si="63"/>
        <v>200477.55924004214</v>
      </c>
      <c r="W801" s="2">
        <f t="shared" si="64"/>
        <v>200477.55924004214</v>
      </c>
    </row>
    <row r="802" spans="1:23">
      <c r="A802">
        <v>1795</v>
      </c>
      <c r="B802">
        <v>9</v>
      </c>
      <c r="C802">
        <v>32</v>
      </c>
      <c r="D802">
        <v>2.5960000000000001</v>
      </c>
      <c r="E802" s="2">
        <f t="shared" si="60"/>
        <v>2.5</v>
      </c>
      <c r="F802" s="2">
        <f t="shared" si="61"/>
        <v>910</v>
      </c>
      <c r="G802">
        <v>1.0980000000000001</v>
      </c>
      <c r="H802">
        <v>0.69799999999999995</v>
      </c>
      <c r="I802">
        <v>0.79600000000000004</v>
      </c>
      <c r="J802">
        <v>0.77800000000000002</v>
      </c>
      <c r="K802">
        <v>0.77800000000000002</v>
      </c>
      <c r="L802">
        <v>-99.998999999999995</v>
      </c>
      <c r="M802">
        <v>-99.998999999999995</v>
      </c>
      <c r="Q802" s="2">
        <f t="shared" si="62"/>
        <v>-0.93530404692237834</v>
      </c>
      <c r="T802" s="2">
        <f t="shared" si="63"/>
        <v>208538.43035660946</v>
      </c>
      <c r="W802" s="2">
        <f t="shared" si="64"/>
        <v>208538.43035660946</v>
      </c>
    </row>
    <row r="803" spans="1:23">
      <c r="A803">
        <v>1796</v>
      </c>
      <c r="B803">
        <v>9</v>
      </c>
      <c r="C803">
        <v>32</v>
      </c>
      <c r="D803">
        <v>2.625</v>
      </c>
      <c r="E803" s="2">
        <f t="shared" si="60"/>
        <v>2.5</v>
      </c>
      <c r="F803" s="2">
        <f t="shared" si="61"/>
        <v>912</v>
      </c>
      <c r="G803">
        <v>1.07</v>
      </c>
      <c r="H803">
        <v>0.69799999999999995</v>
      </c>
      <c r="I803">
        <v>0.79600000000000004</v>
      </c>
      <c r="J803">
        <v>0.77800000000000002</v>
      </c>
      <c r="K803">
        <v>0.77800000000000002</v>
      </c>
      <c r="L803">
        <v>-99.998999999999995</v>
      </c>
      <c r="M803">
        <v>-99.998999999999995</v>
      </c>
      <c r="Q803" s="2">
        <f t="shared" si="62"/>
        <v>-0.9275001725663885</v>
      </c>
      <c r="T803" s="2">
        <f t="shared" si="63"/>
        <v>209196.92405345579</v>
      </c>
      <c r="W803" s="2">
        <f t="shared" si="64"/>
        <v>209196.92405345579</v>
      </c>
    </row>
    <row r="804" spans="1:23">
      <c r="A804">
        <v>1797</v>
      </c>
      <c r="B804">
        <v>9</v>
      </c>
      <c r="C804">
        <v>32</v>
      </c>
      <c r="D804">
        <v>1.948</v>
      </c>
      <c r="E804" s="2">
        <f t="shared" si="60"/>
        <v>2</v>
      </c>
      <c r="F804" s="2">
        <f t="shared" si="61"/>
        <v>846</v>
      </c>
      <c r="G804">
        <v>0.94399999999999995</v>
      </c>
      <c r="H804">
        <v>0.69799999999999995</v>
      </c>
      <c r="I804">
        <v>0.79600000000000004</v>
      </c>
      <c r="J804">
        <v>0.77800000000000002</v>
      </c>
      <c r="K804">
        <v>0.77800000000000002</v>
      </c>
      <c r="L804">
        <v>-99.998999999999995</v>
      </c>
      <c r="M804">
        <v>-99.998999999999995</v>
      </c>
      <c r="Q804" s="2">
        <f t="shared" si="62"/>
        <v>-1.1096802739113938</v>
      </c>
      <c r="T804" s="2">
        <f t="shared" si="63"/>
        <v>193824.50223397388</v>
      </c>
      <c r="W804" s="2">
        <f t="shared" si="64"/>
        <v>193824.50223397388</v>
      </c>
    </row>
    <row r="805" spans="1:23">
      <c r="A805">
        <v>1798</v>
      </c>
      <c r="B805">
        <v>9</v>
      </c>
      <c r="C805">
        <v>32</v>
      </c>
      <c r="D805">
        <v>-0.80400000000000005</v>
      </c>
      <c r="E805" s="2">
        <f t="shared" si="60"/>
        <v>-1</v>
      </c>
      <c r="F805" s="2">
        <f t="shared" si="61"/>
        <v>420</v>
      </c>
      <c r="G805">
        <v>0.74399999999999999</v>
      </c>
      <c r="H805">
        <v>0.69799999999999995</v>
      </c>
      <c r="I805">
        <v>0.79600000000000004</v>
      </c>
      <c r="J805">
        <v>0.77800000000000002</v>
      </c>
      <c r="K805">
        <v>0.77800000000000002</v>
      </c>
      <c r="L805">
        <v>-99.998999999999995</v>
      </c>
      <c r="M805">
        <v>-99.998999999999995</v>
      </c>
      <c r="Q805" s="2">
        <f t="shared" si="62"/>
        <v>-1.8502410403832621</v>
      </c>
      <c r="T805" s="2">
        <f t="shared" si="63"/>
        <v>131335.72107117594</v>
      </c>
      <c r="W805" s="2">
        <f t="shared" si="64"/>
        <v>131335.72107117594</v>
      </c>
    </row>
    <row r="806" spans="1:23">
      <c r="A806">
        <v>1799</v>
      </c>
      <c r="B806">
        <v>9</v>
      </c>
      <c r="C806">
        <v>32</v>
      </c>
      <c r="D806">
        <v>2.73</v>
      </c>
      <c r="E806" s="2">
        <f t="shared" si="60"/>
        <v>2.5</v>
      </c>
      <c r="F806" s="2">
        <f t="shared" si="61"/>
        <v>922</v>
      </c>
      <c r="G806">
        <v>0.5</v>
      </c>
      <c r="H806">
        <v>0.69799999999999995</v>
      </c>
      <c r="I806">
        <v>0.79600000000000004</v>
      </c>
      <c r="J806">
        <v>0.77800000000000002</v>
      </c>
      <c r="K806">
        <v>0.77800000000000002</v>
      </c>
      <c r="L806">
        <v>-99.998999999999995</v>
      </c>
      <c r="M806">
        <v>-99.998999999999995</v>
      </c>
      <c r="Q806" s="2">
        <f t="shared" si="62"/>
        <v>-0.89924476541539056</v>
      </c>
      <c r="T806" s="2">
        <f t="shared" si="63"/>
        <v>211581.12536962359</v>
      </c>
      <c r="W806" s="2">
        <f t="shared" si="64"/>
        <v>211581.12536962359</v>
      </c>
    </row>
    <row r="807" spans="1:23">
      <c r="A807">
        <v>1800</v>
      </c>
      <c r="B807">
        <v>9</v>
      </c>
      <c r="C807">
        <v>32</v>
      </c>
      <c r="D807">
        <v>-0.42599999999999999</v>
      </c>
      <c r="E807" s="2">
        <f t="shared" si="60"/>
        <v>-0.5</v>
      </c>
      <c r="F807" s="2">
        <f t="shared" si="61"/>
        <v>493</v>
      </c>
      <c r="G807">
        <v>0.23699999999999999</v>
      </c>
      <c r="H807">
        <v>0.69799999999999995</v>
      </c>
      <c r="I807">
        <v>0.79600000000000004</v>
      </c>
      <c r="J807">
        <v>0.77800000000000002</v>
      </c>
      <c r="K807">
        <v>0.77800000000000002</v>
      </c>
      <c r="L807">
        <v>-99.998999999999995</v>
      </c>
      <c r="M807">
        <v>-99.998999999999995</v>
      </c>
      <c r="Q807" s="2">
        <f t="shared" si="62"/>
        <v>-1.7485215746396696</v>
      </c>
      <c r="T807" s="2">
        <f t="shared" si="63"/>
        <v>139918.84580938003</v>
      </c>
      <c r="W807" s="2">
        <f t="shared" si="64"/>
        <v>139918.84580938003</v>
      </c>
    </row>
    <row r="808" spans="1:23">
      <c r="A808">
        <v>1801</v>
      </c>
      <c r="B808">
        <v>9</v>
      </c>
      <c r="C808">
        <v>32</v>
      </c>
      <c r="D808">
        <v>-4.05</v>
      </c>
      <c r="E808" s="2">
        <f t="shared" si="60"/>
        <v>-4</v>
      </c>
      <c r="F808" s="2">
        <f t="shared" si="61"/>
        <v>36</v>
      </c>
      <c r="G808">
        <v>-8.9999999999999993E-3</v>
      </c>
      <c r="H808">
        <v>0.69799999999999995</v>
      </c>
      <c r="I808">
        <v>0.79600000000000004</v>
      </c>
      <c r="J808">
        <v>0.77800000000000002</v>
      </c>
      <c r="K808">
        <v>0.77800000000000002</v>
      </c>
      <c r="L808">
        <v>-99.998999999999995</v>
      </c>
      <c r="M808">
        <v>-99.998999999999995</v>
      </c>
      <c r="Q808" s="2">
        <f t="shared" si="62"/>
        <v>-2.7237367700226818</v>
      </c>
      <c r="T808" s="2">
        <f t="shared" si="63"/>
        <v>57629.840382788592</v>
      </c>
      <c r="W808" s="2">
        <f t="shared" si="64"/>
        <v>57629.840382788592</v>
      </c>
    </row>
    <row r="809" spans="1:23">
      <c r="A809">
        <v>1802</v>
      </c>
      <c r="B809">
        <v>9</v>
      </c>
      <c r="C809">
        <v>32</v>
      </c>
      <c r="D809">
        <v>3.9E-2</v>
      </c>
      <c r="E809" s="2">
        <f t="shared" si="60"/>
        <v>0</v>
      </c>
      <c r="F809" s="2">
        <f t="shared" si="61"/>
        <v>573</v>
      </c>
      <c r="G809">
        <v>-0.20699999999999999</v>
      </c>
      <c r="H809">
        <v>0.69799999999999995</v>
      </c>
      <c r="I809">
        <v>0.79600000000000004</v>
      </c>
      <c r="J809">
        <v>0.77800000000000002</v>
      </c>
      <c r="K809">
        <v>0.77800000000000002</v>
      </c>
      <c r="L809">
        <v>-99.998999999999995</v>
      </c>
      <c r="M809">
        <v>-99.998999999999995</v>
      </c>
      <c r="Q809" s="2">
        <f t="shared" si="62"/>
        <v>-1.6233904858281076</v>
      </c>
      <c r="T809" s="2">
        <f t="shared" si="63"/>
        <v>150477.45163812314</v>
      </c>
      <c r="W809" s="2">
        <f t="shared" si="64"/>
        <v>150477.45163812314</v>
      </c>
    </row>
    <row r="810" spans="1:23">
      <c r="A810">
        <v>1803</v>
      </c>
      <c r="B810">
        <v>9</v>
      </c>
      <c r="C810">
        <v>32</v>
      </c>
      <c r="D810">
        <v>1.0680000000000001</v>
      </c>
      <c r="E810" s="2">
        <f t="shared" si="60"/>
        <v>1</v>
      </c>
      <c r="F810" s="2">
        <f t="shared" si="61"/>
        <v>741</v>
      </c>
      <c r="G810">
        <v>-0.35699999999999998</v>
      </c>
      <c r="H810">
        <v>0.69799999999999995</v>
      </c>
      <c r="I810">
        <v>0.79600000000000004</v>
      </c>
      <c r="J810">
        <v>0.77800000000000002</v>
      </c>
      <c r="K810">
        <v>0.77800000000000002</v>
      </c>
      <c r="L810">
        <v>-99.998999999999995</v>
      </c>
      <c r="M810">
        <v>-99.998999999999995</v>
      </c>
      <c r="Q810" s="2">
        <f t="shared" si="62"/>
        <v>-1.3464874957483284</v>
      </c>
      <c r="T810" s="2">
        <f t="shared" si="63"/>
        <v>173842.6245365676</v>
      </c>
      <c r="W810" s="2">
        <f t="shared" si="64"/>
        <v>173842.6245365676</v>
      </c>
    </row>
    <row r="811" spans="1:23">
      <c r="A811">
        <v>1804</v>
      </c>
      <c r="B811">
        <v>9</v>
      </c>
      <c r="C811">
        <v>32</v>
      </c>
      <c r="D811">
        <v>0.95899999999999996</v>
      </c>
      <c r="E811" s="2">
        <f t="shared" si="60"/>
        <v>1</v>
      </c>
      <c r="F811" s="2">
        <f t="shared" si="61"/>
        <v>720</v>
      </c>
      <c r="G811">
        <v>-0.45800000000000002</v>
      </c>
      <c r="H811">
        <v>0.69799999999999995</v>
      </c>
      <c r="I811">
        <v>0.79600000000000004</v>
      </c>
      <c r="J811">
        <v>0.77800000000000002</v>
      </c>
      <c r="K811">
        <v>0.77800000000000002</v>
      </c>
      <c r="L811">
        <v>-99.998999999999995</v>
      </c>
      <c r="M811">
        <v>-99.998999999999995</v>
      </c>
      <c r="Q811" s="2">
        <f t="shared" si="62"/>
        <v>-1.3758192993622216</v>
      </c>
      <c r="T811" s="2">
        <f t="shared" si="63"/>
        <v>171367.59650359338</v>
      </c>
      <c r="W811" s="2">
        <f t="shared" si="64"/>
        <v>171367.59650359338</v>
      </c>
    </row>
    <row r="812" spans="1:23">
      <c r="A812">
        <v>1805</v>
      </c>
      <c r="B812">
        <v>9</v>
      </c>
      <c r="C812">
        <v>32</v>
      </c>
      <c r="D812">
        <v>-3.806</v>
      </c>
      <c r="E812" s="2">
        <f t="shared" si="60"/>
        <v>-4</v>
      </c>
      <c r="F812" s="2">
        <f t="shared" si="61"/>
        <v>52</v>
      </c>
      <c r="G812">
        <v>-0.499</v>
      </c>
      <c r="H812">
        <v>0.69799999999999995</v>
      </c>
      <c r="I812">
        <v>0.79600000000000004</v>
      </c>
      <c r="J812">
        <v>0.77800000000000002</v>
      </c>
      <c r="K812">
        <v>0.77800000000000002</v>
      </c>
      <c r="L812">
        <v>-99.998999999999995</v>
      </c>
      <c r="M812">
        <v>-99.998999999999995</v>
      </c>
      <c r="Q812" s="2">
        <f t="shared" si="62"/>
        <v>-2.6580765857860778</v>
      </c>
      <c r="T812" s="2">
        <f t="shared" si="63"/>
        <v>63170.27010797846</v>
      </c>
      <c r="W812" s="2">
        <f t="shared" si="64"/>
        <v>63170.27010797846</v>
      </c>
    </row>
    <row r="813" spans="1:23">
      <c r="A813">
        <v>1806</v>
      </c>
      <c r="B813">
        <v>9</v>
      </c>
      <c r="C813">
        <v>32</v>
      </c>
      <c r="D813">
        <v>-2.8130000000000002</v>
      </c>
      <c r="E813" s="2">
        <f t="shared" si="60"/>
        <v>-3</v>
      </c>
      <c r="F813" s="2">
        <f t="shared" si="61"/>
        <v>133</v>
      </c>
      <c r="G813">
        <v>-0.46300000000000002</v>
      </c>
      <c r="H813">
        <v>0.69799999999999995</v>
      </c>
      <c r="I813">
        <v>0.79600000000000004</v>
      </c>
      <c r="J813">
        <v>0.77800000000000002</v>
      </c>
      <c r="K813">
        <v>0.77800000000000002</v>
      </c>
      <c r="L813">
        <v>-99.998999999999995</v>
      </c>
      <c r="M813">
        <v>-99.998999999999995</v>
      </c>
      <c r="Q813" s="2">
        <f t="shared" si="62"/>
        <v>-2.3908611638723549</v>
      </c>
      <c r="T813" s="2">
        <f t="shared" si="63"/>
        <v>85718.002555165382</v>
      </c>
      <c r="W813" s="2">
        <f t="shared" si="64"/>
        <v>85718.002555165382</v>
      </c>
    </row>
    <row r="814" spans="1:23">
      <c r="A814">
        <v>1807</v>
      </c>
      <c r="B814">
        <v>9</v>
      </c>
      <c r="C814">
        <v>32</v>
      </c>
      <c r="D814">
        <v>0.42699999999999999</v>
      </c>
      <c r="E814" s="2">
        <f t="shared" si="60"/>
        <v>0.5</v>
      </c>
      <c r="F814" s="2">
        <f t="shared" si="61"/>
        <v>639</v>
      </c>
      <c r="G814">
        <v>-0.35499999999999998</v>
      </c>
      <c r="H814">
        <v>0.69799999999999995</v>
      </c>
      <c r="I814">
        <v>0.79600000000000004</v>
      </c>
      <c r="J814">
        <v>0.77800000000000002</v>
      </c>
      <c r="K814">
        <v>0.77800000000000002</v>
      </c>
      <c r="L814">
        <v>-99.998999999999995</v>
      </c>
      <c r="M814">
        <v>-99.998999999999995</v>
      </c>
      <c r="Q814" s="2">
        <f t="shared" si="62"/>
        <v>-1.5189800289272775</v>
      </c>
      <c r="T814" s="2">
        <f t="shared" si="63"/>
        <v>159287.64316834317</v>
      </c>
      <c r="W814" s="2">
        <f t="shared" si="64"/>
        <v>159287.64316834317</v>
      </c>
    </row>
    <row r="815" spans="1:23">
      <c r="A815">
        <v>1808</v>
      </c>
      <c r="B815">
        <v>9</v>
      </c>
      <c r="C815">
        <v>32</v>
      </c>
      <c r="D815">
        <v>-1.911</v>
      </c>
      <c r="E815" s="2">
        <f t="shared" si="60"/>
        <v>-2</v>
      </c>
      <c r="F815" s="2">
        <f t="shared" si="61"/>
        <v>255</v>
      </c>
      <c r="G815">
        <v>-0.19900000000000001</v>
      </c>
      <c r="H815">
        <v>0.69799999999999995</v>
      </c>
      <c r="I815">
        <v>0.79600000000000004</v>
      </c>
      <c r="J815">
        <v>0.77800000000000002</v>
      </c>
      <c r="K815">
        <v>0.77800000000000002</v>
      </c>
      <c r="L815">
        <v>-99.998999999999995</v>
      </c>
      <c r="M815">
        <v>-99.998999999999995</v>
      </c>
      <c r="Q815" s="2">
        <f t="shared" si="62"/>
        <v>-2.1481337614894969</v>
      </c>
      <c r="T815" s="2">
        <f t="shared" si="63"/>
        <v>106199.42719500687</v>
      </c>
      <c r="W815" s="2">
        <f t="shared" si="64"/>
        <v>106199.42719500687</v>
      </c>
    </row>
    <row r="816" spans="1:23">
      <c r="A816">
        <v>1809</v>
      </c>
      <c r="B816">
        <v>9</v>
      </c>
      <c r="C816">
        <v>32</v>
      </c>
      <c r="D816">
        <v>1.054</v>
      </c>
      <c r="E816" s="2">
        <f t="shared" si="60"/>
        <v>1</v>
      </c>
      <c r="F816" s="2">
        <f t="shared" si="61"/>
        <v>738</v>
      </c>
      <c r="G816">
        <v>-2.3E-2</v>
      </c>
      <c r="H816">
        <v>0.69799999999999995</v>
      </c>
      <c r="I816">
        <v>0.79600000000000004</v>
      </c>
      <c r="J816">
        <v>0.77800000000000002</v>
      </c>
      <c r="K816">
        <v>0.77800000000000002</v>
      </c>
      <c r="L816">
        <v>-99.998999999999995</v>
      </c>
      <c r="M816">
        <v>-99.998999999999995</v>
      </c>
      <c r="Q816" s="2">
        <f t="shared" si="62"/>
        <v>-1.3502548833684616</v>
      </c>
      <c r="T816" s="2">
        <f t="shared" si="63"/>
        <v>173524.73102774518</v>
      </c>
      <c r="W816" s="2">
        <f t="shared" si="64"/>
        <v>173524.73102774518</v>
      </c>
    </row>
    <row r="817" spans="1:23">
      <c r="A817">
        <v>1810</v>
      </c>
      <c r="B817">
        <v>9</v>
      </c>
      <c r="C817">
        <v>32</v>
      </c>
      <c r="D817">
        <v>2.0110000000000001</v>
      </c>
      <c r="E817" s="2">
        <f t="shared" si="60"/>
        <v>2</v>
      </c>
      <c r="F817" s="2">
        <f t="shared" si="61"/>
        <v>852</v>
      </c>
      <c r="G817">
        <v>0.14099999999999999</v>
      </c>
      <c r="H817">
        <v>0.69799999999999995</v>
      </c>
      <c r="I817">
        <v>0.79600000000000004</v>
      </c>
      <c r="J817">
        <v>0.77800000000000002</v>
      </c>
      <c r="K817">
        <v>0.77800000000000002</v>
      </c>
      <c r="L817">
        <v>-99.998999999999995</v>
      </c>
      <c r="M817">
        <v>-99.998999999999995</v>
      </c>
      <c r="Q817" s="2">
        <f t="shared" si="62"/>
        <v>-1.0927270296207952</v>
      </c>
      <c r="T817" s="2">
        <f t="shared" si="63"/>
        <v>195255.02302367456</v>
      </c>
      <c r="W817" s="2">
        <f t="shared" si="64"/>
        <v>195255.02302367456</v>
      </c>
    </row>
    <row r="818" spans="1:23">
      <c r="A818">
        <v>1811</v>
      </c>
      <c r="B818">
        <v>9</v>
      </c>
      <c r="C818">
        <v>32</v>
      </c>
      <c r="D818">
        <v>2.3980000000000001</v>
      </c>
      <c r="E818" s="2">
        <f t="shared" si="60"/>
        <v>2.5</v>
      </c>
      <c r="F818" s="2">
        <f t="shared" si="61"/>
        <v>895</v>
      </c>
      <c r="G818">
        <v>0.26400000000000001</v>
      </c>
      <c r="H818">
        <v>0.69799999999999995</v>
      </c>
      <c r="I818">
        <v>0.79600000000000004</v>
      </c>
      <c r="J818">
        <v>0.77800000000000002</v>
      </c>
      <c r="K818">
        <v>0.77800000000000002</v>
      </c>
      <c r="L818">
        <v>-99.998999999999995</v>
      </c>
      <c r="M818">
        <v>-99.998999999999995</v>
      </c>
      <c r="Q818" s="2">
        <f t="shared" si="62"/>
        <v>-0.98858567183568857</v>
      </c>
      <c r="T818" s="2">
        <f t="shared" si="63"/>
        <v>204042.50787469302</v>
      </c>
      <c r="W818" s="2">
        <f t="shared" si="64"/>
        <v>204042.50787469302</v>
      </c>
    </row>
    <row r="819" spans="1:23">
      <c r="A819">
        <v>1812</v>
      </c>
      <c r="B819">
        <v>9</v>
      </c>
      <c r="C819">
        <v>32</v>
      </c>
      <c r="D819">
        <v>-0.9</v>
      </c>
      <c r="E819" s="2">
        <f t="shared" si="60"/>
        <v>-1</v>
      </c>
      <c r="F819" s="2">
        <f t="shared" si="61"/>
        <v>404</v>
      </c>
      <c r="G819">
        <v>0.33700000000000002</v>
      </c>
      <c r="H819">
        <v>0.69799999999999995</v>
      </c>
      <c r="I819">
        <v>0.79600000000000004</v>
      </c>
      <c r="J819">
        <v>0.77800000000000002</v>
      </c>
      <c r="K819">
        <v>0.77800000000000002</v>
      </c>
      <c r="L819">
        <v>-99.998999999999995</v>
      </c>
      <c r="M819">
        <v>-99.998999999999995</v>
      </c>
      <c r="Q819" s="2">
        <f t="shared" si="62"/>
        <v>-1.8760745554927458</v>
      </c>
      <c r="T819" s="2">
        <f t="shared" si="63"/>
        <v>129155.87986782254</v>
      </c>
      <c r="W819" s="2">
        <f t="shared" si="64"/>
        <v>129155.87986782254</v>
      </c>
    </row>
    <row r="820" spans="1:23">
      <c r="A820">
        <v>1813</v>
      </c>
      <c r="B820">
        <v>9</v>
      </c>
      <c r="C820">
        <v>32</v>
      </c>
      <c r="D820">
        <v>0.12</v>
      </c>
      <c r="E820" s="2">
        <f t="shared" si="60"/>
        <v>0</v>
      </c>
      <c r="F820" s="2">
        <f t="shared" si="61"/>
        <v>584</v>
      </c>
      <c r="G820">
        <v>0.36499999999999999</v>
      </c>
      <c r="H820">
        <v>0.69799999999999995</v>
      </c>
      <c r="I820">
        <v>0.79600000000000004</v>
      </c>
      <c r="J820">
        <v>0.77800000000000002</v>
      </c>
      <c r="K820">
        <v>0.77800000000000002</v>
      </c>
      <c r="L820">
        <v>-99.998999999999995</v>
      </c>
      <c r="M820">
        <v>-99.998999999999995</v>
      </c>
      <c r="Q820" s="2">
        <f t="shared" si="62"/>
        <v>-1.6015934574544808</v>
      </c>
      <c r="T820" s="2">
        <f t="shared" si="63"/>
        <v>152316.69265345257</v>
      </c>
      <c r="W820" s="2">
        <f t="shared" si="64"/>
        <v>152316.69265345257</v>
      </c>
    </row>
    <row r="821" spans="1:23">
      <c r="A821">
        <v>1814</v>
      </c>
      <c r="B821">
        <v>9</v>
      </c>
      <c r="C821">
        <v>32</v>
      </c>
      <c r="D821">
        <v>1.234</v>
      </c>
      <c r="E821" s="2">
        <f t="shared" si="60"/>
        <v>1</v>
      </c>
      <c r="F821" s="2">
        <f t="shared" si="61"/>
        <v>765</v>
      </c>
      <c r="G821">
        <v>0.34799999999999998</v>
      </c>
      <c r="H821">
        <v>0.69799999999999995</v>
      </c>
      <c r="I821">
        <v>0.79600000000000004</v>
      </c>
      <c r="J821">
        <v>0.77800000000000002</v>
      </c>
      <c r="K821">
        <v>0.77800000000000002</v>
      </c>
      <c r="L821">
        <v>-99.998999999999995</v>
      </c>
      <c r="M821">
        <v>-99.998999999999995</v>
      </c>
      <c r="Q821" s="2">
        <f t="shared" si="62"/>
        <v>-1.3018170425381794</v>
      </c>
      <c r="T821" s="2">
        <f t="shared" si="63"/>
        <v>177611.93328403286</v>
      </c>
      <c r="W821" s="2">
        <f t="shared" si="64"/>
        <v>177611.93328403286</v>
      </c>
    </row>
    <row r="822" spans="1:23">
      <c r="A822">
        <v>1815</v>
      </c>
      <c r="B822">
        <v>9</v>
      </c>
      <c r="C822">
        <v>32</v>
      </c>
      <c r="D822">
        <v>0.57599999999999996</v>
      </c>
      <c r="E822" s="2">
        <f t="shared" si="60"/>
        <v>0.5</v>
      </c>
      <c r="F822" s="2">
        <f t="shared" si="61"/>
        <v>666</v>
      </c>
      <c r="G822">
        <v>0.28499999999999998</v>
      </c>
      <c r="H822">
        <v>0.69799999999999995</v>
      </c>
      <c r="I822">
        <v>0.79600000000000004</v>
      </c>
      <c r="J822">
        <v>0.77800000000000002</v>
      </c>
      <c r="K822">
        <v>0.77800000000000002</v>
      </c>
      <c r="L822">
        <v>-99.998999999999995</v>
      </c>
      <c r="M822">
        <v>-99.998999999999995</v>
      </c>
      <c r="Q822" s="2">
        <f t="shared" si="62"/>
        <v>-1.4788842606844328</v>
      </c>
      <c r="T822" s="2">
        <f t="shared" si="63"/>
        <v>162670.9383693813</v>
      </c>
      <c r="W822" s="2">
        <f t="shared" si="64"/>
        <v>162670.9383693813</v>
      </c>
    </row>
    <row r="823" spans="1:23">
      <c r="A823">
        <v>1816</v>
      </c>
      <c r="B823">
        <v>9</v>
      </c>
      <c r="C823">
        <v>32</v>
      </c>
      <c r="D823">
        <v>-0.373</v>
      </c>
      <c r="E823" s="2">
        <f t="shared" si="60"/>
        <v>-0.5</v>
      </c>
      <c r="F823" s="2">
        <f t="shared" si="61"/>
        <v>505</v>
      </c>
      <c r="G823">
        <v>0.17799999999999999</v>
      </c>
      <c r="H823">
        <v>0.69799999999999995</v>
      </c>
      <c r="I823">
        <v>0.79600000000000004</v>
      </c>
      <c r="J823">
        <v>0.77800000000000002</v>
      </c>
      <c r="K823">
        <v>0.77800000000000002</v>
      </c>
      <c r="L823">
        <v>-99.998999999999995</v>
      </c>
      <c r="M823">
        <v>-99.998999999999995</v>
      </c>
      <c r="Q823" s="2">
        <f t="shared" si="62"/>
        <v>-1.7342593215063089</v>
      </c>
      <c r="T823" s="2">
        <f t="shared" si="63"/>
        <v>141122.29980706473</v>
      </c>
      <c r="W823" s="2">
        <f t="shared" si="64"/>
        <v>141122.29980706473</v>
      </c>
    </row>
    <row r="824" spans="1:23">
      <c r="A824">
        <v>1817</v>
      </c>
      <c r="B824">
        <v>9</v>
      </c>
      <c r="C824">
        <v>32</v>
      </c>
      <c r="D824">
        <v>2.5379999999999998</v>
      </c>
      <c r="E824" s="2">
        <f t="shared" si="60"/>
        <v>2.5</v>
      </c>
      <c r="F824" s="2">
        <f t="shared" si="61"/>
        <v>903</v>
      </c>
      <c r="G824">
        <v>3.5000000000000003E-2</v>
      </c>
      <c r="H824">
        <v>0.69799999999999995</v>
      </c>
      <c r="I824">
        <v>0.79600000000000004</v>
      </c>
      <c r="J824">
        <v>0.77800000000000002</v>
      </c>
      <c r="K824">
        <v>0.77800000000000002</v>
      </c>
      <c r="L824">
        <v>-99.998999999999995</v>
      </c>
      <c r="M824">
        <v>-99.998999999999995</v>
      </c>
      <c r="Q824" s="2">
        <f t="shared" si="62"/>
        <v>-0.95091179563435824</v>
      </c>
      <c r="T824" s="2">
        <f t="shared" si="63"/>
        <v>207221.44296291674</v>
      </c>
      <c r="W824" s="2">
        <f t="shared" si="64"/>
        <v>207221.44296291674</v>
      </c>
    </row>
    <row r="825" spans="1:23">
      <c r="A825">
        <v>1818</v>
      </c>
      <c r="B825">
        <v>9</v>
      </c>
      <c r="C825">
        <v>32</v>
      </c>
      <c r="D825">
        <v>0.16700000000000001</v>
      </c>
      <c r="E825" s="2">
        <f t="shared" si="60"/>
        <v>0</v>
      </c>
      <c r="F825" s="2">
        <f t="shared" si="61"/>
        <v>596</v>
      </c>
      <c r="G825">
        <v>-0.13800000000000001</v>
      </c>
      <c r="H825">
        <v>0.69799999999999995</v>
      </c>
      <c r="I825">
        <v>0.79600000000000004</v>
      </c>
      <c r="J825">
        <v>0.77800000000000002</v>
      </c>
      <c r="K825">
        <v>0.77800000000000002</v>
      </c>
      <c r="L825">
        <v>-99.998999999999995</v>
      </c>
      <c r="M825">
        <v>-99.998999999999995</v>
      </c>
      <c r="Q825" s="2">
        <f t="shared" si="62"/>
        <v>-1.5889457990154625</v>
      </c>
      <c r="T825" s="2">
        <f t="shared" si="63"/>
        <v>153383.90657592771</v>
      </c>
      <c r="W825" s="2">
        <f t="shared" si="64"/>
        <v>153383.90657592771</v>
      </c>
    </row>
    <row r="826" spans="1:23">
      <c r="A826">
        <v>1819</v>
      </c>
      <c r="B826">
        <v>9</v>
      </c>
      <c r="C826">
        <v>32</v>
      </c>
      <c r="D826">
        <v>-0.23499999999999999</v>
      </c>
      <c r="E826" s="2">
        <f t="shared" si="60"/>
        <v>0</v>
      </c>
      <c r="F826" s="2">
        <f t="shared" si="61"/>
        <v>529</v>
      </c>
      <c r="G826">
        <v>-0.317</v>
      </c>
      <c r="H826">
        <v>0.69799999999999995</v>
      </c>
      <c r="I826">
        <v>0.79600000000000004</v>
      </c>
      <c r="J826">
        <v>0.77800000000000002</v>
      </c>
      <c r="K826">
        <v>0.77800000000000002</v>
      </c>
      <c r="L826">
        <v>-99.998999999999995</v>
      </c>
      <c r="M826">
        <v>-99.998999999999995</v>
      </c>
      <c r="Q826" s="2">
        <f t="shared" si="62"/>
        <v>-1.6971236435364259</v>
      </c>
      <c r="T826" s="2">
        <f t="shared" si="63"/>
        <v>144255.82153688525</v>
      </c>
      <c r="W826" s="2">
        <f t="shared" si="64"/>
        <v>144255.82153688525</v>
      </c>
    </row>
    <row r="827" spans="1:23">
      <c r="A827">
        <v>1820</v>
      </c>
      <c r="B827">
        <v>9</v>
      </c>
      <c r="C827">
        <v>32</v>
      </c>
      <c r="D827">
        <v>-3.1320000000000001</v>
      </c>
      <c r="E827" s="2">
        <f t="shared" si="60"/>
        <v>-3</v>
      </c>
      <c r="F827" s="2">
        <f t="shared" si="61"/>
        <v>98</v>
      </c>
      <c r="G827">
        <v>-0.47399999999999998</v>
      </c>
      <c r="H827">
        <v>0.69799999999999995</v>
      </c>
      <c r="I827">
        <v>0.79600000000000004</v>
      </c>
      <c r="J827">
        <v>0.77800000000000002</v>
      </c>
      <c r="K827">
        <v>0.77800000000000002</v>
      </c>
      <c r="L827">
        <v>-99.998999999999995</v>
      </c>
      <c r="M827">
        <v>-99.998999999999995</v>
      </c>
      <c r="Q827" s="2">
        <f t="shared" si="62"/>
        <v>-2.4767037817882436</v>
      </c>
      <c r="T827" s="2">
        <f t="shared" si="63"/>
        <v>78474.571889855608</v>
      </c>
      <c r="W827" s="2">
        <f t="shared" si="64"/>
        <v>78474.571889855608</v>
      </c>
    </row>
    <row r="828" spans="1:23">
      <c r="A828">
        <v>1821</v>
      </c>
      <c r="B828">
        <v>9</v>
      </c>
      <c r="C828">
        <v>32</v>
      </c>
      <c r="D828">
        <v>0.34799999999999998</v>
      </c>
      <c r="E828" s="2">
        <f t="shared" si="60"/>
        <v>0.5</v>
      </c>
      <c r="F828" s="2">
        <f t="shared" si="61"/>
        <v>627</v>
      </c>
      <c r="G828">
        <v>-0.58099999999999996</v>
      </c>
      <c r="H828">
        <v>0.69799999999999995</v>
      </c>
      <c r="I828">
        <v>0.79600000000000004</v>
      </c>
      <c r="J828">
        <v>0.77800000000000002</v>
      </c>
      <c r="K828">
        <v>0.77800000000000002</v>
      </c>
      <c r="L828">
        <v>-99.998999999999995</v>
      </c>
      <c r="M828">
        <v>-99.998999999999995</v>
      </c>
      <c r="Q828" s="2">
        <f t="shared" si="62"/>
        <v>-1.5402388590694567</v>
      </c>
      <c r="T828" s="2">
        <f t="shared" si="63"/>
        <v>157493.81551141693</v>
      </c>
      <c r="W828" s="2">
        <f t="shared" si="64"/>
        <v>157493.81551141693</v>
      </c>
    </row>
    <row r="829" spans="1:23">
      <c r="A829">
        <v>1822</v>
      </c>
      <c r="B829">
        <v>9</v>
      </c>
      <c r="C829">
        <v>32</v>
      </c>
      <c r="D829">
        <v>-3.258</v>
      </c>
      <c r="E829" s="2">
        <f t="shared" si="60"/>
        <v>-3.5</v>
      </c>
      <c r="F829" s="2">
        <f t="shared" si="61"/>
        <v>90</v>
      </c>
      <c r="G829">
        <v>-0.629</v>
      </c>
      <c r="H829">
        <v>0.69799999999999995</v>
      </c>
      <c r="I829">
        <v>0.79600000000000004</v>
      </c>
      <c r="J829">
        <v>0.77800000000000002</v>
      </c>
      <c r="K829">
        <v>0.77800000000000002</v>
      </c>
      <c r="L829">
        <v>-99.998999999999995</v>
      </c>
      <c r="M829">
        <v>-99.998999999999995</v>
      </c>
      <c r="Q829" s="2">
        <f t="shared" si="62"/>
        <v>-2.5106102703694408</v>
      </c>
      <c r="T829" s="2">
        <f t="shared" si="63"/>
        <v>75613.530310454255</v>
      </c>
      <c r="W829" s="2">
        <f t="shared" si="64"/>
        <v>75613.530310454255</v>
      </c>
    </row>
    <row r="830" spans="1:23">
      <c r="A830">
        <v>1823</v>
      </c>
      <c r="B830">
        <v>9</v>
      </c>
      <c r="C830">
        <v>32</v>
      </c>
      <c r="D830">
        <v>1.4999999999999999E-2</v>
      </c>
      <c r="E830" s="2">
        <f t="shared" si="60"/>
        <v>0</v>
      </c>
      <c r="F830" s="2">
        <f t="shared" si="61"/>
        <v>568</v>
      </c>
      <c r="G830">
        <v>-0.61</v>
      </c>
      <c r="H830">
        <v>0.69799999999999995</v>
      </c>
      <c r="I830">
        <v>0.79600000000000004</v>
      </c>
      <c r="J830">
        <v>0.77800000000000002</v>
      </c>
      <c r="K830">
        <v>0.77800000000000002</v>
      </c>
      <c r="L830">
        <v>-99.998999999999995</v>
      </c>
      <c r="M830">
        <v>-99.998999999999995</v>
      </c>
      <c r="Q830" s="2">
        <f t="shared" si="62"/>
        <v>-1.6298488646054785</v>
      </c>
      <c r="T830" s="2">
        <f t="shared" si="63"/>
        <v>149932.4913372848</v>
      </c>
      <c r="W830" s="2">
        <f t="shared" si="64"/>
        <v>149932.4913372848</v>
      </c>
    </row>
    <row r="831" spans="1:23">
      <c r="A831">
        <v>1824</v>
      </c>
      <c r="B831">
        <v>9</v>
      </c>
      <c r="C831">
        <v>32</v>
      </c>
      <c r="D831">
        <v>-3.95</v>
      </c>
      <c r="E831" s="2">
        <f t="shared" si="60"/>
        <v>-4</v>
      </c>
      <c r="F831" s="2">
        <f t="shared" si="61"/>
        <v>42</v>
      </c>
      <c r="G831">
        <v>-0.53100000000000003</v>
      </c>
      <c r="H831">
        <v>0.69799999999999995</v>
      </c>
      <c r="I831">
        <v>0.79600000000000004</v>
      </c>
      <c r="J831">
        <v>0.77800000000000002</v>
      </c>
      <c r="K831">
        <v>0.77800000000000002</v>
      </c>
      <c r="L831">
        <v>-99.998999999999995</v>
      </c>
      <c r="M831">
        <v>-99.998999999999995</v>
      </c>
      <c r="Q831" s="2">
        <f t="shared" si="62"/>
        <v>-2.6968268584503035</v>
      </c>
      <c r="T831" s="2">
        <f t="shared" si="63"/>
        <v>59900.50830294835</v>
      </c>
      <c r="W831" s="2">
        <f t="shared" si="64"/>
        <v>59900.50830294835</v>
      </c>
    </row>
    <row r="832" spans="1:23">
      <c r="A832">
        <v>1825</v>
      </c>
      <c r="B832">
        <v>9</v>
      </c>
      <c r="C832">
        <v>32</v>
      </c>
      <c r="D832">
        <v>1.3640000000000001</v>
      </c>
      <c r="E832" s="2">
        <f t="shared" si="60"/>
        <v>1.5</v>
      </c>
      <c r="F832" s="2">
        <f t="shared" si="61"/>
        <v>783</v>
      </c>
      <c r="G832">
        <v>-0.40500000000000003</v>
      </c>
      <c r="H832">
        <v>0.69799999999999995</v>
      </c>
      <c r="I832">
        <v>0.79600000000000004</v>
      </c>
      <c r="J832">
        <v>0.77800000000000002</v>
      </c>
      <c r="K832">
        <v>0.77800000000000002</v>
      </c>
      <c r="L832">
        <v>-99.998999999999995</v>
      </c>
      <c r="M832">
        <v>-99.998999999999995</v>
      </c>
      <c r="Q832" s="2">
        <f t="shared" si="62"/>
        <v>-1.2668341574940867</v>
      </c>
      <c r="T832" s="2">
        <f t="shared" si="63"/>
        <v>180563.8015802406</v>
      </c>
      <c r="W832" s="2">
        <f t="shared" si="64"/>
        <v>180563.8015802406</v>
      </c>
    </row>
    <row r="833" spans="1:23">
      <c r="A833">
        <v>1826</v>
      </c>
      <c r="B833">
        <v>9</v>
      </c>
      <c r="C833">
        <v>32</v>
      </c>
      <c r="D833">
        <v>1.2889999999999999</v>
      </c>
      <c r="E833" s="2">
        <f t="shared" si="60"/>
        <v>1.5</v>
      </c>
      <c r="F833" s="2">
        <f t="shared" si="61"/>
        <v>773</v>
      </c>
      <c r="G833">
        <v>-0.26100000000000001</v>
      </c>
      <c r="H833">
        <v>0.69799999999999995</v>
      </c>
      <c r="I833">
        <v>0.79600000000000004</v>
      </c>
      <c r="J833">
        <v>0.77800000000000002</v>
      </c>
      <c r="K833">
        <v>0.77800000000000002</v>
      </c>
      <c r="L833">
        <v>-99.998999999999995</v>
      </c>
      <c r="M833">
        <v>-99.998999999999995</v>
      </c>
      <c r="Q833" s="2">
        <f t="shared" si="62"/>
        <v>-1.2870165911733711</v>
      </c>
      <c r="T833" s="2">
        <f t="shared" si="63"/>
        <v>178860.80064012075</v>
      </c>
      <c r="W833" s="2">
        <f t="shared" si="64"/>
        <v>178860.80064012075</v>
      </c>
    </row>
    <row r="834" spans="1:23">
      <c r="A834">
        <v>1827</v>
      </c>
      <c r="B834">
        <v>9</v>
      </c>
      <c r="C834">
        <v>32</v>
      </c>
      <c r="D834">
        <v>1.0529999999999999</v>
      </c>
      <c r="E834" s="2">
        <f t="shared" si="60"/>
        <v>1</v>
      </c>
      <c r="F834" s="2">
        <f t="shared" si="61"/>
        <v>736</v>
      </c>
      <c r="G834">
        <v>-0.122</v>
      </c>
      <c r="H834">
        <v>0.69799999999999995</v>
      </c>
      <c r="I834">
        <v>0.79600000000000004</v>
      </c>
      <c r="J834">
        <v>0.77800000000000002</v>
      </c>
      <c r="K834">
        <v>0.77800000000000002</v>
      </c>
      <c r="L834">
        <v>-99.998999999999995</v>
      </c>
      <c r="M834">
        <v>-99.998999999999995</v>
      </c>
      <c r="Q834" s="2">
        <f t="shared" si="62"/>
        <v>-1.3505239824841853</v>
      </c>
      <c r="T834" s="2">
        <f t="shared" si="63"/>
        <v>173502.02434854361</v>
      </c>
      <c r="W834" s="2">
        <f t="shared" si="64"/>
        <v>173502.02434854361</v>
      </c>
    </row>
    <row r="835" spans="1:23">
      <c r="A835">
        <v>1828</v>
      </c>
      <c r="B835">
        <v>9</v>
      </c>
      <c r="C835">
        <v>32</v>
      </c>
      <c r="D835">
        <v>0.69299999999999995</v>
      </c>
      <c r="E835" s="2">
        <f t="shared" ref="E835:E898" si="65">IF(D835&gt;0,MROUND(D835,0.5),MROUND(D835,-0.5))</f>
        <v>0.5</v>
      </c>
      <c r="F835" s="2">
        <f t="shared" ref="F835:F898" si="66">RANK(D835,$D$3:$D$1011,1)</f>
        <v>683</v>
      </c>
      <c r="G835">
        <v>3.0000000000000001E-3</v>
      </c>
      <c r="H835">
        <v>0.69799999999999995</v>
      </c>
      <c r="I835">
        <v>0.79600000000000004</v>
      </c>
      <c r="J835">
        <v>0.77800000000000002</v>
      </c>
      <c r="K835">
        <v>0.77800000000000002</v>
      </c>
      <c r="L835">
        <v>-99.998999999999995</v>
      </c>
      <c r="M835">
        <v>-99.998999999999995</v>
      </c>
      <c r="Q835" s="2">
        <f t="shared" ref="Q835:Q898" si="67">$Q$1022+($Q$1021*D835)</f>
        <v>-1.4473996641447493</v>
      </c>
      <c r="T835" s="2">
        <f t="shared" ref="T835:T898" si="68">$T$1025+(Q835*$T$1024)</f>
        <v>165327.6198359683</v>
      </c>
      <c r="W835" s="2">
        <f t="shared" ref="W835:W898" si="69">$T$1025+(Q835*$T$1024)</f>
        <v>165327.6198359683</v>
      </c>
    </row>
    <row r="836" spans="1:23">
      <c r="A836">
        <v>1829</v>
      </c>
      <c r="B836">
        <v>9</v>
      </c>
      <c r="C836">
        <v>32</v>
      </c>
      <c r="D836">
        <v>-0.14000000000000001</v>
      </c>
      <c r="E836" s="2">
        <f t="shared" si="65"/>
        <v>0</v>
      </c>
      <c r="F836" s="2">
        <f t="shared" si="66"/>
        <v>545</v>
      </c>
      <c r="G836">
        <v>0.12</v>
      </c>
      <c r="H836">
        <v>0.69799999999999995</v>
      </c>
      <c r="I836">
        <v>0.79600000000000004</v>
      </c>
      <c r="J836">
        <v>0.77800000000000002</v>
      </c>
      <c r="K836">
        <v>0.77800000000000002</v>
      </c>
      <c r="L836">
        <v>-99.998999999999995</v>
      </c>
      <c r="M836">
        <v>-99.998999999999995</v>
      </c>
      <c r="Q836" s="2">
        <f t="shared" si="67"/>
        <v>-1.6715592275426658</v>
      </c>
      <c r="T836" s="2">
        <f t="shared" si="68"/>
        <v>146412.95606103708</v>
      </c>
      <c r="W836" s="2">
        <f t="shared" si="69"/>
        <v>146412.95606103708</v>
      </c>
    </row>
    <row r="837" spans="1:23">
      <c r="A837">
        <v>1830</v>
      </c>
      <c r="B837">
        <v>9</v>
      </c>
      <c r="C837">
        <v>32</v>
      </c>
      <c r="D837">
        <v>-0.93100000000000005</v>
      </c>
      <c r="E837" s="2">
        <f t="shared" si="65"/>
        <v>-1</v>
      </c>
      <c r="F837" s="2">
        <f t="shared" si="66"/>
        <v>401</v>
      </c>
      <c r="G837">
        <v>0.23699999999999999</v>
      </c>
      <c r="H837">
        <v>0.69799999999999995</v>
      </c>
      <c r="I837">
        <v>0.79600000000000004</v>
      </c>
      <c r="J837">
        <v>0.77800000000000002</v>
      </c>
      <c r="K837">
        <v>0.77800000000000002</v>
      </c>
      <c r="L837">
        <v>-99.998999999999995</v>
      </c>
      <c r="M837">
        <v>-99.998999999999995</v>
      </c>
      <c r="Q837" s="2">
        <f t="shared" si="67"/>
        <v>-1.8844166280801833</v>
      </c>
      <c r="T837" s="2">
        <f t="shared" si="68"/>
        <v>128451.97281257299</v>
      </c>
      <c r="W837" s="2">
        <f t="shared" si="69"/>
        <v>128451.97281257299</v>
      </c>
    </row>
    <row r="838" spans="1:23">
      <c r="A838">
        <v>1831</v>
      </c>
      <c r="B838">
        <v>9</v>
      </c>
      <c r="C838">
        <v>32</v>
      </c>
      <c r="D838">
        <v>-2.9340000000000002</v>
      </c>
      <c r="E838" s="2">
        <f t="shared" si="65"/>
        <v>-3</v>
      </c>
      <c r="F838" s="2">
        <f t="shared" si="66"/>
        <v>120</v>
      </c>
      <c r="G838">
        <v>0.36199999999999999</v>
      </c>
      <c r="H838">
        <v>0.69799999999999995</v>
      </c>
      <c r="I838">
        <v>0.79600000000000004</v>
      </c>
      <c r="J838">
        <v>0.77800000000000002</v>
      </c>
      <c r="K838">
        <v>0.77800000000000002</v>
      </c>
      <c r="L838">
        <v>-99.998999999999995</v>
      </c>
      <c r="M838">
        <v>-99.998999999999995</v>
      </c>
      <c r="Q838" s="2">
        <f t="shared" si="67"/>
        <v>-2.423422156874933</v>
      </c>
      <c r="T838" s="2">
        <f t="shared" si="68"/>
        <v>82970.494371772045</v>
      </c>
      <c r="W838" s="2">
        <f t="shared" si="69"/>
        <v>82970.494371772045</v>
      </c>
    </row>
    <row r="839" spans="1:23">
      <c r="A839">
        <v>1832</v>
      </c>
      <c r="B839">
        <v>9</v>
      </c>
      <c r="C839">
        <v>32</v>
      </c>
      <c r="D839">
        <v>-1.171</v>
      </c>
      <c r="E839" s="2">
        <f t="shared" si="65"/>
        <v>-1</v>
      </c>
      <c r="F839" s="2">
        <f t="shared" si="66"/>
        <v>373</v>
      </c>
      <c r="G839">
        <v>0.48899999999999999</v>
      </c>
      <c r="H839">
        <v>0.69799999999999995</v>
      </c>
      <c r="I839">
        <v>0.79600000000000004</v>
      </c>
      <c r="J839">
        <v>0.77800000000000002</v>
      </c>
      <c r="K839">
        <v>0.77800000000000002</v>
      </c>
      <c r="L839">
        <v>-99.998999999999995</v>
      </c>
      <c r="M839">
        <v>-99.998999999999995</v>
      </c>
      <c r="Q839" s="2">
        <f t="shared" si="67"/>
        <v>-1.9490004158538927</v>
      </c>
      <c r="T839" s="2">
        <f t="shared" si="68"/>
        <v>123002.36980418945</v>
      </c>
      <c r="W839" s="2">
        <f t="shared" si="69"/>
        <v>123002.36980418945</v>
      </c>
    </row>
    <row r="840" spans="1:23">
      <c r="A840">
        <v>1833</v>
      </c>
      <c r="B840">
        <v>9</v>
      </c>
      <c r="C840">
        <v>32</v>
      </c>
      <c r="D840">
        <v>5.7939999999999996</v>
      </c>
      <c r="E840" s="2">
        <f t="shared" si="65"/>
        <v>6</v>
      </c>
      <c r="F840" s="2">
        <f t="shared" si="66"/>
        <v>1005</v>
      </c>
      <c r="G840">
        <v>0.58499999999999996</v>
      </c>
      <c r="H840">
        <v>0.69799999999999995</v>
      </c>
      <c r="I840">
        <v>0.79600000000000004</v>
      </c>
      <c r="J840">
        <v>0.77800000000000002</v>
      </c>
      <c r="K840">
        <v>0.77800000000000002</v>
      </c>
      <c r="L840">
        <v>-99.998999999999995</v>
      </c>
      <c r="M840">
        <v>-99.998999999999995</v>
      </c>
      <c r="Q840" s="2">
        <f t="shared" si="67"/>
        <v>-7.4725074837700189E-2</v>
      </c>
      <c r="T840" s="2">
        <f t="shared" si="68"/>
        <v>281154.39044332015</v>
      </c>
      <c r="W840" s="2">
        <f t="shared" si="69"/>
        <v>281154.39044332015</v>
      </c>
    </row>
    <row r="841" spans="1:23">
      <c r="A841">
        <v>1834</v>
      </c>
      <c r="B841">
        <v>9</v>
      </c>
      <c r="C841">
        <v>32</v>
      </c>
      <c r="D841">
        <v>2.637</v>
      </c>
      <c r="E841" s="2">
        <f t="shared" si="65"/>
        <v>2.5</v>
      </c>
      <c r="F841" s="2">
        <f t="shared" si="66"/>
        <v>913</v>
      </c>
      <c r="G841">
        <v>0.61199999999999999</v>
      </c>
      <c r="H841">
        <v>0.69799999999999995</v>
      </c>
      <c r="I841">
        <v>0.79600000000000004</v>
      </c>
      <c r="J841">
        <v>0.77800000000000002</v>
      </c>
      <c r="K841">
        <v>0.77800000000000002</v>
      </c>
      <c r="L841">
        <v>-99.998999999999995</v>
      </c>
      <c r="M841">
        <v>-99.998999999999995</v>
      </c>
      <c r="Q841" s="2">
        <f t="shared" si="67"/>
        <v>-0.92427098317770295</v>
      </c>
      <c r="T841" s="2">
        <f t="shared" si="68"/>
        <v>209469.40420387499</v>
      </c>
      <c r="W841" s="2">
        <f t="shared" si="69"/>
        <v>209469.40420387499</v>
      </c>
    </row>
    <row r="842" spans="1:23">
      <c r="A842">
        <v>1835</v>
      </c>
      <c r="B842">
        <v>9</v>
      </c>
      <c r="C842">
        <v>32</v>
      </c>
      <c r="D842">
        <v>-1.5349999999999999</v>
      </c>
      <c r="E842" s="2">
        <f t="shared" si="65"/>
        <v>-1.5</v>
      </c>
      <c r="F842" s="2">
        <f t="shared" si="66"/>
        <v>322</v>
      </c>
      <c r="G842">
        <v>0.56299999999999994</v>
      </c>
      <c r="H842">
        <v>0.69799999999999995</v>
      </c>
      <c r="I842">
        <v>0.79600000000000004</v>
      </c>
      <c r="J842">
        <v>0.77800000000000002</v>
      </c>
      <c r="K842">
        <v>0.77800000000000002</v>
      </c>
      <c r="L842">
        <v>-99.998999999999995</v>
      </c>
      <c r="M842">
        <v>-99.998999999999995</v>
      </c>
      <c r="Q842" s="2">
        <f t="shared" si="67"/>
        <v>-2.046952493977352</v>
      </c>
      <c r="T842" s="2">
        <f t="shared" si="68"/>
        <v>114737.13857480776</v>
      </c>
      <c r="W842" s="2">
        <f t="shared" si="69"/>
        <v>114737.13857480776</v>
      </c>
    </row>
    <row r="843" spans="1:23">
      <c r="A843">
        <v>1836</v>
      </c>
      <c r="B843">
        <v>9</v>
      </c>
      <c r="C843">
        <v>32</v>
      </c>
      <c r="D843">
        <v>4.6340000000000003</v>
      </c>
      <c r="E843" s="2">
        <f t="shared" si="65"/>
        <v>4.5</v>
      </c>
      <c r="F843" s="2">
        <f t="shared" si="66"/>
        <v>990</v>
      </c>
      <c r="G843">
        <v>0.45100000000000001</v>
      </c>
      <c r="H843">
        <v>0.69799999999999995</v>
      </c>
      <c r="I843">
        <v>0.79600000000000004</v>
      </c>
      <c r="J843">
        <v>0.77800000000000002</v>
      </c>
      <c r="K843">
        <v>0.77800000000000002</v>
      </c>
      <c r="L843">
        <v>-99.998999999999995</v>
      </c>
      <c r="M843">
        <v>-99.998999999999995</v>
      </c>
      <c r="Q843" s="2">
        <f t="shared" si="67"/>
        <v>-0.38688004907729567</v>
      </c>
      <c r="T843" s="2">
        <f t="shared" si="68"/>
        <v>254814.64256946638</v>
      </c>
      <c r="W843" s="2">
        <f t="shared" si="69"/>
        <v>254814.64256946638</v>
      </c>
    </row>
    <row r="844" spans="1:23">
      <c r="A844">
        <v>1837</v>
      </c>
      <c r="B844">
        <v>9</v>
      </c>
      <c r="C844">
        <v>32</v>
      </c>
      <c r="D844">
        <v>-0.26700000000000002</v>
      </c>
      <c r="E844" s="2">
        <f t="shared" si="65"/>
        <v>-0.5</v>
      </c>
      <c r="F844" s="2">
        <f t="shared" si="66"/>
        <v>522</v>
      </c>
      <c r="G844">
        <v>0.28699999999999998</v>
      </c>
      <c r="H844">
        <v>0.69799999999999995</v>
      </c>
      <c r="I844">
        <v>0.79600000000000004</v>
      </c>
      <c r="J844">
        <v>0.77800000000000002</v>
      </c>
      <c r="K844">
        <v>0.77800000000000002</v>
      </c>
      <c r="L844">
        <v>-99.998999999999995</v>
      </c>
      <c r="M844">
        <v>-99.998999999999995</v>
      </c>
      <c r="Q844" s="2">
        <f t="shared" si="67"/>
        <v>-1.705734815239587</v>
      </c>
      <c r="T844" s="2">
        <f t="shared" si="68"/>
        <v>143529.20780243413</v>
      </c>
      <c r="W844" s="2">
        <f t="shared" si="69"/>
        <v>143529.20780243413</v>
      </c>
    </row>
    <row r="845" spans="1:23">
      <c r="A845">
        <v>1838</v>
      </c>
      <c r="B845">
        <v>9</v>
      </c>
      <c r="C845">
        <v>32</v>
      </c>
      <c r="D845">
        <v>-0.74199999999999999</v>
      </c>
      <c r="E845" s="2">
        <f t="shared" si="65"/>
        <v>-0.5</v>
      </c>
      <c r="F845" s="2">
        <f t="shared" si="66"/>
        <v>434</v>
      </c>
      <c r="G845">
        <v>0.10100000000000001</v>
      </c>
      <c r="H845">
        <v>0.69799999999999995</v>
      </c>
      <c r="I845">
        <v>0.79600000000000004</v>
      </c>
      <c r="J845">
        <v>0.77800000000000002</v>
      </c>
      <c r="K845">
        <v>0.77800000000000002</v>
      </c>
      <c r="L845">
        <v>-99.998999999999995</v>
      </c>
      <c r="M845">
        <v>-99.998999999999995</v>
      </c>
      <c r="Q845" s="2">
        <f t="shared" si="67"/>
        <v>-1.8335568952083872</v>
      </c>
      <c r="T845" s="2">
        <f t="shared" si="68"/>
        <v>132743.53518167502</v>
      </c>
      <c r="W845" s="2">
        <f t="shared" si="69"/>
        <v>132743.53518167502</v>
      </c>
    </row>
    <row r="846" spans="1:23">
      <c r="A846">
        <v>1839</v>
      </c>
      <c r="B846">
        <v>9</v>
      </c>
      <c r="C846">
        <v>32</v>
      </c>
      <c r="D846">
        <v>-1.8089999999999999</v>
      </c>
      <c r="E846" s="2">
        <f t="shared" si="65"/>
        <v>-2</v>
      </c>
      <c r="F846" s="2">
        <f t="shared" si="66"/>
        <v>269</v>
      </c>
      <c r="G846">
        <v>-7.1999999999999995E-2</v>
      </c>
      <c r="H846">
        <v>0.69799999999999995</v>
      </c>
      <c r="I846">
        <v>0.79600000000000004</v>
      </c>
      <c r="J846">
        <v>0.77800000000000002</v>
      </c>
      <c r="K846">
        <v>0.77800000000000002</v>
      </c>
      <c r="L846">
        <v>-99.998999999999995</v>
      </c>
      <c r="M846">
        <v>-99.998999999999995</v>
      </c>
      <c r="Q846" s="2">
        <f t="shared" si="67"/>
        <v>-2.1206856516856702</v>
      </c>
      <c r="T846" s="2">
        <f t="shared" si="68"/>
        <v>108515.50847356988</v>
      </c>
      <c r="W846" s="2">
        <f t="shared" si="69"/>
        <v>108515.50847356988</v>
      </c>
    </row>
    <row r="847" spans="1:23">
      <c r="A847">
        <v>1840</v>
      </c>
      <c r="B847">
        <v>9</v>
      </c>
      <c r="C847">
        <v>32</v>
      </c>
      <c r="D847">
        <v>0.30099999999999999</v>
      </c>
      <c r="E847" s="2">
        <f t="shared" si="65"/>
        <v>0.5</v>
      </c>
      <c r="F847" s="2">
        <f t="shared" si="66"/>
        <v>621</v>
      </c>
      <c r="G847">
        <v>-0.20699999999999999</v>
      </c>
      <c r="H847">
        <v>0.69799999999999995</v>
      </c>
      <c r="I847">
        <v>0.79600000000000004</v>
      </c>
      <c r="J847">
        <v>0.77800000000000002</v>
      </c>
      <c r="K847">
        <v>0.77800000000000002</v>
      </c>
      <c r="L847">
        <v>-99.998999999999995</v>
      </c>
      <c r="M847">
        <v>-99.998999999999995</v>
      </c>
      <c r="Q847" s="2">
        <f t="shared" si="67"/>
        <v>-1.5528865175084747</v>
      </c>
      <c r="T847" s="2">
        <f t="shared" si="68"/>
        <v>156426.60158894185</v>
      </c>
      <c r="W847" s="2">
        <f t="shared" si="69"/>
        <v>156426.60158894185</v>
      </c>
    </row>
    <row r="848" spans="1:23">
      <c r="A848">
        <v>1841</v>
      </c>
      <c r="B848">
        <v>9</v>
      </c>
      <c r="C848">
        <v>32</v>
      </c>
      <c r="D848">
        <v>-2.794</v>
      </c>
      <c r="E848" s="2">
        <f t="shared" si="65"/>
        <v>-3</v>
      </c>
      <c r="F848" s="2">
        <f t="shared" si="66"/>
        <v>136</v>
      </c>
      <c r="G848">
        <v>-0.29099999999999998</v>
      </c>
      <c r="H848">
        <v>0.69799999999999995</v>
      </c>
      <c r="I848">
        <v>0.79600000000000004</v>
      </c>
      <c r="J848">
        <v>0.77800000000000002</v>
      </c>
      <c r="K848">
        <v>0.77800000000000002</v>
      </c>
      <c r="L848">
        <v>-99.998999999999995</v>
      </c>
      <c r="M848">
        <v>-99.998999999999995</v>
      </c>
      <c r="Q848" s="2">
        <f t="shared" si="67"/>
        <v>-2.3857482806736026</v>
      </c>
      <c r="T848" s="2">
        <f t="shared" si="68"/>
        <v>86149.429459995765</v>
      </c>
      <c r="W848" s="2">
        <f t="shared" si="69"/>
        <v>86149.429459995765</v>
      </c>
    </row>
    <row r="849" spans="1:23">
      <c r="A849">
        <v>1842</v>
      </c>
      <c r="B849">
        <v>9</v>
      </c>
      <c r="C849">
        <v>32</v>
      </c>
      <c r="D849">
        <v>-3.8679999999999999</v>
      </c>
      <c r="E849" s="2">
        <f t="shared" si="65"/>
        <v>-4</v>
      </c>
      <c r="F849" s="2">
        <f t="shared" si="66"/>
        <v>48</v>
      </c>
      <c r="G849">
        <v>-0.316</v>
      </c>
      <c r="H849">
        <v>0.69799999999999995</v>
      </c>
      <c r="I849">
        <v>0.79600000000000004</v>
      </c>
      <c r="J849">
        <v>0.77800000000000002</v>
      </c>
      <c r="K849">
        <v>0.77800000000000002</v>
      </c>
      <c r="L849">
        <v>-99.998999999999995</v>
      </c>
      <c r="M849">
        <v>-99.998999999999995</v>
      </c>
      <c r="Q849" s="2">
        <f t="shared" si="67"/>
        <v>-2.6747607309609522</v>
      </c>
      <c r="T849" s="2">
        <f t="shared" si="68"/>
        <v>61762.455997479439</v>
      </c>
      <c r="W849" s="2">
        <f t="shared" si="69"/>
        <v>61762.455997479439</v>
      </c>
    </row>
    <row r="850" spans="1:23">
      <c r="A850">
        <v>1843</v>
      </c>
      <c r="B850">
        <v>9</v>
      </c>
      <c r="C850">
        <v>32</v>
      </c>
      <c r="D850">
        <v>2.6829999999999998</v>
      </c>
      <c r="E850" s="2">
        <f t="shared" si="65"/>
        <v>2.5</v>
      </c>
      <c r="F850" s="2">
        <f t="shared" si="66"/>
        <v>919</v>
      </c>
      <c r="G850">
        <v>-0.29199999999999998</v>
      </c>
      <c r="H850">
        <v>0.69799999999999995</v>
      </c>
      <c r="I850">
        <v>0.79600000000000004</v>
      </c>
      <c r="J850">
        <v>0.77800000000000002</v>
      </c>
      <c r="K850">
        <v>0.77800000000000002</v>
      </c>
      <c r="L850">
        <v>-99.998999999999995</v>
      </c>
      <c r="M850">
        <v>-99.998999999999995</v>
      </c>
      <c r="Q850" s="2">
        <f t="shared" si="67"/>
        <v>-0.91189242385440872</v>
      </c>
      <c r="T850" s="2">
        <f t="shared" si="68"/>
        <v>210513.91144714848</v>
      </c>
      <c r="W850" s="2">
        <f t="shared" si="69"/>
        <v>210513.91144714848</v>
      </c>
    </row>
    <row r="851" spans="1:23">
      <c r="A851">
        <v>1844</v>
      </c>
      <c r="B851">
        <v>9</v>
      </c>
      <c r="C851">
        <v>32</v>
      </c>
      <c r="D851">
        <v>1.393</v>
      </c>
      <c r="E851" s="2">
        <f t="shared" si="65"/>
        <v>1.5</v>
      </c>
      <c r="F851" s="2">
        <f t="shared" si="66"/>
        <v>786</v>
      </c>
      <c r="G851">
        <v>-0.253</v>
      </c>
      <c r="H851">
        <v>0.69799999999999995</v>
      </c>
      <c r="I851">
        <v>0.79600000000000004</v>
      </c>
      <c r="J851">
        <v>0.77800000000000002</v>
      </c>
      <c r="K851">
        <v>0.77800000000000002</v>
      </c>
      <c r="L851">
        <v>-99.998999999999995</v>
      </c>
      <c r="M851">
        <v>-99.998999999999995</v>
      </c>
      <c r="Q851" s="2">
        <f t="shared" si="67"/>
        <v>-1.2590302831380968</v>
      </c>
      <c r="T851" s="2">
        <f t="shared" si="68"/>
        <v>181222.29527708696</v>
      </c>
      <c r="W851" s="2">
        <f t="shared" si="69"/>
        <v>181222.29527708696</v>
      </c>
    </row>
    <row r="852" spans="1:23">
      <c r="A852">
        <v>1845</v>
      </c>
      <c r="B852">
        <v>9</v>
      </c>
      <c r="C852">
        <v>32</v>
      </c>
      <c r="D852">
        <v>-0.89900000000000002</v>
      </c>
      <c r="E852" s="2">
        <f t="shared" si="65"/>
        <v>-1</v>
      </c>
      <c r="F852" s="2">
        <f t="shared" si="66"/>
        <v>406</v>
      </c>
      <c r="G852">
        <v>-0.218</v>
      </c>
      <c r="H852">
        <v>0.69799999999999995</v>
      </c>
      <c r="I852">
        <v>0.79600000000000004</v>
      </c>
      <c r="J852">
        <v>0.77800000000000002</v>
      </c>
      <c r="K852">
        <v>0.77800000000000002</v>
      </c>
      <c r="L852">
        <v>-99.998999999999995</v>
      </c>
      <c r="M852">
        <v>-99.998999999999995</v>
      </c>
      <c r="Q852" s="2">
        <f t="shared" si="67"/>
        <v>-1.8758054563770219</v>
      </c>
      <c r="T852" s="2">
        <f t="shared" si="68"/>
        <v>129178.58654702414</v>
      </c>
      <c r="W852" s="2">
        <f t="shared" si="69"/>
        <v>129178.58654702414</v>
      </c>
    </row>
    <row r="853" spans="1:23">
      <c r="A853">
        <v>1846</v>
      </c>
      <c r="B853">
        <v>9</v>
      </c>
      <c r="C853">
        <v>32</v>
      </c>
      <c r="D853">
        <v>-4.0000000000000001E-3</v>
      </c>
      <c r="E853" s="2">
        <f t="shared" si="65"/>
        <v>0</v>
      </c>
      <c r="F853" s="2">
        <f t="shared" si="66"/>
        <v>566</v>
      </c>
      <c r="G853">
        <v>-0.191</v>
      </c>
      <c r="H853">
        <v>0.69799999999999995</v>
      </c>
      <c r="I853">
        <v>0.79600000000000004</v>
      </c>
      <c r="J853">
        <v>0.77800000000000002</v>
      </c>
      <c r="K853">
        <v>0.77800000000000002</v>
      </c>
      <c r="L853">
        <v>-99.998999999999995</v>
      </c>
      <c r="M853">
        <v>-99.998999999999995</v>
      </c>
      <c r="Q853" s="2">
        <f t="shared" si="67"/>
        <v>-1.6349617478042306</v>
      </c>
      <c r="T853" s="2">
        <f t="shared" si="68"/>
        <v>149501.06443245441</v>
      </c>
      <c r="W853" s="2">
        <f t="shared" si="69"/>
        <v>149501.06443245441</v>
      </c>
    </row>
    <row r="854" spans="1:23">
      <c r="A854">
        <v>1847</v>
      </c>
      <c r="B854">
        <v>9</v>
      </c>
      <c r="C854">
        <v>32</v>
      </c>
      <c r="D854">
        <v>-1.45</v>
      </c>
      <c r="E854" s="2">
        <f t="shared" si="65"/>
        <v>-1.5</v>
      </c>
      <c r="F854" s="2">
        <f t="shared" si="66"/>
        <v>336</v>
      </c>
      <c r="G854">
        <v>-0.17499999999999999</v>
      </c>
      <c r="H854">
        <v>0.69799999999999995</v>
      </c>
      <c r="I854">
        <v>0.79600000000000004</v>
      </c>
      <c r="J854">
        <v>0.77800000000000002</v>
      </c>
      <c r="K854">
        <v>0.77800000000000002</v>
      </c>
      <c r="L854">
        <v>-99.998999999999995</v>
      </c>
      <c r="M854">
        <v>-99.998999999999995</v>
      </c>
      <c r="Q854" s="2">
        <f t="shared" si="67"/>
        <v>-2.0240790691408299</v>
      </c>
      <c r="T854" s="2">
        <f t="shared" si="68"/>
        <v>116667.20630694358</v>
      </c>
      <c r="W854" s="2">
        <f t="shared" si="69"/>
        <v>116667.20630694358</v>
      </c>
    </row>
    <row r="855" spans="1:23">
      <c r="A855">
        <v>1848</v>
      </c>
      <c r="B855">
        <v>9</v>
      </c>
      <c r="C855">
        <v>32</v>
      </c>
      <c r="D855">
        <v>-1.8919999999999999</v>
      </c>
      <c r="E855" s="2">
        <f t="shared" si="65"/>
        <v>-2</v>
      </c>
      <c r="F855" s="2">
        <f t="shared" si="66"/>
        <v>257</v>
      </c>
      <c r="G855">
        <v>-0.17799999999999999</v>
      </c>
      <c r="H855">
        <v>0.69799999999999995</v>
      </c>
      <c r="I855">
        <v>0.79600000000000004</v>
      </c>
      <c r="J855">
        <v>0.77800000000000002</v>
      </c>
      <c r="K855">
        <v>0.77800000000000002</v>
      </c>
      <c r="L855">
        <v>-99.998999999999995</v>
      </c>
      <c r="M855">
        <v>-99.998999999999995</v>
      </c>
      <c r="Q855" s="2">
        <f t="shared" si="67"/>
        <v>-2.1430208782907449</v>
      </c>
      <c r="T855" s="2">
        <f t="shared" si="68"/>
        <v>106630.85409983722</v>
      </c>
      <c r="W855" s="2">
        <f t="shared" si="69"/>
        <v>106630.85409983722</v>
      </c>
    </row>
    <row r="856" spans="1:23">
      <c r="A856">
        <v>1849</v>
      </c>
      <c r="B856">
        <v>9</v>
      </c>
      <c r="C856">
        <v>32</v>
      </c>
      <c r="D856">
        <v>2.327</v>
      </c>
      <c r="E856" s="2">
        <f t="shared" si="65"/>
        <v>2.5</v>
      </c>
      <c r="F856" s="2">
        <f t="shared" si="66"/>
        <v>886</v>
      </c>
      <c r="G856">
        <v>-0.217</v>
      </c>
      <c r="H856">
        <v>0.69799999999999995</v>
      </c>
      <c r="I856">
        <v>0.79600000000000004</v>
      </c>
      <c r="J856">
        <v>0.77800000000000002</v>
      </c>
      <c r="K856">
        <v>0.77800000000000002</v>
      </c>
      <c r="L856">
        <v>-99.998999999999995</v>
      </c>
      <c r="M856">
        <v>-99.998999999999995</v>
      </c>
      <c r="Q856" s="2">
        <f t="shared" si="67"/>
        <v>-1.0076917090520778</v>
      </c>
      <c r="T856" s="2">
        <f t="shared" si="68"/>
        <v>202430.33365137957</v>
      </c>
      <c r="W856" s="2">
        <f t="shared" si="69"/>
        <v>202430.33365137957</v>
      </c>
    </row>
    <row r="857" spans="1:23">
      <c r="A857">
        <v>1850</v>
      </c>
      <c r="B857">
        <v>9</v>
      </c>
      <c r="C857">
        <v>32</v>
      </c>
      <c r="D857">
        <v>1.91</v>
      </c>
      <c r="E857" s="2">
        <f t="shared" si="65"/>
        <v>2</v>
      </c>
      <c r="F857" s="2">
        <f t="shared" si="66"/>
        <v>843</v>
      </c>
      <c r="G857">
        <v>-0.32</v>
      </c>
      <c r="H857">
        <v>0.69799999999999995</v>
      </c>
      <c r="I857">
        <v>0.79600000000000004</v>
      </c>
      <c r="J857">
        <v>0.77800000000000002</v>
      </c>
      <c r="K857">
        <v>0.77800000000000002</v>
      </c>
      <c r="L857">
        <v>-99.998999999999995</v>
      </c>
      <c r="M857">
        <v>-99.998999999999995</v>
      </c>
      <c r="Q857" s="2">
        <f t="shared" si="67"/>
        <v>-1.1199060403088978</v>
      </c>
      <c r="T857" s="2">
        <f t="shared" si="68"/>
        <v>192961.64842431317</v>
      </c>
      <c r="W857" s="2">
        <f t="shared" si="69"/>
        <v>192961.64842431317</v>
      </c>
    </row>
    <row r="858" spans="1:23">
      <c r="A858">
        <v>1851</v>
      </c>
      <c r="B858">
        <v>9</v>
      </c>
      <c r="C858">
        <v>32</v>
      </c>
      <c r="D858">
        <v>0.17699999999999999</v>
      </c>
      <c r="E858" s="2">
        <f t="shared" si="65"/>
        <v>0</v>
      </c>
      <c r="F858" s="2">
        <f t="shared" si="66"/>
        <v>598</v>
      </c>
      <c r="G858">
        <v>-0.495</v>
      </c>
      <c r="H858">
        <v>0.69799999999999995</v>
      </c>
      <c r="I858">
        <v>0.79600000000000004</v>
      </c>
      <c r="J858">
        <v>0.77800000000000002</v>
      </c>
      <c r="K858">
        <v>0.77800000000000002</v>
      </c>
      <c r="L858">
        <v>-99.998999999999995</v>
      </c>
      <c r="M858">
        <v>-99.998999999999995</v>
      </c>
      <c r="Q858" s="2">
        <f t="shared" si="67"/>
        <v>-1.5862548078582246</v>
      </c>
      <c r="T858" s="2">
        <f t="shared" si="68"/>
        <v>153610.97336794369</v>
      </c>
      <c r="W858" s="2">
        <f t="shared" si="69"/>
        <v>153610.97336794369</v>
      </c>
    </row>
    <row r="859" spans="1:23">
      <c r="A859">
        <v>1852</v>
      </c>
      <c r="B859">
        <v>9</v>
      </c>
      <c r="C859">
        <v>32</v>
      </c>
      <c r="D859">
        <v>-0.441</v>
      </c>
      <c r="E859" s="2">
        <f t="shared" si="65"/>
        <v>-0.5</v>
      </c>
      <c r="F859" s="2">
        <f t="shared" si="66"/>
        <v>488</v>
      </c>
      <c r="G859">
        <v>-0.73199999999999998</v>
      </c>
      <c r="H859">
        <v>0.69799999999999995</v>
      </c>
      <c r="I859">
        <v>0.79600000000000004</v>
      </c>
      <c r="J859">
        <v>0.77800000000000002</v>
      </c>
      <c r="K859">
        <v>0.77800000000000002</v>
      </c>
      <c r="L859">
        <v>-99.998999999999995</v>
      </c>
      <c r="M859">
        <v>-99.998999999999995</v>
      </c>
      <c r="Q859" s="2">
        <f t="shared" si="67"/>
        <v>-1.7525580613755265</v>
      </c>
      <c r="T859" s="2">
        <f t="shared" si="68"/>
        <v>139578.24562135607</v>
      </c>
      <c r="W859" s="2">
        <f t="shared" si="69"/>
        <v>139578.24562135607</v>
      </c>
    </row>
    <row r="860" spans="1:23">
      <c r="A860">
        <v>1853</v>
      </c>
      <c r="B860">
        <v>9</v>
      </c>
      <c r="C860">
        <v>32</v>
      </c>
      <c r="D860">
        <v>0.23100000000000001</v>
      </c>
      <c r="E860" s="2">
        <f t="shared" si="65"/>
        <v>0</v>
      </c>
      <c r="F860" s="2">
        <f t="shared" si="66"/>
        <v>604</v>
      </c>
      <c r="G860">
        <v>-1.0129999999999999</v>
      </c>
      <c r="H860">
        <v>0.69799999999999995</v>
      </c>
      <c r="I860">
        <v>0.79600000000000004</v>
      </c>
      <c r="J860">
        <v>0.77800000000000002</v>
      </c>
      <c r="K860">
        <v>0.77800000000000002</v>
      </c>
      <c r="L860">
        <v>-99.998999999999995</v>
      </c>
      <c r="M860">
        <v>-99.998999999999995</v>
      </c>
      <c r="Q860" s="2">
        <f t="shared" si="67"/>
        <v>-1.57172345560914</v>
      </c>
      <c r="T860" s="2">
        <f t="shared" si="68"/>
        <v>154837.13404482999</v>
      </c>
      <c r="W860" s="2">
        <f t="shared" si="69"/>
        <v>154837.13404482999</v>
      </c>
    </row>
    <row r="861" spans="1:23">
      <c r="A861">
        <v>1854</v>
      </c>
      <c r="B861">
        <v>9</v>
      </c>
      <c r="C861">
        <v>32</v>
      </c>
      <c r="D861">
        <v>-6.0999999999999999E-2</v>
      </c>
      <c r="E861" s="2">
        <f t="shared" si="65"/>
        <v>0</v>
      </c>
      <c r="F861" s="2">
        <f t="shared" si="66"/>
        <v>557</v>
      </c>
      <c r="G861">
        <v>-1.3129999999999999</v>
      </c>
      <c r="H861">
        <v>0.69799999999999995</v>
      </c>
      <c r="I861">
        <v>0.79600000000000004</v>
      </c>
      <c r="J861">
        <v>0.77800000000000002</v>
      </c>
      <c r="K861">
        <v>0.77800000000000002</v>
      </c>
      <c r="L861">
        <v>-99.998999999999995</v>
      </c>
      <c r="M861">
        <v>-99.998999999999995</v>
      </c>
      <c r="Q861" s="2">
        <f t="shared" si="67"/>
        <v>-1.6503003974004866</v>
      </c>
      <c r="T861" s="2">
        <f t="shared" si="68"/>
        <v>148206.78371796332</v>
      </c>
      <c r="W861" s="2">
        <f t="shared" si="69"/>
        <v>148206.78371796332</v>
      </c>
    </row>
    <row r="862" spans="1:23">
      <c r="A862">
        <v>1855</v>
      </c>
      <c r="B862">
        <v>9</v>
      </c>
      <c r="C862">
        <v>32</v>
      </c>
      <c r="D862">
        <v>-5.65</v>
      </c>
      <c r="E862" s="2">
        <f t="shared" si="65"/>
        <v>-5.5</v>
      </c>
      <c r="F862" s="2">
        <f t="shared" si="66"/>
        <v>7</v>
      </c>
      <c r="G862">
        <v>-1.5980000000000001</v>
      </c>
      <c r="H862">
        <v>0.69799999999999995</v>
      </c>
      <c r="I862">
        <v>0.79600000000000004</v>
      </c>
      <c r="J862">
        <v>0.77800000000000002</v>
      </c>
      <c r="K862">
        <v>0.77800000000000002</v>
      </c>
      <c r="L862">
        <v>-99.998999999999995</v>
      </c>
      <c r="M862">
        <v>-99.998999999999995</v>
      </c>
      <c r="Q862" s="2">
        <f t="shared" si="67"/>
        <v>-3.1542953551807451</v>
      </c>
      <c r="T862" s="2">
        <f t="shared" si="68"/>
        <v>21299.153660231619</v>
      </c>
      <c r="W862" s="2">
        <f t="shared" si="69"/>
        <v>21299.153660231619</v>
      </c>
    </row>
    <row r="863" spans="1:23">
      <c r="A863">
        <v>1856</v>
      </c>
      <c r="B863">
        <v>9</v>
      </c>
      <c r="C863">
        <v>32</v>
      </c>
      <c r="D863">
        <v>-1.504</v>
      </c>
      <c r="E863" s="2">
        <f t="shared" si="65"/>
        <v>-1.5</v>
      </c>
      <c r="F863" s="2">
        <f t="shared" si="66"/>
        <v>327</v>
      </c>
      <c r="G863">
        <v>-1.83</v>
      </c>
      <c r="H863">
        <v>0.69799999999999995</v>
      </c>
      <c r="I863">
        <v>0.79600000000000004</v>
      </c>
      <c r="J863">
        <v>0.77800000000000002</v>
      </c>
      <c r="K863">
        <v>0.77800000000000002</v>
      </c>
      <c r="L863">
        <v>-99.998999999999995</v>
      </c>
      <c r="M863">
        <v>-99.998999999999995</v>
      </c>
      <c r="Q863" s="2">
        <f t="shared" si="67"/>
        <v>-2.0386104213899143</v>
      </c>
      <c r="T863" s="2">
        <f t="shared" si="68"/>
        <v>115441.04563005731</v>
      </c>
      <c r="W863" s="2">
        <f t="shared" si="69"/>
        <v>115441.04563005731</v>
      </c>
    </row>
    <row r="864" spans="1:23">
      <c r="A864">
        <v>1857</v>
      </c>
      <c r="B864">
        <v>9</v>
      </c>
      <c r="C864">
        <v>32</v>
      </c>
      <c r="D864">
        <v>-3.6619999999999999</v>
      </c>
      <c r="E864" s="2">
        <f t="shared" si="65"/>
        <v>-3.5</v>
      </c>
      <c r="F864" s="2">
        <f t="shared" si="66"/>
        <v>62</v>
      </c>
      <c r="G864">
        <v>-1.9950000000000001</v>
      </c>
      <c r="H864">
        <v>0.69799999999999995</v>
      </c>
      <c r="I864">
        <v>0.79600000000000004</v>
      </c>
      <c r="J864">
        <v>0.77800000000000002</v>
      </c>
      <c r="K864">
        <v>0.77800000000000002</v>
      </c>
      <c r="L864">
        <v>-99.998999999999995</v>
      </c>
      <c r="M864">
        <v>-99.998999999999995</v>
      </c>
      <c r="Q864" s="2">
        <f t="shared" si="67"/>
        <v>-2.619326313121852</v>
      </c>
      <c r="T864" s="2">
        <f t="shared" si="68"/>
        <v>66440.031913008599</v>
      </c>
      <c r="W864" s="2">
        <f t="shared" si="69"/>
        <v>66440.031913008599</v>
      </c>
    </row>
    <row r="865" spans="1:23">
      <c r="A865">
        <v>1858</v>
      </c>
      <c r="B865">
        <v>9</v>
      </c>
      <c r="C865">
        <v>32</v>
      </c>
      <c r="D865">
        <v>0.7</v>
      </c>
      <c r="E865" s="2">
        <f t="shared" si="65"/>
        <v>0.5</v>
      </c>
      <c r="F865" s="2">
        <f t="shared" si="66"/>
        <v>684</v>
      </c>
      <c r="G865">
        <v>-2.0859999999999999</v>
      </c>
      <c r="H865">
        <v>0.69799999999999995</v>
      </c>
      <c r="I865">
        <v>0.79600000000000004</v>
      </c>
      <c r="J865">
        <v>0.77800000000000002</v>
      </c>
      <c r="K865">
        <v>0.77800000000000002</v>
      </c>
      <c r="L865">
        <v>-99.998999999999995</v>
      </c>
      <c r="M865">
        <v>-99.998999999999995</v>
      </c>
      <c r="Q865" s="2">
        <f t="shared" si="67"/>
        <v>-1.4455159703346829</v>
      </c>
      <c r="T865" s="2">
        <f t="shared" si="68"/>
        <v>165486.56659037946</v>
      </c>
      <c r="W865" s="2">
        <f t="shared" si="69"/>
        <v>165486.56659037946</v>
      </c>
    </row>
    <row r="866" spans="1:23">
      <c r="A866">
        <v>1859</v>
      </c>
      <c r="B866">
        <v>9</v>
      </c>
      <c r="C866">
        <v>32</v>
      </c>
      <c r="D866">
        <v>-3.3069999999999999</v>
      </c>
      <c r="E866" s="2">
        <f t="shared" si="65"/>
        <v>-3.5</v>
      </c>
      <c r="F866" s="2">
        <f t="shared" si="66"/>
        <v>88</v>
      </c>
      <c r="G866">
        <v>-2.1019999999999999</v>
      </c>
      <c r="H866">
        <v>0.69799999999999995</v>
      </c>
      <c r="I866">
        <v>0.79600000000000004</v>
      </c>
      <c r="J866">
        <v>0.77800000000000002</v>
      </c>
      <c r="K866">
        <v>0.77800000000000002</v>
      </c>
      <c r="L866">
        <v>-99.998999999999995</v>
      </c>
      <c r="M866">
        <v>-99.998999999999995</v>
      </c>
      <c r="Q866" s="2">
        <f t="shared" si="67"/>
        <v>-2.5237961270399065</v>
      </c>
      <c r="T866" s="2">
        <f t="shared" si="68"/>
        <v>74500.903029575944</v>
      </c>
      <c r="W866" s="2">
        <f t="shared" si="69"/>
        <v>74500.903029575944</v>
      </c>
    </row>
    <row r="867" spans="1:23">
      <c r="A867">
        <v>1860</v>
      </c>
      <c r="B867">
        <v>9</v>
      </c>
      <c r="C867">
        <v>32</v>
      </c>
      <c r="D867">
        <v>-3.3679999999999999</v>
      </c>
      <c r="E867" s="2">
        <f t="shared" si="65"/>
        <v>-3.5</v>
      </c>
      <c r="F867" s="2">
        <f t="shared" si="66"/>
        <v>85</v>
      </c>
      <c r="G867">
        <v>-2.0270000000000001</v>
      </c>
      <c r="H867">
        <v>0.69799999999999995</v>
      </c>
      <c r="I867">
        <v>0.79600000000000004</v>
      </c>
      <c r="J867">
        <v>0.77800000000000002</v>
      </c>
      <c r="K867">
        <v>0.77800000000000002</v>
      </c>
      <c r="L867">
        <v>-99.998999999999995</v>
      </c>
      <c r="M867">
        <v>-99.998999999999995</v>
      </c>
      <c r="Q867" s="2">
        <f t="shared" si="67"/>
        <v>-2.540211173099058</v>
      </c>
      <c r="T867" s="2">
        <f t="shared" si="68"/>
        <v>73115.795598278433</v>
      </c>
      <c r="W867" s="2">
        <f t="shared" si="69"/>
        <v>73115.795598278433</v>
      </c>
    </row>
    <row r="868" spans="1:23">
      <c r="A868">
        <v>1861</v>
      </c>
      <c r="B868">
        <v>9</v>
      </c>
      <c r="C868">
        <v>32</v>
      </c>
      <c r="D868">
        <v>-1.256</v>
      </c>
      <c r="E868" s="2">
        <f t="shared" si="65"/>
        <v>-1.5</v>
      </c>
      <c r="F868" s="2">
        <f t="shared" si="66"/>
        <v>363</v>
      </c>
      <c r="G868">
        <v>-1.8540000000000001</v>
      </c>
      <c r="H868">
        <v>0.69799999999999995</v>
      </c>
      <c r="I868">
        <v>0.79600000000000004</v>
      </c>
      <c r="J868">
        <v>0.77800000000000002</v>
      </c>
      <c r="K868">
        <v>0.77800000000000002</v>
      </c>
      <c r="L868">
        <v>-99.998999999999995</v>
      </c>
      <c r="M868">
        <v>-99.998999999999995</v>
      </c>
      <c r="Q868" s="2">
        <f t="shared" si="67"/>
        <v>-1.9718738406904148</v>
      </c>
      <c r="T868" s="2">
        <f t="shared" si="68"/>
        <v>121072.3020720536</v>
      </c>
      <c r="W868" s="2">
        <f t="shared" si="69"/>
        <v>121072.3020720536</v>
      </c>
    </row>
    <row r="869" spans="1:23">
      <c r="A869">
        <v>1862</v>
      </c>
      <c r="B869">
        <v>9</v>
      </c>
      <c r="C869">
        <v>32</v>
      </c>
      <c r="D869">
        <v>-4.16</v>
      </c>
      <c r="E869" s="2">
        <f t="shared" si="65"/>
        <v>-4</v>
      </c>
      <c r="F869" s="2">
        <f t="shared" si="66"/>
        <v>22</v>
      </c>
      <c r="G869">
        <v>-1.581</v>
      </c>
      <c r="H869">
        <v>0.69799999999999995</v>
      </c>
      <c r="I869">
        <v>0.79600000000000004</v>
      </c>
      <c r="J869">
        <v>0.77800000000000002</v>
      </c>
      <c r="K869">
        <v>0.77800000000000002</v>
      </c>
      <c r="L869">
        <v>-99.998999999999995</v>
      </c>
      <c r="M869">
        <v>-99.998999999999995</v>
      </c>
      <c r="Q869" s="2">
        <f t="shared" si="67"/>
        <v>-2.7533376727522989</v>
      </c>
      <c r="T869" s="2">
        <f t="shared" si="68"/>
        <v>55132.105670612771</v>
      </c>
      <c r="W869" s="2">
        <f t="shared" si="69"/>
        <v>55132.105670612771</v>
      </c>
    </row>
    <row r="870" spans="1:23">
      <c r="A870">
        <v>1863</v>
      </c>
      <c r="B870">
        <v>9</v>
      </c>
      <c r="C870">
        <v>32</v>
      </c>
      <c r="D870">
        <v>-2.5990000000000002</v>
      </c>
      <c r="E870" s="2">
        <f t="shared" si="65"/>
        <v>-2.5</v>
      </c>
      <c r="F870" s="2">
        <f t="shared" si="66"/>
        <v>166</v>
      </c>
      <c r="G870">
        <v>-1.212</v>
      </c>
      <c r="H870">
        <v>0.69799999999999995</v>
      </c>
      <c r="I870">
        <v>0.79600000000000004</v>
      </c>
      <c r="J870">
        <v>0.77800000000000002</v>
      </c>
      <c r="K870">
        <v>0.77800000000000002</v>
      </c>
      <c r="L870">
        <v>-99.998999999999995</v>
      </c>
      <c r="M870">
        <v>-99.998999999999995</v>
      </c>
      <c r="Q870" s="2">
        <f t="shared" si="67"/>
        <v>-2.3332739531074638</v>
      </c>
      <c r="T870" s="2">
        <f t="shared" si="68"/>
        <v>90577.23190430738</v>
      </c>
      <c r="W870" s="2">
        <f t="shared" si="69"/>
        <v>90577.23190430738</v>
      </c>
    </row>
    <row r="871" spans="1:23">
      <c r="A871">
        <v>1864</v>
      </c>
      <c r="B871">
        <v>9</v>
      </c>
      <c r="C871">
        <v>32</v>
      </c>
      <c r="D871">
        <v>-2.5489999999999999</v>
      </c>
      <c r="E871" s="2">
        <f t="shared" si="65"/>
        <v>-2.5</v>
      </c>
      <c r="F871" s="2">
        <f t="shared" si="66"/>
        <v>171</v>
      </c>
      <c r="G871">
        <v>-0.76800000000000002</v>
      </c>
      <c r="H871">
        <v>0.69799999999999995</v>
      </c>
      <c r="I871">
        <v>0.79600000000000004</v>
      </c>
      <c r="J871">
        <v>0.77800000000000002</v>
      </c>
      <c r="K871">
        <v>0.77800000000000002</v>
      </c>
      <c r="L871">
        <v>-99.998999999999995</v>
      </c>
      <c r="M871">
        <v>-99.998999999999995</v>
      </c>
      <c r="Q871" s="2">
        <f t="shared" si="67"/>
        <v>-2.3198189973212742</v>
      </c>
      <c r="T871" s="2">
        <f t="shared" si="68"/>
        <v>91712.565864387318</v>
      </c>
      <c r="W871" s="2">
        <f t="shared" si="69"/>
        <v>91712.565864387318</v>
      </c>
    </row>
    <row r="872" spans="1:23">
      <c r="A872">
        <v>1865</v>
      </c>
      <c r="B872">
        <v>9</v>
      </c>
      <c r="C872">
        <v>32</v>
      </c>
      <c r="D872">
        <v>0.245</v>
      </c>
      <c r="E872" s="2">
        <f t="shared" si="65"/>
        <v>0</v>
      </c>
      <c r="F872" s="2">
        <f t="shared" si="66"/>
        <v>609</v>
      </c>
      <c r="G872">
        <v>-0.28699999999999998</v>
      </c>
      <c r="H872">
        <v>0.69799999999999995</v>
      </c>
      <c r="I872">
        <v>0.79600000000000004</v>
      </c>
      <c r="J872">
        <v>0.77800000000000002</v>
      </c>
      <c r="K872">
        <v>0.77800000000000002</v>
      </c>
      <c r="L872">
        <v>-99.998999999999995</v>
      </c>
      <c r="M872">
        <v>-99.998999999999995</v>
      </c>
      <c r="Q872" s="2">
        <f t="shared" si="67"/>
        <v>-1.567956067989007</v>
      </c>
      <c r="T872" s="2">
        <f t="shared" si="68"/>
        <v>155155.02755365235</v>
      </c>
      <c r="W872" s="2">
        <f t="shared" si="69"/>
        <v>155155.02755365235</v>
      </c>
    </row>
    <row r="873" spans="1:23">
      <c r="A873">
        <v>1866</v>
      </c>
      <c r="B873">
        <v>9</v>
      </c>
      <c r="C873">
        <v>32</v>
      </c>
      <c r="D873">
        <v>0.46899999999999997</v>
      </c>
      <c r="E873" s="2">
        <f t="shared" si="65"/>
        <v>0.5</v>
      </c>
      <c r="F873" s="2">
        <f t="shared" si="66"/>
        <v>644</v>
      </c>
      <c r="G873">
        <v>0.183</v>
      </c>
      <c r="H873">
        <v>0.69799999999999995</v>
      </c>
      <c r="I873">
        <v>0.79600000000000004</v>
      </c>
      <c r="J873">
        <v>0.77800000000000002</v>
      </c>
      <c r="K873">
        <v>0.77800000000000002</v>
      </c>
      <c r="L873">
        <v>-99.998999999999995</v>
      </c>
      <c r="M873">
        <v>-99.998999999999995</v>
      </c>
      <c r="Q873" s="2">
        <f t="shared" si="67"/>
        <v>-1.5076778660668781</v>
      </c>
      <c r="T873" s="2">
        <f t="shared" si="68"/>
        <v>160241.32369481033</v>
      </c>
      <c r="W873" s="2">
        <f t="shared" si="69"/>
        <v>160241.32369481033</v>
      </c>
    </row>
    <row r="874" spans="1:23">
      <c r="A874">
        <v>1867</v>
      </c>
      <c r="B874">
        <v>9</v>
      </c>
      <c r="C874">
        <v>32</v>
      </c>
      <c r="D874">
        <v>4.2560000000000002</v>
      </c>
      <c r="E874" s="2">
        <f t="shared" si="65"/>
        <v>4.5</v>
      </c>
      <c r="F874" s="2">
        <f t="shared" si="66"/>
        <v>982</v>
      </c>
      <c r="G874">
        <v>0.59099999999999997</v>
      </c>
      <c r="H874">
        <v>0.69799999999999995</v>
      </c>
      <c r="I874">
        <v>0.79600000000000004</v>
      </c>
      <c r="J874">
        <v>0.77800000000000002</v>
      </c>
      <c r="K874">
        <v>0.77800000000000002</v>
      </c>
      <c r="L874">
        <v>-99.998999999999995</v>
      </c>
      <c r="M874">
        <v>-99.998999999999995</v>
      </c>
      <c r="Q874" s="2">
        <f t="shared" si="67"/>
        <v>-0.48859951482088815</v>
      </c>
      <c r="T874" s="2">
        <f t="shared" si="68"/>
        <v>246231.51783126229</v>
      </c>
      <c r="W874" s="2">
        <f t="shared" si="69"/>
        <v>246231.51783126229</v>
      </c>
    </row>
    <row r="875" spans="1:23">
      <c r="A875">
        <v>1868</v>
      </c>
      <c r="B875">
        <v>9</v>
      </c>
      <c r="C875">
        <v>32</v>
      </c>
      <c r="D875">
        <v>0.995</v>
      </c>
      <c r="E875" s="2">
        <f t="shared" si="65"/>
        <v>1</v>
      </c>
      <c r="F875" s="2">
        <f t="shared" si="66"/>
        <v>727</v>
      </c>
      <c r="G875">
        <v>0.89800000000000002</v>
      </c>
      <c r="H875">
        <v>0.69799999999999995</v>
      </c>
      <c r="I875">
        <v>0.79600000000000004</v>
      </c>
      <c r="J875">
        <v>0.77800000000000002</v>
      </c>
      <c r="K875">
        <v>0.77800000000000002</v>
      </c>
      <c r="L875">
        <v>-99.998999999999995</v>
      </c>
      <c r="M875">
        <v>-99.998999999999995</v>
      </c>
      <c r="Q875" s="2">
        <f t="shared" si="67"/>
        <v>-1.3661317311961652</v>
      </c>
      <c r="T875" s="2">
        <f t="shared" si="68"/>
        <v>172185.03695485089</v>
      </c>
      <c r="W875" s="2">
        <f t="shared" si="69"/>
        <v>172185.03695485089</v>
      </c>
    </row>
    <row r="876" spans="1:23">
      <c r="A876">
        <v>1869</v>
      </c>
      <c r="B876">
        <v>9</v>
      </c>
      <c r="C876">
        <v>32</v>
      </c>
      <c r="D876">
        <v>4.8380000000000001</v>
      </c>
      <c r="E876" s="2">
        <f t="shared" si="65"/>
        <v>5</v>
      </c>
      <c r="F876" s="2">
        <f t="shared" si="66"/>
        <v>994</v>
      </c>
      <c r="G876">
        <v>1.0880000000000001</v>
      </c>
      <c r="H876">
        <v>0.69799999999999995</v>
      </c>
      <c r="I876">
        <v>0.79600000000000004</v>
      </c>
      <c r="J876">
        <v>0.77800000000000002</v>
      </c>
      <c r="K876">
        <v>0.77800000000000002</v>
      </c>
      <c r="L876">
        <v>-99.998999999999995</v>
      </c>
      <c r="M876">
        <v>-99.998999999999995</v>
      </c>
      <c r="Q876" s="2">
        <f t="shared" si="67"/>
        <v>-0.33198382946964267</v>
      </c>
      <c r="T876" s="2">
        <f t="shared" si="68"/>
        <v>259446.80512659237</v>
      </c>
      <c r="W876" s="2">
        <f t="shared" si="69"/>
        <v>259446.80512659237</v>
      </c>
    </row>
    <row r="877" spans="1:23">
      <c r="A877">
        <v>1870</v>
      </c>
      <c r="B877">
        <v>9</v>
      </c>
      <c r="C877">
        <v>32</v>
      </c>
      <c r="D877">
        <v>1.3120000000000001</v>
      </c>
      <c r="E877" s="2">
        <f t="shared" si="65"/>
        <v>1.5</v>
      </c>
      <c r="F877" s="2">
        <f t="shared" si="66"/>
        <v>778</v>
      </c>
      <c r="G877">
        <v>1.157</v>
      </c>
      <c r="H877">
        <v>0.69799999999999995</v>
      </c>
      <c r="I877">
        <v>0.79600000000000004</v>
      </c>
      <c r="J877">
        <v>0.77800000000000002</v>
      </c>
      <c r="K877">
        <v>0.77800000000000002</v>
      </c>
      <c r="L877">
        <v>-99.998999999999995</v>
      </c>
      <c r="M877">
        <v>-99.998999999999995</v>
      </c>
      <c r="Q877" s="2">
        <f t="shared" si="67"/>
        <v>-1.2808273115117239</v>
      </c>
      <c r="T877" s="2">
        <f t="shared" si="68"/>
        <v>179383.0542617575</v>
      </c>
      <c r="W877" s="2">
        <f t="shared" si="69"/>
        <v>179383.0542617575</v>
      </c>
    </row>
    <row r="878" spans="1:23">
      <c r="A878">
        <v>1871</v>
      </c>
      <c r="B878">
        <v>9</v>
      </c>
      <c r="C878">
        <v>32</v>
      </c>
      <c r="D878">
        <v>1.425</v>
      </c>
      <c r="E878" s="2">
        <f t="shared" si="65"/>
        <v>1.5</v>
      </c>
      <c r="F878" s="2">
        <f t="shared" si="66"/>
        <v>790</v>
      </c>
      <c r="G878">
        <v>1.127</v>
      </c>
      <c r="H878">
        <v>0.69799999999999995</v>
      </c>
      <c r="I878">
        <v>0.79600000000000004</v>
      </c>
      <c r="J878">
        <v>0.77800000000000002</v>
      </c>
      <c r="K878">
        <v>0.77800000000000002</v>
      </c>
      <c r="L878">
        <v>-99.998999999999995</v>
      </c>
      <c r="M878">
        <v>-99.998999999999995</v>
      </c>
      <c r="Q878" s="2">
        <f t="shared" si="67"/>
        <v>-1.2504191114349357</v>
      </c>
      <c r="T878" s="2">
        <f t="shared" si="68"/>
        <v>181948.90901153808</v>
      </c>
      <c r="W878" s="2">
        <f t="shared" si="69"/>
        <v>181948.90901153808</v>
      </c>
    </row>
    <row r="879" spans="1:23">
      <c r="A879">
        <v>1872</v>
      </c>
      <c r="B879">
        <v>9</v>
      </c>
      <c r="C879">
        <v>32</v>
      </c>
      <c r="D879">
        <v>0.16300000000000001</v>
      </c>
      <c r="E879" s="2">
        <f t="shared" si="65"/>
        <v>0</v>
      </c>
      <c r="F879" s="2">
        <f t="shared" si="66"/>
        <v>594</v>
      </c>
      <c r="G879">
        <v>1.0269999999999999</v>
      </c>
      <c r="H879">
        <v>0.69799999999999995</v>
      </c>
      <c r="I879">
        <v>0.79600000000000004</v>
      </c>
      <c r="J879">
        <v>0.77800000000000002</v>
      </c>
      <c r="K879">
        <v>0.77800000000000002</v>
      </c>
      <c r="L879">
        <v>-99.998999999999995</v>
      </c>
      <c r="M879">
        <v>-99.998999999999995</v>
      </c>
      <c r="Q879" s="2">
        <f t="shared" si="67"/>
        <v>-1.5900221954783578</v>
      </c>
      <c r="T879" s="2">
        <f t="shared" si="68"/>
        <v>153293.0798591213</v>
      </c>
      <c r="W879" s="2">
        <f t="shared" si="69"/>
        <v>153293.0798591213</v>
      </c>
    </row>
    <row r="880" spans="1:23">
      <c r="A880">
        <v>1873</v>
      </c>
      <c r="B880">
        <v>9</v>
      </c>
      <c r="C880">
        <v>32</v>
      </c>
      <c r="D880">
        <v>1.5</v>
      </c>
      <c r="E880" s="2">
        <f t="shared" si="65"/>
        <v>1.5</v>
      </c>
      <c r="F880" s="2">
        <f t="shared" si="66"/>
        <v>798</v>
      </c>
      <c r="G880">
        <v>0.88800000000000001</v>
      </c>
      <c r="H880">
        <v>0.69799999999999995</v>
      </c>
      <c r="I880">
        <v>0.79600000000000004</v>
      </c>
      <c r="J880">
        <v>0.77800000000000002</v>
      </c>
      <c r="K880">
        <v>0.77800000000000002</v>
      </c>
      <c r="L880">
        <v>-99.998999999999995</v>
      </c>
      <c r="M880">
        <v>-99.998999999999995</v>
      </c>
      <c r="Q880" s="2">
        <f t="shared" si="67"/>
        <v>-1.2302366777556515</v>
      </c>
      <c r="T880" s="2">
        <f t="shared" si="68"/>
        <v>183651.90995165793</v>
      </c>
      <c r="W880" s="2">
        <f t="shared" si="69"/>
        <v>183651.90995165793</v>
      </c>
    </row>
    <row r="881" spans="1:23">
      <c r="A881">
        <v>1874</v>
      </c>
      <c r="B881">
        <v>9</v>
      </c>
      <c r="C881">
        <v>32</v>
      </c>
      <c r="D881">
        <v>-2.2650000000000001</v>
      </c>
      <c r="E881" s="2">
        <f t="shared" si="65"/>
        <v>-2.5</v>
      </c>
      <c r="F881" s="2">
        <f t="shared" si="66"/>
        <v>209</v>
      </c>
      <c r="G881">
        <v>0.73399999999999999</v>
      </c>
      <c r="H881">
        <v>0.69799999999999995</v>
      </c>
      <c r="I881">
        <v>0.79600000000000004</v>
      </c>
      <c r="J881">
        <v>0.77800000000000002</v>
      </c>
      <c r="K881">
        <v>0.77800000000000002</v>
      </c>
      <c r="L881">
        <v>-99.998999999999995</v>
      </c>
      <c r="M881">
        <v>-99.998999999999995</v>
      </c>
      <c r="Q881" s="2">
        <f t="shared" si="67"/>
        <v>-2.2433948484557185</v>
      </c>
      <c r="T881" s="2">
        <f t="shared" si="68"/>
        <v>98161.262757641118</v>
      </c>
      <c r="W881" s="2">
        <f t="shared" si="69"/>
        <v>98161.262757641118</v>
      </c>
    </row>
    <row r="882" spans="1:23">
      <c r="A882">
        <v>1875</v>
      </c>
      <c r="B882">
        <v>9</v>
      </c>
      <c r="C882">
        <v>32</v>
      </c>
      <c r="D882">
        <v>0.22800000000000001</v>
      </c>
      <c r="E882" s="2">
        <f t="shared" si="65"/>
        <v>0</v>
      </c>
      <c r="F882" s="2">
        <f t="shared" si="66"/>
        <v>600</v>
      </c>
      <c r="G882">
        <v>0.58899999999999997</v>
      </c>
      <c r="H882">
        <v>0.69799999999999995</v>
      </c>
      <c r="I882">
        <v>0.79600000000000004</v>
      </c>
      <c r="J882">
        <v>0.77800000000000002</v>
      </c>
      <c r="K882">
        <v>0.77800000000000002</v>
      </c>
      <c r="L882">
        <v>-99.998999999999995</v>
      </c>
      <c r="M882">
        <v>-99.998999999999995</v>
      </c>
      <c r="Q882" s="2">
        <f t="shared" si="67"/>
        <v>-1.5725307529563115</v>
      </c>
      <c r="T882" s="2">
        <f t="shared" si="68"/>
        <v>154769.01400722517</v>
      </c>
      <c r="W882" s="2">
        <f t="shared" si="69"/>
        <v>154769.01400722517</v>
      </c>
    </row>
    <row r="883" spans="1:23">
      <c r="A883">
        <v>1876</v>
      </c>
      <c r="B883">
        <v>9</v>
      </c>
      <c r="C883">
        <v>32</v>
      </c>
      <c r="D883">
        <v>0.55600000000000005</v>
      </c>
      <c r="E883" s="2">
        <f t="shared" si="65"/>
        <v>0.5</v>
      </c>
      <c r="F883" s="2">
        <f t="shared" si="66"/>
        <v>661</v>
      </c>
      <c r="G883">
        <v>0.45800000000000002</v>
      </c>
      <c r="H883">
        <v>0.69799999999999995</v>
      </c>
      <c r="I883">
        <v>0.79600000000000004</v>
      </c>
      <c r="J883">
        <v>0.77800000000000002</v>
      </c>
      <c r="K883">
        <v>0.77800000000000002</v>
      </c>
      <c r="L883">
        <v>-99.998999999999995</v>
      </c>
      <c r="M883">
        <v>-99.998999999999995</v>
      </c>
      <c r="Q883" s="2">
        <f t="shared" si="67"/>
        <v>-1.4842662429989084</v>
      </c>
      <c r="T883" s="2">
        <f t="shared" si="68"/>
        <v>162216.80478534935</v>
      </c>
      <c r="W883" s="2">
        <f t="shared" si="69"/>
        <v>162216.80478534935</v>
      </c>
    </row>
    <row r="884" spans="1:23">
      <c r="A884">
        <v>1877</v>
      </c>
      <c r="B884">
        <v>9</v>
      </c>
      <c r="C884">
        <v>32</v>
      </c>
      <c r="D884">
        <v>1.5369999999999999</v>
      </c>
      <c r="E884" s="2">
        <f t="shared" si="65"/>
        <v>1.5</v>
      </c>
      <c r="F884" s="2">
        <f t="shared" si="66"/>
        <v>806</v>
      </c>
      <c r="G884">
        <v>0.33800000000000002</v>
      </c>
      <c r="H884">
        <v>0.69799999999999995</v>
      </c>
      <c r="I884">
        <v>0.79600000000000004</v>
      </c>
      <c r="J884">
        <v>0.77800000000000002</v>
      </c>
      <c r="K884">
        <v>0.77800000000000002</v>
      </c>
      <c r="L884">
        <v>-99.998999999999995</v>
      </c>
      <c r="M884">
        <v>-99.998999999999995</v>
      </c>
      <c r="Q884" s="2">
        <f t="shared" si="67"/>
        <v>-1.2202800104738714</v>
      </c>
      <c r="T884" s="2">
        <f t="shared" si="68"/>
        <v>184492.05708211707</v>
      </c>
      <c r="W884" s="2">
        <f t="shared" si="69"/>
        <v>184492.05708211707</v>
      </c>
    </row>
    <row r="885" spans="1:23">
      <c r="A885">
        <v>1878</v>
      </c>
      <c r="B885">
        <v>9</v>
      </c>
      <c r="C885">
        <v>32</v>
      </c>
      <c r="D885">
        <v>0.90900000000000003</v>
      </c>
      <c r="E885" s="2">
        <f t="shared" si="65"/>
        <v>1</v>
      </c>
      <c r="F885" s="2">
        <f t="shared" si="66"/>
        <v>713</v>
      </c>
      <c r="G885">
        <v>0.22800000000000001</v>
      </c>
      <c r="H885">
        <v>0.69799999999999995</v>
      </c>
      <c r="I885">
        <v>0.79600000000000004</v>
      </c>
      <c r="J885">
        <v>0.77800000000000002</v>
      </c>
      <c r="K885">
        <v>0.77800000000000002</v>
      </c>
      <c r="L885">
        <v>-99.998999999999995</v>
      </c>
      <c r="M885">
        <v>-99.998999999999995</v>
      </c>
      <c r="Q885" s="2">
        <f t="shared" si="67"/>
        <v>-1.389274255148411</v>
      </c>
      <c r="T885" s="2">
        <f t="shared" si="68"/>
        <v>170232.26254351347</v>
      </c>
      <c r="W885" s="2">
        <f t="shared" si="69"/>
        <v>170232.26254351347</v>
      </c>
    </row>
    <row r="886" spans="1:23">
      <c r="A886">
        <v>1879</v>
      </c>
      <c r="B886">
        <v>9</v>
      </c>
      <c r="C886">
        <v>32</v>
      </c>
      <c r="D886">
        <v>-2.6480000000000001</v>
      </c>
      <c r="E886" s="2">
        <f t="shared" si="65"/>
        <v>-2.5</v>
      </c>
      <c r="F886" s="2">
        <f t="shared" si="66"/>
        <v>158</v>
      </c>
      <c r="G886">
        <v>0.13700000000000001</v>
      </c>
      <c r="H886">
        <v>0.69799999999999995</v>
      </c>
      <c r="I886">
        <v>0.79600000000000004</v>
      </c>
      <c r="J886">
        <v>0.77800000000000002</v>
      </c>
      <c r="K886">
        <v>0.77800000000000002</v>
      </c>
      <c r="L886">
        <v>-99.998999999999995</v>
      </c>
      <c r="M886">
        <v>-99.998999999999995</v>
      </c>
      <c r="Q886" s="2">
        <f t="shared" si="67"/>
        <v>-2.3464598097779295</v>
      </c>
      <c r="T886" s="2">
        <f t="shared" si="68"/>
        <v>89464.60462342907</v>
      </c>
      <c r="W886" s="2">
        <f t="shared" si="69"/>
        <v>89464.60462342907</v>
      </c>
    </row>
    <row r="887" spans="1:23">
      <c r="A887">
        <v>1880</v>
      </c>
      <c r="B887">
        <v>9</v>
      </c>
      <c r="C887">
        <v>32</v>
      </c>
      <c r="D887">
        <v>-0.20499999999999999</v>
      </c>
      <c r="E887" s="2">
        <f t="shared" si="65"/>
        <v>0</v>
      </c>
      <c r="F887" s="2">
        <f t="shared" si="66"/>
        <v>536</v>
      </c>
      <c r="G887">
        <v>7.4999999999999997E-2</v>
      </c>
      <c r="H887">
        <v>0.69799999999999995</v>
      </c>
      <c r="I887">
        <v>0.79600000000000004</v>
      </c>
      <c r="J887">
        <v>0.77800000000000002</v>
      </c>
      <c r="K887">
        <v>0.77800000000000002</v>
      </c>
      <c r="L887">
        <v>-99.998999999999995</v>
      </c>
      <c r="M887">
        <v>-99.998999999999995</v>
      </c>
      <c r="Q887" s="2">
        <f t="shared" si="67"/>
        <v>-1.6890506700647121</v>
      </c>
      <c r="T887" s="2">
        <f t="shared" si="68"/>
        <v>144937.02191293321</v>
      </c>
      <c r="W887" s="2">
        <f t="shared" si="69"/>
        <v>144937.02191293321</v>
      </c>
    </row>
    <row r="888" spans="1:23">
      <c r="A888">
        <v>1881</v>
      </c>
      <c r="B888">
        <v>9</v>
      </c>
      <c r="C888">
        <v>32</v>
      </c>
      <c r="D888">
        <v>0.308</v>
      </c>
      <c r="E888" s="2">
        <f t="shared" si="65"/>
        <v>0.5</v>
      </c>
      <c r="F888" s="2">
        <f t="shared" si="66"/>
        <v>624</v>
      </c>
      <c r="G888">
        <v>3.5000000000000003E-2</v>
      </c>
      <c r="H888">
        <v>0.69799999999999995</v>
      </c>
      <c r="I888">
        <v>0.79600000000000004</v>
      </c>
      <c r="J888">
        <v>0.77800000000000002</v>
      </c>
      <c r="K888">
        <v>0.77800000000000002</v>
      </c>
      <c r="L888">
        <v>-99.998999999999995</v>
      </c>
      <c r="M888">
        <v>-99.998999999999995</v>
      </c>
      <c r="Q888" s="2">
        <f t="shared" si="67"/>
        <v>-1.5510028236984084</v>
      </c>
      <c r="T888" s="2">
        <f t="shared" si="68"/>
        <v>156585.54834335303</v>
      </c>
      <c r="W888" s="2">
        <f t="shared" si="69"/>
        <v>156585.54834335303</v>
      </c>
    </row>
    <row r="889" spans="1:23">
      <c r="A889">
        <v>1882</v>
      </c>
      <c r="B889">
        <v>9</v>
      </c>
      <c r="C889">
        <v>32</v>
      </c>
      <c r="D889">
        <v>0.36399999999999999</v>
      </c>
      <c r="E889" s="2">
        <f t="shared" si="65"/>
        <v>0.5</v>
      </c>
      <c r="F889" s="2">
        <f t="shared" si="66"/>
        <v>629</v>
      </c>
      <c r="G889">
        <v>4.0000000000000001E-3</v>
      </c>
      <c r="H889">
        <v>0.69799999999999995</v>
      </c>
      <c r="I889">
        <v>0.79600000000000004</v>
      </c>
      <c r="J889">
        <v>0.77800000000000002</v>
      </c>
      <c r="K889">
        <v>0.77800000000000002</v>
      </c>
      <c r="L889">
        <v>-99.998999999999995</v>
      </c>
      <c r="M889">
        <v>-99.998999999999995</v>
      </c>
      <c r="Q889" s="2">
        <f t="shared" si="67"/>
        <v>-1.5359332732178761</v>
      </c>
      <c r="T889" s="2">
        <f t="shared" si="68"/>
        <v>157857.12237864253</v>
      </c>
      <c r="W889" s="2">
        <f t="shared" si="69"/>
        <v>157857.12237864253</v>
      </c>
    </row>
    <row r="890" spans="1:23">
      <c r="A890">
        <v>1883</v>
      </c>
      <c r="B890">
        <v>9</v>
      </c>
      <c r="C890">
        <v>32</v>
      </c>
      <c r="D890">
        <v>0.46300000000000002</v>
      </c>
      <c r="E890" s="2">
        <f t="shared" si="65"/>
        <v>0.5</v>
      </c>
      <c r="F890" s="2">
        <f t="shared" si="66"/>
        <v>643</v>
      </c>
      <c r="G890">
        <v>-0.03</v>
      </c>
      <c r="H890">
        <v>0.69799999999999995</v>
      </c>
      <c r="I890">
        <v>0.79600000000000004</v>
      </c>
      <c r="J890">
        <v>0.77800000000000002</v>
      </c>
      <c r="K890">
        <v>0.77800000000000002</v>
      </c>
      <c r="L890">
        <v>-99.998999999999995</v>
      </c>
      <c r="M890">
        <v>-99.998999999999995</v>
      </c>
      <c r="Q890" s="2">
        <f t="shared" si="67"/>
        <v>-1.509292460761221</v>
      </c>
      <c r="T890" s="2">
        <f t="shared" si="68"/>
        <v>160105.08361960074</v>
      </c>
      <c r="W890" s="2">
        <f t="shared" si="69"/>
        <v>160105.08361960074</v>
      </c>
    </row>
    <row r="891" spans="1:23">
      <c r="A891">
        <v>1884</v>
      </c>
      <c r="B891">
        <v>9</v>
      </c>
      <c r="C891">
        <v>32</v>
      </c>
      <c r="D891">
        <v>1.8759999999999999</v>
      </c>
      <c r="E891" s="2">
        <f t="shared" si="65"/>
        <v>2</v>
      </c>
      <c r="F891" s="2">
        <f t="shared" si="66"/>
        <v>840</v>
      </c>
      <c r="G891">
        <v>-7.3999999999999996E-2</v>
      </c>
      <c r="H891">
        <v>0.69799999999999995</v>
      </c>
      <c r="I891">
        <v>0.79600000000000004</v>
      </c>
      <c r="J891">
        <v>0.77800000000000002</v>
      </c>
      <c r="K891">
        <v>0.77800000000000002</v>
      </c>
      <c r="L891">
        <v>-99.998999999999995</v>
      </c>
      <c r="M891">
        <v>-99.998999999999995</v>
      </c>
      <c r="Q891" s="2">
        <f t="shared" si="67"/>
        <v>-1.1290554102435066</v>
      </c>
      <c r="T891" s="2">
        <f t="shared" si="68"/>
        <v>192189.62133145885</v>
      </c>
      <c r="W891" s="2">
        <f t="shared" si="69"/>
        <v>192189.62133145885</v>
      </c>
    </row>
    <row r="892" spans="1:23">
      <c r="A892">
        <v>1885</v>
      </c>
      <c r="B892">
        <v>9</v>
      </c>
      <c r="C892">
        <v>32</v>
      </c>
      <c r="D892">
        <v>1.633</v>
      </c>
      <c r="E892" s="2">
        <f t="shared" si="65"/>
        <v>1.5</v>
      </c>
      <c r="F892" s="2">
        <f t="shared" si="66"/>
        <v>815</v>
      </c>
      <c r="G892">
        <v>-0.128</v>
      </c>
      <c r="H892">
        <v>0.69799999999999995</v>
      </c>
      <c r="I892">
        <v>0.79600000000000004</v>
      </c>
      <c r="J892">
        <v>0.77800000000000002</v>
      </c>
      <c r="K892">
        <v>0.77800000000000002</v>
      </c>
      <c r="L892">
        <v>-99.998999999999995</v>
      </c>
      <c r="M892">
        <v>-99.998999999999995</v>
      </c>
      <c r="Q892" s="2">
        <f t="shared" si="67"/>
        <v>-1.1944464953643874</v>
      </c>
      <c r="T892" s="2">
        <f t="shared" si="68"/>
        <v>186671.8982854705</v>
      </c>
      <c r="W892" s="2">
        <f t="shared" si="69"/>
        <v>186671.8982854705</v>
      </c>
    </row>
    <row r="893" spans="1:23">
      <c r="A893">
        <v>1886</v>
      </c>
      <c r="B893">
        <v>9</v>
      </c>
      <c r="C893">
        <v>32</v>
      </c>
      <c r="D893">
        <v>-3.4580000000000002</v>
      </c>
      <c r="E893" s="2">
        <f t="shared" si="65"/>
        <v>-3.5</v>
      </c>
      <c r="F893" s="2">
        <f t="shared" si="66"/>
        <v>79</v>
      </c>
      <c r="G893">
        <v>-0.17699999999999999</v>
      </c>
      <c r="H893">
        <v>0.69799999999999995</v>
      </c>
      <c r="I893">
        <v>0.79600000000000004</v>
      </c>
      <c r="J893">
        <v>0.77800000000000002</v>
      </c>
      <c r="K893">
        <v>0.77800000000000002</v>
      </c>
      <c r="L893">
        <v>-99.998999999999995</v>
      </c>
      <c r="M893">
        <v>-99.998999999999995</v>
      </c>
      <c r="Q893" s="2">
        <f t="shared" si="67"/>
        <v>-2.5644300935141988</v>
      </c>
      <c r="T893" s="2">
        <f t="shared" si="68"/>
        <v>71072.194470134622</v>
      </c>
      <c r="W893" s="2">
        <f t="shared" si="69"/>
        <v>71072.194470134622</v>
      </c>
    </row>
    <row r="894" spans="1:23">
      <c r="A894">
        <v>1887</v>
      </c>
      <c r="B894">
        <v>9</v>
      </c>
      <c r="C894">
        <v>32</v>
      </c>
      <c r="D894">
        <v>-4.12</v>
      </c>
      <c r="E894" s="2">
        <f t="shared" si="65"/>
        <v>-4</v>
      </c>
      <c r="F894" s="2">
        <f t="shared" si="66"/>
        <v>25</v>
      </c>
      <c r="G894">
        <v>-0.19600000000000001</v>
      </c>
      <c r="H894">
        <v>0.69799999999999995</v>
      </c>
      <c r="I894">
        <v>0.79600000000000004</v>
      </c>
      <c r="J894">
        <v>0.77800000000000002</v>
      </c>
      <c r="K894">
        <v>0.77800000000000002</v>
      </c>
      <c r="L894">
        <v>-99.998999999999995</v>
      </c>
      <c r="M894">
        <v>-99.998999999999995</v>
      </c>
      <c r="Q894" s="2">
        <f t="shared" si="67"/>
        <v>-2.7425737081233477</v>
      </c>
      <c r="T894" s="2">
        <f t="shared" si="68"/>
        <v>56040.372838676674</v>
      </c>
      <c r="W894" s="2">
        <f t="shared" si="69"/>
        <v>56040.372838676674</v>
      </c>
    </row>
    <row r="895" spans="1:23">
      <c r="A895">
        <v>1888</v>
      </c>
      <c r="B895">
        <v>9</v>
      </c>
      <c r="C895">
        <v>32</v>
      </c>
      <c r="D895">
        <v>1.5569999999999999</v>
      </c>
      <c r="E895" s="2">
        <f t="shared" si="65"/>
        <v>1.5</v>
      </c>
      <c r="F895" s="2">
        <f t="shared" si="66"/>
        <v>811</v>
      </c>
      <c r="G895">
        <v>-0.185</v>
      </c>
      <c r="H895">
        <v>0.69799999999999995</v>
      </c>
      <c r="I895">
        <v>0.79600000000000004</v>
      </c>
      <c r="J895">
        <v>0.77800000000000002</v>
      </c>
      <c r="K895">
        <v>0.77800000000000002</v>
      </c>
      <c r="L895">
        <v>-99.998999999999995</v>
      </c>
      <c r="M895">
        <v>-99.998999999999995</v>
      </c>
      <c r="Q895" s="2">
        <f t="shared" si="67"/>
        <v>-1.2148980281593955</v>
      </c>
      <c r="T895" s="2">
        <f t="shared" si="68"/>
        <v>184946.19066614902</v>
      </c>
      <c r="W895" s="2">
        <f t="shared" si="69"/>
        <v>184946.19066614902</v>
      </c>
    </row>
    <row r="896" spans="1:23">
      <c r="A896">
        <v>1889</v>
      </c>
      <c r="B896">
        <v>9</v>
      </c>
      <c r="C896">
        <v>32</v>
      </c>
      <c r="D896">
        <v>-0.9</v>
      </c>
      <c r="E896" s="2">
        <f t="shared" si="65"/>
        <v>-1</v>
      </c>
      <c r="F896" s="2">
        <f t="shared" si="66"/>
        <v>404</v>
      </c>
      <c r="G896">
        <v>-0.17199999999999999</v>
      </c>
      <c r="H896">
        <v>0.69799999999999995</v>
      </c>
      <c r="I896">
        <v>0.79600000000000004</v>
      </c>
      <c r="J896">
        <v>0.77800000000000002</v>
      </c>
      <c r="K896">
        <v>0.77800000000000002</v>
      </c>
      <c r="L896">
        <v>-99.998999999999995</v>
      </c>
      <c r="M896">
        <v>-99.998999999999995</v>
      </c>
      <c r="Q896" s="2">
        <f t="shared" si="67"/>
        <v>-1.8760745554927458</v>
      </c>
      <c r="T896" s="2">
        <f t="shared" si="68"/>
        <v>129155.87986782254</v>
      </c>
      <c r="W896" s="2">
        <f t="shared" si="69"/>
        <v>129155.87986782254</v>
      </c>
    </row>
    <row r="897" spans="1:23">
      <c r="A897">
        <v>1890</v>
      </c>
      <c r="B897">
        <v>9</v>
      </c>
      <c r="C897">
        <v>32</v>
      </c>
      <c r="D897">
        <v>3.173</v>
      </c>
      <c r="E897" s="2">
        <f t="shared" si="65"/>
        <v>3</v>
      </c>
      <c r="F897" s="2">
        <f t="shared" si="66"/>
        <v>944</v>
      </c>
      <c r="G897">
        <v>-0.18099999999999999</v>
      </c>
      <c r="H897">
        <v>0.69799999999999995</v>
      </c>
      <c r="I897">
        <v>0.79600000000000004</v>
      </c>
      <c r="J897">
        <v>0.77800000000000002</v>
      </c>
      <c r="K897">
        <v>0.77800000000000002</v>
      </c>
      <c r="L897">
        <v>-99.998999999999995</v>
      </c>
      <c r="M897">
        <v>-99.998999999999995</v>
      </c>
      <c r="Q897" s="2">
        <f t="shared" si="67"/>
        <v>-0.78003385714975193</v>
      </c>
      <c r="T897" s="2">
        <f t="shared" si="68"/>
        <v>221640.18425593156</v>
      </c>
      <c r="W897" s="2">
        <f t="shared" si="69"/>
        <v>221640.18425593156</v>
      </c>
    </row>
    <row r="898" spans="1:23">
      <c r="A898">
        <v>1891</v>
      </c>
      <c r="B898">
        <v>9</v>
      </c>
      <c r="C898">
        <v>32</v>
      </c>
      <c r="D898">
        <v>1.8420000000000001</v>
      </c>
      <c r="E898" s="2">
        <f t="shared" si="65"/>
        <v>2</v>
      </c>
      <c r="F898" s="2">
        <f t="shared" si="66"/>
        <v>837</v>
      </c>
      <c r="G898">
        <v>-0.23200000000000001</v>
      </c>
      <c r="H898">
        <v>0.69799999999999995</v>
      </c>
      <c r="I898">
        <v>0.79600000000000004</v>
      </c>
      <c r="J898">
        <v>0.77800000000000002</v>
      </c>
      <c r="K898">
        <v>0.77800000000000002</v>
      </c>
      <c r="L898">
        <v>-99.998999999999995</v>
      </c>
      <c r="M898">
        <v>-99.998999999999995</v>
      </c>
      <c r="Q898" s="2">
        <f t="shared" si="67"/>
        <v>-1.1382047801781154</v>
      </c>
      <c r="T898" s="2">
        <f t="shared" si="68"/>
        <v>191417.59423860451</v>
      </c>
      <c r="W898" s="2">
        <f t="shared" si="69"/>
        <v>191417.59423860451</v>
      </c>
    </row>
    <row r="899" spans="1:23">
      <c r="A899">
        <v>1892</v>
      </c>
      <c r="B899">
        <v>9</v>
      </c>
      <c r="C899">
        <v>32</v>
      </c>
      <c r="D899">
        <v>0.27300000000000002</v>
      </c>
      <c r="E899" s="2">
        <f t="shared" ref="E899:E962" si="70">IF(D899&gt;0,MROUND(D899,0.5),MROUND(D899,-0.5))</f>
        <v>0.5</v>
      </c>
      <c r="F899" s="2">
        <f t="shared" ref="F899:F962" si="71">RANK(D899,$D$3:$D$1011,1)</f>
        <v>615</v>
      </c>
      <c r="G899">
        <v>-0.32100000000000001</v>
      </c>
      <c r="H899">
        <v>0.69799999999999995</v>
      </c>
      <c r="I899">
        <v>0.79600000000000004</v>
      </c>
      <c r="J899">
        <v>0.77800000000000002</v>
      </c>
      <c r="K899">
        <v>0.77800000000000002</v>
      </c>
      <c r="L899">
        <v>-99.998999999999995</v>
      </c>
      <c r="M899">
        <v>-99.998999999999995</v>
      </c>
      <c r="Q899" s="2">
        <f t="shared" ref="Q899:Q946" si="72">$Q$1022+($Q$1021*D899)</f>
        <v>-1.5604212927487409</v>
      </c>
      <c r="T899" s="2">
        <f t="shared" ref="T899:T954" si="73">$T$1025+(Q899*$T$1024)</f>
        <v>155790.81457129709</v>
      </c>
      <c r="W899" s="2">
        <f t="shared" ref="W899:W946" si="74">$T$1025+(Q899*$T$1024)</f>
        <v>155790.81457129709</v>
      </c>
    </row>
    <row r="900" spans="1:23">
      <c r="A900">
        <v>1893</v>
      </c>
      <c r="B900">
        <v>9</v>
      </c>
      <c r="C900">
        <v>32</v>
      </c>
      <c r="D900">
        <v>-0.53200000000000003</v>
      </c>
      <c r="E900" s="2">
        <f t="shared" si="70"/>
        <v>-0.5</v>
      </c>
      <c r="F900" s="2">
        <f t="shared" si="71"/>
        <v>477</v>
      </c>
      <c r="G900">
        <v>-0.42699999999999999</v>
      </c>
      <c r="H900">
        <v>0.69799999999999995</v>
      </c>
      <c r="I900">
        <v>0.79600000000000004</v>
      </c>
      <c r="J900">
        <v>0.77800000000000002</v>
      </c>
      <c r="K900">
        <v>0.77800000000000002</v>
      </c>
      <c r="L900">
        <v>-99.998999999999995</v>
      </c>
      <c r="M900">
        <v>-99.998999999999995</v>
      </c>
      <c r="Q900" s="2">
        <f t="shared" si="72"/>
        <v>-1.7770460809063913</v>
      </c>
      <c r="T900" s="2">
        <f t="shared" si="73"/>
        <v>137511.93781401063</v>
      </c>
      <c r="W900" s="2">
        <f t="shared" si="74"/>
        <v>137511.93781401063</v>
      </c>
    </row>
    <row r="901" spans="1:23">
      <c r="A901">
        <v>1894</v>
      </c>
      <c r="B901">
        <v>9</v>
      </c>
      <c r="C901">
        <v>32</v>
      </c>
      <c r="D901">
        <v>-2.9420000000000002</v>
      </c>
      <c r="E901" s="2">
        <f t="shared" si="70"/>
        <v>-3</v>
      </c>
      <c r="F901" s="2">
        <f t="shared" si="71"/>
        <v>118</v>
      </c>
      <c r="G901">
        <v>-0.51700000000000002</v>
      </c>
      <c r="H901">
        <v>0.69799999999999995</v>
      </c>
      <c r="I901">
        <v>0.79600000000000004</v>
      </c>
      <c r="J901">
        <v>0.77800000000000002</v>
      </c>
      <c r="K901">
        <v>0.77800000000000002</v>
      </c>
      <c r="L901">
        <v>-99.998999999999995</v>
      </c>
      <c r="M901">
        <v>-99.998999999999995</v>
      </c>
      <c r="Q901" s="2">
        <f t="shared" si="72"/>
        <v>-2.4255749498007235</v>
      </c>
      <c r="T901" s="2">
        <f t="shared" si="73"/>
        <v>82788.840938159236</v>
      </c>
      <c r="W901" s="2">
        <f t="shared" si="74"/>
        <v>82788.840938159236</v>
      </c>
    </row>
    <row r="902" spans="1:23">
      <c r="A902">
        <v>1895</v>
      </c>
      <c r="B902">
        <v>9</v>
      </c>
      <c r="C902">
        <v>32</v>
      </c>
      <c r="D902">
        <v>-1.57</v>
      </c>
      <c r="E902" s="2">
        <f t="shared" si="70"/>
        <v>-1.5</v>
      </c>
      <c r="F902" s="2">
        <f t="shared" si="71"/>
        <v>310</v>
      </c>
      <c r="G902">
        <v>-0.56599999999999995</v>
      </c>
      <c r="H902">
        <v>0.69799999999999995</v>
      </c>
      <c r="I902">
        <v>0.79600000000000004</v>
      </c>
      <c r="J902">
        <v>0.77800000000000002</v>
      </c>
      <c r="K902">
        <v>0.77800000000000002</v>
      </c>
      <c r="L902">
        <v>-99.998999999999995</v>
      </c>
      <c r="M902">
        <v>-99.998999999999995</v>
      </c>
      <c r="Q902" s="2">
        <f t="shared" si="72"/>
        <v>-2.0563709630276845</v>
      </c>
      <c r="T902" s="2">
        <f t="shared" si="73"/>
        <v>113942.40480275181</v>
      </c>
      <c r="W902" s="2">
        <f t="shared" si="74"/>
        <v>113942.40480275181</v>
      </c>
    </row>
    <row r="903" spans="1:23">
      <c r="A903">
        <v>1896</v>
      </c>
      <c r="B903">
        <v>9</v>
      </c>
      <c r="C903">
        <v>32</v>
      </c>
      <c r="D903">
        <v>-2.6549999999999998</v>
      </c>
      <c r="E903" s="2">
        <f t="shared" si="70"/>
        <v>-2.5</v>
      </c>
      <c r="F903" s="2">
        <f t="shared" si="71"/>
        <v>157</v>
      </c>
      <c r="G903">
        <v>-0.56399999999999995</v>
      </c>
      <c r="H903">
        <v>0.69799999999999995</v>
      </c>
      <c r="I903">
        <v>0.79600000000000004</v>
      </c>
      <c r="J903">
        <v>0.77800000000000002</v>
      </c>
      <c r="K903">
        <v>0.77800000000000002</v>
      </c>
      <c r="L903">
        <v>-99.998999999999995</v>
      </c>
      <c r="M903">
        <v>-99.998999999999995</v>
      </c>
      <c r="Q903" s="2">
        <f t="shared" si="72"/>
        <v>-2.348343503587996</v>
      </c>
      <c r="T903" s="2">
        <f t="shared" si="73"/>
        <v>89305.657869017887</v>
      </c>
      <c r="W903" s="2">
        <f t="shared" si="74"/>
        <v>89305.657869017887</v>
      </c>
    </row>
    <row r="904" spans="1:23">
      <c r="A904">
        <v>1897</v>
      </c>
      <c r="B904">
        <v>9</v>
      </c>
      <c r="C904">
        <v>32</v>
      </c>
      <c r="D904">
        <v>-0.13800000000000001</v>
      </c>
      <c r="E904" s="2">
        <f t="shared" si="70"/>
        <v>0</v>
      </c>
      <c r="F904" s="2">
        <f t="shared" si="71"/>
        <v>546</v>
      </c>
      <c r="G904">
        <v>-0.51700000000000002</v>
      </c>
      <c r="H904">
        <v>0.69799999999999995</v>
      </c>
      <c r="I904">
        <v>0.79600000000000004</v>
      </c>
      <c r="J904">
        <v>0.77800000000000002</v>
      </c>
      <c r="K904">
        <v>0.77800000000000002</v>
      </c>
      <c r="L904">
        <v>-99.998999999999995</v>
      </c>
      <c r="M904">
        <v>-99.998999999999995</v>
      </c>
      <c r="Q904" s="2">
        <f t="shared" si="72"/>
        <v>-1.6710210293112184</v>
      </c>
      <c r="T904" s="2">
        <f t="shared" si="73"/>
        <v>146458.36941944028</v>
      </c>
      <c r="W904" s="2">
        <f t="shared" si="74"/>
        <v>146458.36941944028</v>
      </c>
    </row>
    <row r="905" spans="1:23">
      <c r="A905">
        <v>1898</v>
      </c>
      <c r="B905">
        <v>9</v>
      </c>
      <c r="C905">
        <v>32</v>
      </c>
      <c r="D905">
        <v>0.78900000000000003</v>
      </c>
      <c r="E905" s="2">
        <f t="shared" si="70"/>
        <v>1</v>
      </c>
      <c r="F905" s="2">
        <f t="shared" si="71"/>
        <v>697</v>
      </c>
      <c r="G905">
        <v>-0.442</v>
      </c>
      <c r="H905">
        <v>0.69799999999999995</v>
      </c>
      <c r="I905">
        <v>0.79600000000000004</v>
      </c>
      <c r="J905">
        <v>0.77800000000000002</v>
      </c>
      <c r="K905">
        <v>0.77800000000000002</v>
      </c>
      <c r="L905">
        <v>-99.998999999999995</v>
      </c>
      <c r="M905">
        <v>-99.998999999999995</v>
      </c>
      <c r="Q905" s="2">
        <f t="shared" si="72"/>
        <v>-1.4215661490352656</v>
      </c>
      <c r="T905" s="2">
        <f t="shared" si="73"/>
        <v>167507.46103932173</v>
      </c>
      <c r="W905" s="2">
        <f t="shared" si="74"/>
        <v>167507.46103932173</v>
      </c>
    </row>
    <row r="906" spans="1:23">
      <c r="A906">
        <v>1899</v>
      </c>
      <c r="B906">
        <v>9</v>
      </c>
      <c r="C906">
        <v>32</v>
      </c>
      <c r="D906">
        <v>-0.28499999999999998</v>
      </c>
      <c r="E906" s="2">
        <f t="shared" si="70"/>
        <v>-0.5</v>
      </c>
      <c r="F906" s="2">
        <f t="shared" si="71"/>
        <v>518</v>
      </c>
      <c r="G906">
        <v>-0.35899999999999999</v>
      </c>
      <c r="H906">
        <v>0.69799999999999995</v>
      </c>
      <c r="I906">
        <v>0.79600000000000004</v>
      </c>
      <c r="J906">
        <v>0.77800000000000002</v>
      </c>
      <c r="K906">
        <v>0.77800000000000002</v>
      </c>
      <c r="L906">
        <v>-99.998999999999995</v>
      </c>
      <c r="M906">
        <v>-99.998999999999995</v>
      </c>
      <c r="Q906" s="2">
        <f t="shared" si="72"/>
        <v>-1.7105785993226152</v>
      </c>
      <c r="T906" s="2">
        <f t="shared" si="73"/>
        <v>143120.48757680538</v>
      </c>
      <c r="W906" s="2">
        <f t="shared" si="74"/>
        <v>143120.48757680538</v>
      </c>
    </row>
    <row r="907" spans="1:23">
      <c r="A907">
        <v>1900</v>
      </c>
      <c r="B907">
        <v>9</v>
      </c>
      <c r="C907">
        <v>32</v>
      </c>
      <c r="D907">
        <v>2.3570000000000002</v>
      </c>
      <c r="E907" s="2">
        <f t="shared" si="70"/>
        <v>2.5</v>
      </c>
      <c r="F907" s="2">
        <f t="shared" si="71"/>
        <v>890</v>
      </c>
      <c r="G907">
        <v>-0.27800000000000002</v>
      </c>
      <c r="H907">
        <v>0.69799999999999995</v>
      </c>
      <c r="I907">
        <v>0.79600000000000004</v>
      </c>
      <c r="J907">
        <v>0.77800000000000002</v>
      </c>
      <c r="K907">
        <v>0.77800000000000002</v>
      </c>
      <c r="L907">
        <v>2.2050000000000001</v>
      </c>
      <c r="M907">
        <v>0.13900000000000001</v>
      </c>
      <c r="Q907" s="2">
        <f t="shared" si="72"/>
        <v>-0.99961873558036396</v>
      </c>
      <c r="T907" s="2">
        <f t="shared" si="73"/>
        <v>203111.53402742752</v>
      </c>
      <c r="W907" s="2">
        <f t="shared" si="74"/>
        <v>203111.53402742752</v>
      </c>
    </row>
    <row r="908" spans="1:23">
      <c r="A908">
        <v>1901</v>
      </c>
      <c r="B908">
        <v>9</v>
      </c>
      <c r="C908">
        <v>32</v>
      </c>
      <c r="D908">
        <v>-2.2810000000000001</v>
      </c>
      <c r="E908" s="2">
        <f t="shared" si="70"/>
        <v>-2.5</v>
      </c>
      <c r="F908" s="2">
        <f t="shared" si="71"/>
        <v>206</v>
      </c>
      <c r="G908">
        <v>-0.19900000000000001</v>
      </c>
      <c r="H908">
        <v>0.69799999999999995</v>
      </c>
      <c r="I908">
        <v>0.79600000000000004</v>
      </c>
      <c r="J908">
        <v>0.77800000000000002</v>
      </c>
      <c r="K908">
        <v>0.77800000000000002</v>
      </c>
      <c r="L908">
        <v>-2.4849999999999999</v>
      </c>
      <c r="M908">
        <v>8.7999999999999995E-2</v>
      </c>
      <c r="Q908" s="2">
        <f t="shared" si="72"/>
        <v>-2.2477004343072986</v>
      </c>
      <c r="T908" s="2">
        <f t="shared" si="73"/>
        <v>97797.955890415586</v>
      </c>
      <c r="W908" s="2">
        <f t="shared" si="74"/>
        <v>97797.955890415586</v>
      </c>
    </row>
    <row r="909" spans="1:23">
      <c r="A909">
        <v>1902</v>
      </c>
      <c r="B909">
        <v>9</v>
      </c>
      <c r="C909">
        <v>32</v>
      </c>
      <c r="D909">
        <v>-2.7610000000000001</v>
      </c>
      <c r="E909" s="2">
        <f t="shared" si="70"/>
        <v>-3</v>
      </c>
      <c r="F909" s="2">
        <f t="shared" si="71"/>
        <v>139</v>
      </c>
      <c r="G909">
        <v>-0.114</v>
      </c>
      <c r="H909">
        <v>0.69799999999999995</v>
      </c>
      <c r="I909">
        <v>0.79600000000000004</v>
      </c>
      <c r="J909">
        <v>0.77800000000000002</v>
      </c>
      <c r="K909">
        <v>0.77800000000000002</v>
      </c>
      <c r="L909">
        <v>-2.4689999999999999</v>
      </c>
      <c r="M909">
        <v>5.2999999999999999E-2</v>
      </c>
      <c r="Q909" s="2">
        <f t="shared" si="72"/>
        <v>-2.3768680098547179</v>
      </c>
      <c r="T909" s="2">
        <f t="shared" si="73"/>
        <v>86898.749873648485</v>
      </c>
      <c r="W909" s="2">
        <f t="shared" si="74"/>
        <v>86898.749873648485</v>
      </c>
    </row>
    <row r="910" spans="1:23">
      <c r="A910">
        <v>1903</v>
      </c>
      <c r="B910">
        <v>9</v>
      </c>
      <c r="C910">
        <v>32</v>
      </c>
      <c r="D910">
        <v>2.5760000000000001</v>
      </c>
      <c r="E910" s="2">
        <f t="shared" si="70"/>
        <v>2.5</v>
      </c>
      <c r="F910" s="2">
        <f t="shared" si="71"/>
        <v>909</v>
      </c>
      <c r="G910">
        <v>-2.3E-2</v>
      </c>
      <c r="H910">
        <v>0.69799999999999995</v>
      </c>
      <c r="I910">
        <v>0.79600000000000004</v>
      </c>
      <c r="J910">
        <v>0.77800000000000002</v>
      </c>
      <c r="K910">
        <v>0.77800000000000002</v>
      </c>
      <c r="L910">
        <v>2.044</v>
      </c>
      <c r="M910">
        <v>2.8000000000000001E-2</v>
      </c>
      <c r="Q910" s="2">
        <f t="shared" si="72"/>
        <v>-0.94068602923685407</v>
      </c>
      <c r="T910" s="2">
        <f t="shared" si="73"/>
        <v>208084.29677257751</v>
      </c>
      <c r="W910" s="2">
        <f t="shared" si="74"/>
        <v>208084.29677257751</v>
      </c>
    </row>
    <row r="911" spans="1:23">
      <c r="A911">
        <v>1904</v>
      </c>
      <c r="B911">
        <v>9</v>
      </c>
      <c r="C911">
        <v>32</v>
      </c>
      <c r="D911">
        <v>-1.6459999999999999</v>
      </c>
      <c r="E911" s="2">
        <f t="shared" si="70"/>
        <v>-1.5</v>
      </c>
      <c r="F911" s="2">
        <f t="shared" si="71"/>
        <v>299</v>
      </c>
      <c r="G911">
        <v>5.2999999999999999E-2</v>
      </c>
      <c r="H911">
        <v>0.69799999999999995</v>
      </c>
      <c r="I911">
        <v>0.79600000000000004</v>
      </c>
      <c r="J911">
        <v>0.77800000000000002</v>
      </c>
      <c r="K911">
        <v>0.77800000000000002</v>
      </c>
      <c r="L911">
        <v>-0.54700000000000004</v>
      </c>
      <c r="M911">
        <v>-7.0000000000000001E-3</v>
      </c>
      <c r="Q911" s="2">
        <f t="shared" si="72"/>
        <v>-2.0768224958226926</v>
      </c>
      <c r="T911" s="2">
        <f t="shared" si="73"/>
        <v>112216.69718343037</v>
      </c>
      <c r="W911" s="2">
        <f t="shared" si="74"/>
        <v>112216.69718343037</v>
      </c>
    </row>
    <row r="912" spans="1:23">
      <c r="A912">
        <v>1905</v>
      </c>
      <c r="B912">
        <v>9</v>
      </c>
      <c r="C912">
        <v>32</v>
      </c>
      <c r="D912">
        <v>2.2919999999999998</v>
      </c>
      <c r="E912" s="2">
        <f t="shared" si="70"/>
        <v>2.5</v>
      </c>
      <c r="F912" s="2">
        <f t="shared" si="71"/>
        <v>885</v>
      </c>
      <c r="G912">
        <v>0.107</v>
      </c>
      <c r="H912">
        <v>0.69799999999999995</v>
      </c>
      <c r="I912">
        <v>0.79600000000000004</v>
      </c>
      <c r="J912">
        <v>0.77800000000000002</v>
      </c>
      <c r="K912">
        <v>0.77800000000000002</v>
      </c>
      <c r="L912">
        <v>2.145</v>
      </c>
      <c r="M912">
        <v>-6.7000000000000004E-2</v>
      </c>
      <c r="Q912" s="2">
        <f t="shared" si="72"/>
        <v>-1.0171101781024103</v>
      </c>
      <c r="T912" s="2">
        <f t="shared" si="73"/>
        <v>201635.59987932362</v>
      </c>
      <c r="W912" s="2">
        <f t="shared" si="74"/>
        <v>201635.59987932362</v>
      </c>
    </row>
    <row r="913" spans="1:23">
      <c r="A913">
        <v>1906</v>
      </c>
      <c r="B913">
        <v>9</v>
      </c>
      <c r="C913">
        <v>32</v>
      </c>
      <c r="D913">
        <v>-0.51800000000000002</v>
      </c>
      <c r="E913" s="2">
        <f t="shared" si="70"/>
        <v>-0.5</v>
      </c>
      <c r="F913" s="2">
        <f t="shared" si="71"/>
        <v>480</v>
      </c>
      <c r="G913">
        <v>0.126</v>
      </c>
      <c r="H913">
        <v>0.69799999999999995</v>
      </c>
      <c r="I913">
        <v>0.79600000000000004</v>
      </c>
      <c r="J913">
        <v>0.77800000000000002</v>
      </c>
      <c r="K913">
        <v>0.77800000000000002</v>
      </c>
      <c r="L913">
        <v>1.0469999999999999</v>
      </c>
      <c r="M913">
        <v>-0.16300000000000001</v>
      </c>
      <c r="Q913" s="2">
        <f t="shared" si="72"/>
        <v>-1.7732786932862583</v>
      </c>
      <c r="T913" s="2">
        <f t="shared" si="73"/>
        <v>137829.83132283299</v>
      </c>
      <c r="W913" s="2">
        <f t="shared" si="74"/>
        <v>137829.83132283299</v>
      </c>
    </row>
    <row r="914" spans="1:23">
      <c r="A914">
        <v>1907</v>
      </c>
      <c r="B914">
        <v>9</v>
      </c>
      <c r="C914">
        <v>32</v>
      </c>
      <c r="D914">
        <v>0.89700000000000002</v>
      </c>
      <c r="E914" s="2">
        <f t="shared" si="70"/>
        <v>1</v>
      </c>
      <c r="F914" s="2">
        <f t="shared" si="71"/>
        <v>711</v>
      </c>
      <c r="G914">
        <v>0.108</v>
      </c>
      <c r="H914">
        <v>0.69799999999999995</v>
      </c>
      <c r="I914">
        <v>0.79600000000000004</v>
      </c>
      <c r="J914">
        <v>0.77800000000000002</v>
      </c>
      <c r="K914">
        <v>0.77800000000000002</v>
      </c>
      <c r="L914">
        <v>-0.32100000000000001</v>
      </c>
      <c r="M914">
        <v>-0.28999999999999998</v>
      </c>
      <c r="Q914" s="2">
        <f t="shared" si="72"/>
        <v>-1.3925034445370963</v>
      </c>
      <c r="T914" s="2">
        <f t="shared" si="73"/>
        <v>169959.78239309433</v>
      </c>
      <c r="W914" s="2">
        <f t="shared" si="74"/>
        <v>169959.78239309433</v>
      </c>
    </row>
    <row r="915" spans="1:23">
      <c r="A915">
        <v>1908</v>
      </c>
      <c r="B915">
        <v>9</v>
      </c>
      <c r="C915">
        <v>32</v>
      </c>
      <c r="D915">
        <v>3.0830000000000002</v>
      </c>
      <c r="E915" s="2">
        <f t="shared" si="70"/>
        <v>3</v>
      </c>
      <c r="F915" s="2">
        <f t="shared" si="71"/>
        <v>941</v>
      </c>
      <c r="G915">
        <v>5.2999999999999999E-2</v>
      </c>
      <c r="H915">
        <v>0.69799999999999995</v>
      </c>
      <c r="I915">
        <v>0.79600000000000004</v>
      </c>
      <c r="J915">
        <v>0.77800000000000002</v>
      </c>
      <c r="K915">
        <v>0.77800000000000002</v>
      </c>
      <c r="L915">
        <v>1.871</v>
      </c>
      <c r="M915">
        <v>-0.43099999999999999</v>
      </c>
      <c r="Q915" s="2">
        <f t="shared" si="72"/>
        <v>-0.80425277756489288</v>
      </c>
      <c r="T915" s="2">
        <f t="shared" si="73"/>
        <v>219596.58312778774</v>
      </c>
      <c r="W915" s="2">
        <f t="shared" si="74"/>
        <v>219596.58312778774</v>
      </c>
    </row>
    <row r="916" spans="1:23">
      <c r="A916">
        <v>1909</v>
      </c>
      <c r="B916">
        <v>9</v>
      </c>
      <c r="C916">
        <v>32</v>
      </c>
      <c r="D916">
        <v>-1.0089999999999999</v>
      </c>
      <c r="E916" s="2">
        <f t="shared" si="70"/>
        <v>-1</v>
      </c>
      <c r="F916" s="2">
        <f t="shared" si="71"/>
        <v>393</v>
      </c>
      <c r="G916">
        <v>-3.3000000000000002E-2</v>
      </c>
      <c r="H916">
        <v>0.69799999999999995</v>
      </c>
      <c r="I916">
        <v>0.79600000000000004</v>
      </c>
      <c r="J916">
        <v>0.77800000000000002</v>
      </c>
      <c r="K916">
        <v>0.77800000000000002</v>
      </c>
      <c r="L916">
        <v>-2.8730000000000002</v>
      </c>
      <c r="M916">
        <v>-0.56599999999999995</v>
      </c>
      <c r="Q916" s="2">
        <f t="shared" si="72"/>
        <v>-1.9054063591066388</v>
      </c>
      <c r="T916" s="2">
        <f t="shared" si="73"/>
        <v>126680.85183484835</v>
      </c>
      <c r="W916" s="2">
        <f t="shared" si="74"/>
        <v>126680.85183484835</v>
      </c>
    </row>
    <row r="917" spans="1:23">
      <c r="A917">
        <v>1910</v>
      </c>
      <c r="B917">
        <v>9</v>
      </c>
      <c r="C917">
        <v>32</v>
      </c>
      <c r="D917">
        <v>-1.01</v>
      </c>
      <c r="E917" s="2">
        <f t="shared" si="70"/>
        <v>-1</v>
      </c>
      <c r="F917" s="2">
        <f t="shared" si="71"/>
        <v>392</v>
      </c>
      <c r="G917">
        <v>-0.122</v>
      </c>
      <c r="H917">
        <v>0.69799999999999995</v>
      </c>
      <c r="I917">
        <v>0.79600000000000004</v>
      </c>
      <c r="J917">
        <v>0.77800000000000002</v>
      </c>
      <c r="K917">
        <v>0.77800000000000002</v>
      </c>
      <c r="L917">
        <v>-2.7010000000000001</v>
      </c>
      <c r="M917">
        <v>-0.66100000000000003</v>
      </c>
      <c r="Q917" s="2">
        <f t="shared" si="72"/>
        <v>-1.9056754582223627</v>
      </c>
      <c r="T917" s="2">
        <f t="shared" si="73"/>
        <v>126658.14515564672</v>
      </c>
      <c r="W917" s="2">
        <f t="shared" si="74"/>
        <v>126658.14515564672</v>
      </c>
    </row>
    <row r="918" spans="1:23">
      <c r="A918">
        <v>1911</v>
      </c>
      <c r="B918">
        <v>9</v>
      </c>
      <c r="C918">
        <v>32</v>
      </c>
      <c r="D918">
        <v>-2.3969999999999998</v>
      </c>
      <c r="E918" s="2">
        <f t="shared" si="70"/>
        <v>-2.5</v>
      </c>
      <c r="F918" s="2">
        <f t="shared" si="71"/>
        <v>187</v>
      </c>
      <c r="G918">
        <v>-0.19</v>
      </c>
      <c r="H918">
        <v>0.69799999999999995</v>
      </c>
      <c r="I918">
        <v>0.79600000000000004</v>
      </c>
      <c r="J918">
        <v>0.77800000000000002</v>
      </c>
      <c r="K918">
        <v>0.77800000000000002</v>
      </c>
      <c r="L918">
        <v>-2.8039999999999998</v>
      </c>
      <c r="M918">
        <v>-0.69699999999999995</v>
      </c>
      <c r="Q918" s="2">
        <f t="shared" si="72"/>
        <v>-2.2789159317312584</v>
      </c>
      <c r="T918" s="2">
        <f t="shared" si="73"/>
        <v>95163.981103030208</v>
      </c>
      <c r="W918" s="2">
        <f t="shared" si="74"/>
        <v>95163.981103030208</v>
      </c>
    </row>
    <row r="919" spans="1:23">
      <c r="A919">
        <v>1912</v>
      </c>
      <c r="B919">
        <v>9</v>
      </c>
      <c r="C919">
        <v>32</v>
      </c>
      <c r="D919">
        <v>0.40899999999999997</v>
      </c>
      <c r="E919" s="2">
        <f t="shared" si="70"/>
        <v>0.5</v>
      </c>
      <c r="F919" s="2">
        <f t="shared" si="71"/>
        <v>636</v>
      </c>
      <c r="G919">
        <v>-0.223</v>
      </c>
      <c r="H919">
        <v>0.69799999999999995</v>
      </c>
      <c r="I919">
        <v>0.79600000000000004</v>
      </c>
      <c r="J919">
        <v>0.77800000000000002</v>
      </c>
      <c r="K919">
        <v>0.77800000000000002</v>
      </c>
      <c r="L919">
        <v>1.0999999999999999E-2</v>
      </c>
      <c r="M919">
        <v>-0.67800000000000005</v>
      </c>
      <c r="Q919" s="2">
        <f t="shared" si="72"/>
        <v>-1.5238238130103057</v>
      </c>
      <c r="T919" s="2">
        <f t="shared" si="73"/>
        <v>158878.92294271442</v>
      </c>
      <c r="W919" s="2">
        <f t="shared" si="74"/>
        <v>158878.92294271442</v>
      </c>
    </row>
    <row r="920" spans="1:23">
      <c r="A920">
        <v>1913</v>
      </c>
      <c r="B920">
        <v>9</v>
      </c>
      <c r="C920">
        <v>32</v>
      </c>
      <c r="D920">
        <v>-1.569</v>
      </c>
      <c r="E920" s="2">
        <f t="shared" si="70"/>
        <v>-1.5</v>
      </c>
      <c r="F920" s="2">
        <f t="shared" si="71"/>
        <v>311</v>
      </c>
      <c r="G920">
        <v>-0.222</v>
      </c>
      <c r="H920">
        <v>0.69799999999999995</v>
      </c>
      <c r="I920">
        <v>0.79600000000000004</v>
      </c>
      <c r="J920">
        <v>0.77800000000000002</v>
      </c>
      <c r="K920">
        <v>0.77800000000000002</v>
      </c>
      <c r="L920">
        <v>-1.131</v>
      </c>
      <c r="M920">
        <v>-0.62</v>
      </c>
      <c r="Q920" s="2">
        <f t="shared" si="72"/>
        <v>-2.0561018639119606</v>
      </c>
      <c r="T920" s="2">
        <f t="shared" si="73"/>
        <v>113965.11148195344</v>
      </c>
      <c r="W920" s="2">
        <f t="shared" si="74"/>
        <v>113965.11148195344</v>
      </c>
    </row>
    <row r="921" spans="1:23">
      <c r="A921">
        <v>1914</v>
      </c>
      <c r="B921">
        <v>9</v>
      </c>
      <c r="C921">
        <v>32</v>
      </c>
      <c r="D921">
        <v>1.105</v>
      </c>
      <c r="E921" s="2">
        <f t="shared" si="70"/>
        <v>1</v>
      </c>
      <c r="F921" s="2">
        <f t="shared" si="71"/>
        <v>747</v>
      </c>
      <c r="G921">
        <v>-0.191</v>
      </c>
      <c r="H921">
        <v>0.69799999999999995</v>
      </c>
      <c r="I921">
        <v>0.79600000000000004</v>
      </c>
      <c r="J921">
        <v>0.77800000000000002</v>
      </c>
      <c r="K921">
        <v>0.77800000000000002</v>
      </c>
      <c r="L921">
        <v>1.1779999999999999</v>
      </c>
      <c r="M921">
        <v>-0.54200000000000004</v>
      </c>
      <c r="Q921" s="2">
        <f t="shared" si="72"/>
        <v>-1.3365308284665482</v>
      </c>
      <c r="T921" s="2">
        <f t="shared" si="73"/>
        <v>174682.77166702668</v>
      </c>
      <c r="W921" s="2">
        <f t="shared" si="74"/>
        <v>174682.77166702668</v>
      </c>
    </row>
    <row r="922" spans="1:23">
      <c r="A922">
        <v>1915</v>
      </c>
      <c r="B922">
        <v>9</v>
      </c>
      <c r="C922">
        <v>32</v>
      </c>
      <c r="D922">
        <v>2.1230000000000002</v>
      </c>
      <c r="E922" s="2">
        <f t="shared" si="70"/>
        <v>2</v>
      </c>
      <c r="F922" s="2">
        <f t="shared" si="71"/>
        <v>863</v>
      </c>
      <c r="G922">
        <v>-0.13800000000000001</v>
      </c>
      <c r="H922">
        <v>0.69799999999999995</v>
      </c>
      <c r="I922">
        <v>0.79600000000000004</v>
      </c>
      <c r="J922">
        <v>0.77800000000000002</v>
      </c>
      <c r="K922">
        <v>0.77800000000000002</v>
      </c>
      <c r="L922">
        <v>1.635</v>
      </c>
      <c r="M922">
        <v>-0.46100000000000002</v>
      </c>
      <c r="Q922" s="2">
        <f t="shared" si="72"/>
        <v>-1.0625879286597306</v>
      </c>
      <c r="T922" s="2">
        <f t="shared" si="73"/>
        <v>197798.17109425357</v>
      </c>
      <c r="W922" s="2">
        <f t="shared" si="74"/>
        <v>197798.17109425357</v>
      </c>
    </row>
    <row r="923" spans="1:23">
      <c r="A923">
        <v>1916</v>
      </c>
      <c r="B923">
        <v>9</v>
      </c>
      <c r="C923">
        <v>32</v>
      </c>
      <c r="D923">
        <v>-1.3420000000000001</v>
      </c>
      <c r="E923" s="2">
        <f t="shared" si="70"/>
        <v>-1.5</v>
      </c>
      <c r="F923" s="2">
        <f t="shared" si="71"/>
        <v>348</v>
      </c>
      <c r="G923">
        <v>-6.3E-2</v>
      </c>
      <c r="H923">
        <v>0.69799999999999995</v>
      </c>
      <c r="I923">
        <v>0.79600000000000004</v>
      </c>
      <c r="J923">
        <v>0.77800000000000002</v>
      </c>
      <c r="K923">
        <v>0.77800000000000002</v>
      </c>
      <c r="L923">
        <v>-0.90900000000000003</v>
      </c>
      <c r="M923">
        <v>-0.38</v>
      </c>
      <c r="Q923" s="2">
        <f t="shared" si="72"/>
        <v>-1.9950163646426606</v>
      </c>
      <c r="T923" s="2">
        <f t="shared" si="73"/>
        <v>119119.52766071618</v>
      </c>
      <c r="W923" s="2">
        <f t="shared" si="74"/>
        <v>119119.52766071618</v>
      </c>
    </row>
    <row r="924" spans="1:23">
      <c r="A924">
        <v>1917</v>
      </c>
      <c r="B924">
        <v>9</v>
      </c>
      <c r="C924">
        <v>32</v>
      </c>
      <c r="D924">
        <v>-3.98</v>
      </c>
      <c r="E924" s="2">
        <f t="shared" si="70"/>
        <v>-4</v>
      </c>
      <c r="F924" s="2">
        <f t="shared" si="71"/>
        <v>40</v>
      </c>
      <c r="G924">
        <v>5.1999999999999998E-2</v>
      </c>
      <c r="H924">
        <v>0.69799999999999995</v>
      </c>
      <c r="I924">
        <v>0.79600000000000004</v>
      </c>
      <c r="J924">
        <v>0.77800000000000002</v>
      </c>
      <c r="K924">
        <v>0.77800000000000002</v>
      </c>
      <c r="L924">
        <v>-2.5369999999999999</v>
      </c>
      <c r="M924">
        <v>-0.28699999999999998</v>
      </c>
      <c r="Q924" s="2">
        <f t="shared" si="72"/>
        <v>-2.7048998319220168</v>
      </c>
      <c r="T924" s="2">
        <f t="shared" si="73"/>
        <v>59219.307926900423</v>
      </c>
      <c r="W924" s="2">
        <f t="shared" si="74"/>
        <v>59219.307926900423</v>
      </c>
    </row>
    <row r="925" spans="1:23">
      <c r="A925">
        <v>1918</v>
      </c>
      <c r="B925">
        <v>9</v>
      </c>
      <c r="C925">
        <v>32</v>
      </c>
      <c r="D925">
        <v>-2.597</v>
      </c>
      <c r="E925" s="2">
        <f t="shared" si="70"/>
        <v>-2.5</v>
      </c>
      <c r="F925" s="2">
        <f t="shared" si="71"/>
        <v>167</v>
      </c>
      <c r="G925">
        <v>0.21</v>
      </c>
      <c r="H925">
        <v>0.69799999999999995</v>
      </c>
      <c r="I925">
        <v>0.79600000000000004</v>
      </c>
      <c r="J925">
        <v>0.77800000000000002</v>
      </c>
      <c r="K925">
        <v>0.77800000000000002</v>
      </c>
      <c r="L925">
        <v>-3.7770000000000001</v>
      </c>
      <c r="M925">
        <v>-0.17399999999999999</v>
      </c>
      <c r="Q925" s="2">
        <f t="shared" si="72"/>
        <v>-2.3327357548760164</v>
      </c>
      <c r="T925" s="2">
        <f t="shared" si="73"/>
        <v>90622.645262710575</v>
      </c>
      <c r="W925" s="2">
        <f t="shared" si="74"/>
        <v>90622.645262710575</v>
      </c>
    </row>
    <row r="926" spans="1:23">
      <c r="A926">
        <v>1919</v>
      </c>
      <c r="B926">
        <v>9</v>
      </c>
      <c r="C926">
        <v>32</v>
      </c>
      <c r="D926">
        <v>4.1130000000000004</v>
      </c>
      <c r="E926" s="2">
        <f t="shared" si="70"/>
        <v>4</v>
      </c>
      <c r="F926" s="2">
        <f t="shared" si="71"/>
        <v>978</v>
      </c>
      <c r="G926">
        <v>0.38400000000000001</v>
      </c>
      <c r="H926">
        <v>0.69799999999999995</v>
      </c>
      <c r="I926">
        <v>0.79600000000000004</v>
      </c>
      <c r="J926">
        <v>0.77800000000000002</v>
      </c>
      <c r="K926">
        <v>0.77800000000000002</v>
      </c>
      <c r="L926">
        <v>3.21</v>
      </c>
      <c r="M926">
        <v>-5.2999999999999999E-2</v>
      </c>
      <c r="Q926" s="2">
        <f t="shared" si="72"/>
        <v>-0.52708068836938993</v>
      </c>
      <c r="T926" s="2">
        <f t="shared" si="73"/>
        <v>242984.46270543378</v>
      </c>
      <c r="W926" s="2">
        <f t="shared" si="74"/>
        <v>242984.46270543378</v>
      </c>
    </row>
    <row r="927" spans="1:23">
      <c r="A927">
        <v>1920</v>
      </c>
      <c r="B927">
        <v>9</v>
      </c>
      <c r="C927">
        <v>32</v>
      </c>
      <c r="D927">
        <v>2.2400000000000002</v>
      </c>
      <c r="E927" s="2">
        <f t="shared" si="70"/>
        <v>2</v>
      </c>
      <c r="F927" s="2">
        <f t="shared" si="71"/>
        <v>876</v>
      </c>
      <c r="G927">
        <v>0.52700000000000002</v>
      </c>
      <c r="H927">
        <v>0.69799999999999995</v>
      </c>
      <c r="I927">
        <v>0.79600000000000004</v>
      </c>
      <c r="J927">
        <v>0.77800000000000002</v>
      </c>
      <c r="K927">
        <v>0.77800000000000002</v>
      </c>
      <c r="L927">
        <v>1.712</v>
      </c>
      <c r="M927">
        <v>0.04</v>
      </c>
      <c r="Q927" s="2">
        <f t="shared" si="72"/>
        <v>-1.0311033321200473</v>
      </c>
      <c r="T927" s="2">
        <f t="shared" si="73"/>
        <v>200454.85256084055</v>
      </c>
      <c r="W927" s="2">
        <f t="shared" si="74"/>
        <v>200454.85256084055</v>
      </c>
    </row>
    <row r="928" spans="1:23">
      <c r="A928">
        <v>1921</v>
      </c>
      <c r="B928">
        <v>9</v>
      </c>
      <c r="C928">
        <v>32</v>
      </c>
      <c r="D928">
        <v>2.0059999999999998</v>
      </c>
      <c r="E928" s="2">
        <f t="shared" si="70"/>
        <v>2</v>
      </c>
      <c r="F928" s="2">
        <f t="shared" si="71"/>
        <v>851</v>
      </c>
      <c r="G928">
        <v>0.61499999999999999</v>
      </c>
      <c r="H928">
        <v>0.69799999999999995</v>
      </c>
      <c r="I928">
        <v>0.79600000000000004</v>
      </c>
      <c r="J928">
        <v>0.77800000000000002</v>
      </c>
      <c r="K928">
        <v>0.77800000000000002</v>
      </c>
      <c r="L928">
        <v>0.998</v>
      </c>
      <c r="M928">
        <v>0.09</v>
      </c>
      <c r="Q928" s="2">
        <f t="shared" si="72"/>
        <v>-1.0940725251994141</v>
      </c>
      <c r="T928" s="2">
        <f t="shared" si="73"/>
        <v>195141.4896276666</v>
      </c>
      <c r="W928" s="2">
        <f t="shared" si="74"/>
        <v>195141.4896276666</v>
      </c>
    </row>
    <row r="929" spans="1:23">
      <c r="A929">
        <v>1922</v>
      </c>
      <c r="B929">
        <v>9</v>
      </c>
      <c r="C929">
        <v>32</v>
      </c>
      <c r="D929">
        <v>1.2130000000000001</v>
      </c>
      <c r="E929" s="2">
        <f t="shared" si="70"/>
        <v>1</v>
      </c>
      <c r="F929" s="2">
        <f t="shared" si="71"/>
        <v>762</v>
      </c>
      <c r="G929">
        <v>0.64200000000000002</v>
      </c>
      <c r="H929">
        <v>0.69799999999999995</v>
      </c>
      <c r="I929">
        <v>0.79600000000000004</v>
      </c>
      <c r="J929">
        <v>0.77800000000000002</v>
      </c>
      <c r="K929">
        <v>0.77800000000000002</v>
      </c>
      <c r="L929">
        <v>0.70699999999999996</v>
      </c>
      <c r="M929">
        <v>9.7000000000000003E-2</v>
      </c>
      <c r="Q929" s="2">
        <f t="shared" si="72"/>
        <v>-1.307468123968379</v>
      </c>
      <c r="T929" s="2">
        <f t="shared" si="73"/>
        <v>177135.09302079928</v>
      </c>
      <c r="W929" s="2">
        <f t="shared" si="74"/>
        <v>177135.09302079928</v>
      </c>
    </row>
    <row r="930" spans="1:23">
      <c r="A930">
        <v>1923</v>
      </c>
      <c r="B930">
        <v>9</v>
      </c>
      <c r="C930">
        <v>32</v>
      </c>
      <c r="D930">
        <v>1.544</v>
      </c>
      <c r="E930" s="2">
        <f t="shared" si="70"/>
        <v>1.5</v>
      </c>
      <c r="F930" s="2">
        <f t="shared" si="71"/>
        <v>807</v>
      </c>
      <c r="G930">
        <v>0.61699999999999999</v>
      </c>
      <c r="H930">
        <v>0.69799999999999995</v>
      </c>
      <c r="I930">
        <v>0.79600000000000004</v>
      </c>
      <c r="J930">
        <v>0.77800000000000002</v>
      </c>
      <c r="K930">
        <v>0.77800000000000002</v>
      </c>
      <c r="L930">
        <v>-0.315</v>
      </c>
      <c r="M930">
        <v>7.1999999999999995E-2</v>
      </c>
      <c r="Q930" s="2">
        <f t="shared" si="72"/>
        <v>-1.2183963166638048</v>
      </c>
      <c r="T930" s="2">
        <f t="shared" si="73"/>
        <v>184651.00383652828</v>
      </c>
      <c r="W930" s="2">
        <f t="shared" si="74"/>
        <v>184651.00383652828</v>
      </c>
    </row>
    <row r="931" spans="1:23">
      <c r="A931">
        <v>1924</v>
      </c>
      <c r="B931">
        <v>9</v>
      </c>
      <c r="C931">
        <v>32</v>
      </c>
      <c r="D931">
        <v>3.3140000000000001</v>
      </c>
      <c r="E931" s="2">
        <f t="shared" si="70"/>
        <v>3.5</v>
      </c>
      <c r="F931" s="2">
        <f t="shared" si="71"/>
        <v>951</v>
      </c>
      <c r="G931">
        <v>0.55500000000000005</v>
      </c>
      <c r="H931">
        <v>0.69799999999999995</v>
      </c>
      <c r="I931">
        <v>0.79600000000000004</v>
      </c>
      <c r="J931">
        <v>0.77800000000000002</v>
      </c>
      <c r="K931">
        <v>0.77800000000000002</v>
      </c>
      <c r="L931">
        <v>0.49199999999999999</v>
      </c>
      <c r="M931">
        <v>0.03</v>
      </c>
      <c r="Q931" s="2">
        <f t="shared" si="72"/>
        <v>-0.74209088183269767</v>
      </c>
      <c r="T931" s="2">
        <f t="shared" si="73"/>
        <v>224841.82602335687</v>
      </c>
      <c r="W931" s="2">
        <f t="shared" si="74"/>
        <v>224841.82602335687</v>
      </c>
    </row>
    <row r="932" spans="1:23">
      <c r="A932">
        <v>1925</v>
      </c>
      <c r="B932">
        <v>9</v>
      </c>
      <c r="C932">
        <v>32</v>
      </c>
      <c r="D932">
        <v>-6.444</v>
      </c>
      <c r="E932" s="2">
        <f t="shared" si="70"/>
        <v>-6.5</v>
      </c>
      <c r="F932" s="2">
        <f t="shared" si="71"/>
        <v>2</v>
      </c>
      <c r="G932">
        <v>0.48299999999999998</v>
      </c>
      <c r="H932">
        <v>0.69799999999999995</v>
      </c>
      <c r="I932">
        <v>0.79600000000000004</v>
      </c>
      <c r="J932">
        <v>0.77800000000000002</v>
      </c>
      <c r="K932">
        <v>0.77800000000000002</v>
      </c>
      <c r="L932">
        <v>-4.9729999999999999</v>
      </c>
      <c r="M932">
        <v>-1.2999999999999999E-2</v>
      </c>
      <c r="Q932" s="2">
        <f t="shared" si="72"/>
        <v>-3.3679600530654339</v>
      </c>
      <c r="T932" s="2">
        <f t="shared" si="73"/>
        <v>3270.0503741627326</v>
      </c>
      <c r="W932" s="2">
        <f t="shared" si="74"/>
        <v>3270.0503741627326</v>
      </c>
    </row>
    <row r="933" spans="1:23">
      <c r="A933">
        <v>1926</v>
      </c>
      <c r="B933">
        <v>9</v>
      </c>
      <c r="C933">
        <v>32</v>
      </c>
      <c r="D933">
        <v>0.63400000000000001</v>
      </c>
      <c r="E933" s="2">
        <f t="shared" si="70"/>
        <v>0.5</v>
      </c>
      <c r="F933" s="2">
        <f t="shared" si="71"/>
        <v>673</v>
      </c>
      <c r="G933">
        <v>0.436</v>
      </c>
      <c r="H933">
        <v>0.69799999999999995</v>
      </c>
      <c r="I933">
        <v>0.79600000000000004</v>
      </c>
      <c r="J933">
        <v>0.77800000000000002</v>
      </c>
      <c r="K933">
        <v>0.77800000000000002</v>
      </c>
      <c r="L933">
        <v>2.1469999999999998</v>
      </c>
      <c r="M933">
        <v>-4.9000000000000002E-2</v>
      </c>
      <c r="Q933" s="2">
        <f t="shared" si="72"/>
        <v>-1.4632765119724529</v>
      </c>
      <c r="T933" s="2">
        <f t="shared" si="73"/>
        <v>163987.92576307402</v>
      </c>
      <c r="W933" s="2">
        <f t="shared" si="74"/>
        <v>163987.92576307402</v>
      </c>
    </row>
    <row r="934" spans="1:23">
      <c r="A934">
        <v>1927</v>
      </c>
      <c r="B934">
        <v>9</v>
      </c>
      <c r="C934">
        <v>32</v>
      </c>
      <c r="D934">
        <v>0.77</v>
      </c>
      <c r="E934" s="2">
        <f t="shared" si="70"/>
        <v>1</v>
      </c>
      <c r="F934" s="2">
        <f t="shared" si="71"/>
        <v>692</v>
      </c>
      <c r="G934">
        <v>0.40799999999999997</v>
      </c>
      <c r="H934">
        <v>0.69799999999999995</v>
      </c>
      <c r="I934">
        <v>0.79600000000000004</v>
      </c>
      <c r="J934">
        <v>0.77800000000000002</v>
      </c>
      <c r="K934">
        <v>0.77800000000000002</v>
      </c>
      <c r="L934">
        <v>1.478</v>
      </c>
      <c r="M934">
        <v>-9.7000000000000003E-2</v>
      </c>
      <c r="Q934" s="2">
        <f t="shared" si="72"/>
        <v>-1.4266790322340177</v>
      </c>
      <c r="T934" s="2">
        <f t="shared" si="73"/>
        <v>167076.03413449135</v>
      </c>
      <c r="W934" s="2">
        <f t="shared" si="74"/>
        <v>167076.03413449135</v>
      </c>
    </row>
    <row r="935" spans="1:23">
      <c r="A935">
        <v>1928</v>
      </c>
      <c r="B935">
        <v>9</v>
      </c>
      <c r="C935">
        <v>32</v>
      </c>
      <c r="D935">
        <v>0.68799999999999994</v>
      </c>
      <c r="E935" s="2">
        <f t="shared" si="70"/>
        <v>0.5</v>
      </c>
      <c r="F935" s="2">
        <f t="shared" si="71"/>
        <v>682</v>
      </c>
      <c r="G935">
        <v>0.38600000000000001</v>
      </c>
      <c r="H935">
        <v>0.69799999999999995</v>
      </c>
      <c r="I935">
        <v>0.79600000000000004</v>
      </c>
      <c r="J935">
        <v>0.77800000000000002</v>
      </c>
      <c r="K935">
        <v>0.77800000000000002</v>
      </c>
      <c r="L935">
        <v>0.78800000000000003</v>
      </c>
      <c r="M935">
        <v>-0.16700000000000001</v>
      </c>
      <c r="Q935" s="2">
        <f t="shared" si="72"/>
        <v>-1.4487451597233685</v>
      </c>
      <c r="T935" s="2">
        <f t="shared" si="73"/>
        <v>165214.08643996029</v>
      </c>
      <c r="W935" s="2">
        <f t="shared" si="74"/>
        <v>165214.08643996029</v>
      </c>
    </row>
    <row r="936" spans="1:23">
      <c r="A936">
        <v>1929</v>
      </c>
      <c r="B936">
        <v>9</v>
      </c>
      <c r="C936">
        <v>32</v>
      </c>
      <c r="D936">
        <v>1.663</v>
      </c>
      <c r="E936" s="2">
        <f t="shared" si="70"/>
        <v>1.5</v>
      </c>
      <c r="F936" s="2">
        <f t="shared" si="71"/>
        <v>823</v>
      </c>
      <c r="G936">
        <v>0.35599999999999998</v>
      </c>
      <c r="H936">
        <v>0.69799999999999995</v>
      </c>
      <c r="I936">
        <v>0.79600000000000004</v>
      </c>
      <c r="J936">
        <v>0.77800000000000002</v>
      </c>
      <c r="K936">
        <v>0.77800000000000002</v>
      </c>
      <c r="L936">
        <v>6.3E-2</v>
      </c>
      <c r="M936">
        <v>-0.253</v>
      </c>
      <c r="Q936" s="2">
        <f t="shared" si="72"/>
        <v>-1.1863735218926736</v>
      </c>
      <c r="T936" s="2">
        <f t="shared" si="73"/>
        <v>187353.09866151845</v>
      </c>
      <c r="W936" s="2">
        <f t="shared" si="74"/>
        <v>187353.09866151845</v>
      </c>
    </row>
    <row r="937" spans="1:23">
      <c r="A937">
        <v>1930</v>
      </c>
      <c r="B937">
        <v>9</v>
      </c>
      <c r="C937">
        <v>32</v>
      </c>
      <c r="D937">
        <v>0.126</v>
      </c>
      <c r="E937" s="2">
        <f t="shared" si="70"/>
        <v>0</v>
      </c>
      <c r="F937" s="2">
        <f t="shared" si="71"/>
        <v>586</v>
      </c>
      <c r="G937">
        <v>0.313</v>
      </c>
      <c r="H937">
        <v>0.69799999999999995</v>
      </c>
      <c r="I937">
        <v>0.79600000000000004</v>
      </c>
      <c r="J937">
        <v>0.77800000000000002</v>
      </c>
      <c r="K937">
        <v>0.77800000000000002</v>
      </c>
      <c r="L937">
        <v>-1.9139999999999999</v>
      </c>
      <c r="M937">
        <v>-0.34200000000000003</v>
      </c>
      <c r="Q937" s="2">
        <f t="shared" si="72"/>
        <v>-1.5999788627601379</v>
      </c>
      <c r="T937" s="2">
        <f t="shared" si="73"/>
        <v>152452.93272866218</v>
      </c>
      <c r="W937" s="2">
        <f t="shared" si="74"/>
        <v>152452.93272866218</v>
      </c>
    </row>
    <row r="938" spans="1:23">
      <c r="A938">
        <v>1931</v>
      </c>
      <c r="B938">
        <v>9</v>
      </c>
      <c r="C938">
        <v>32</v>
      </c>
      <c r="D938">
        <v>-0.20899999999999999</v>
      </c>
      <c r="E938" s="2">
        <f t="shared" si="70"/>
        <v>0</v>
      </c>
      <c r="F938" s="2">
        <f t="shared" si="71"/>
        <v>535</v>
      </c>
      <c r="G938">
        <v>0.25900000000000001</v>
      </c>
      <c r="H938">
        <v>0.69799999999999995</v>
      </c>
      <c r="I938">
        <v>0.79600000000000004</v>
      </c>
      <c r="J938">
        <v>0.77800000000000002</v>
      </c>
      <c r="K938">
        <v>0.77800000000000002</v>
      </c>
      <c r="L938">
        <v>-0.156</v>
      </c>
      <c r="M938">
        <v>-0.41699999999999998</v>
      </c>
      <c r="Q938" s="2">
        <f t="shared" si="72"/>
        <v>-1.6901270665276074</v>
      </c>
      <c r="T938" s="2">
        <f t="shared" si="73"/>
        <v>144846.19519612682</v>
      </c>
      <c r="W938" s="2">
        <f t="shared" si="74"/>
        <v>144846.19519612682</v>
      </c>
    </row>
    <row r="939" spans="1:23">
      <c r="A939">
        <v>1932</v>
      </c>
      <c r="B939">
        <v>9</v>
      </c>
      <c r="C939">
        <v>32</v>
      </c>
      <c r="D939">
        <v>1.7370000000000001</v>
      </c>
      <c r="E939" s="2">
        <f t="shared" si="70"/>
        <v>1.5</v>
      </c>
      <c r="F939" s="2">
        <f t="shared" si="71"/>
        <v>829</v>
      </c>
      <c r="G939">
        <v>0.19600000000000001</v>
      </c>
      <c r="H939">
        <v>0.69799999999999995</v>
      </c>
      <c r="I939">
        <v>0.79600000000000004</v>
      </c>
      <c r="J939">
        <v>0.77800000000000002</v>
      </c>
      <c r="K939">
        <v>0.77800000000000002</v>
      </c>
      <c r="L939">
        <v>1.0089999999999999</v>
      </c>
      <c r="M939">
        <v>-0.47199999999999998</v>
      </c>
      <c r="Q939" s="2">
        <f t="shared" si="72"/>
        <v>-1.1664601873291134</v>
      </c>
      <c r="T939" s="2">
        <f t="shared" si="73"/>
        <v>189033.3929224367</v>
      </c>
      <c r="W939" s="2">
        <f t="shared" si="74"/>
        <v>189033.3929224367</v>
      </c>
    </row>
    <row r="940" spans="1:23">
      <c r="A940">
        <v>1933</v>
      </c>
      <c r="B940">
        <v>9</v>
      </c>
      <c r="C940">
        <v>32</v>
      </c>
      <c r="D940">
        <v>0.74</v>
      </c>
      <c r="E940" s="2">
        <f t="shared" si="70"/>
        <v>0.5</v>
      </c>
      <c r="F940" s="2">
        <f t="shared" si="71"/>
        <v>689</v>
      </c>
      <c r="G940">
        <v>0.124</v>
      </c>
      <c r="H940">
        <v>0.69799999999999995</v>
      </c>
      <c r="I940">
        <v>0.79600000000000004</v>
      </c>
      <c r="J940">
        <v>0.77800000000000002</v>
      </c>
      <c r="K940">
        <v>0.77800000000000002</v>
      </c>
      <c r="L940">
        <v>-1.075</v>
      </c>
      <c r="M940">
        <v>-0.499</v>
      </c>
      <c r="Q940" s="2">
        <f t="shared" si="72"/>
        <v>-1.4347520057057312</v>
      </c>
      <c r="T940" s="2">
        <f t="shared" si="73"/>
        <v>166394.83375844342</v>
      </c>
      <c r="W940" s="2">
        <f t="shared" si="74"/>
        <v>166394.83375844342</v>
      </c>
    </row>
    <row r="941" spans="1:23">
      <c r="A941">
        <v>1934</v>
      </c>
      <c r="B941">
        <v>9</v>
      </c>
      <c r="C941">
        <v>32</v>
      </c>
      <c r="D941">
        <v>-2.673</v>
      </c>
      <c r="E941" s="2">
        <f t="shared" si="70"/>
        <v>-2.5</v>
      </c>
      <c r="F941" s="2">
        <f t="shared" si="71"/>
        <v>154</v>
      </c>
      <c r="G941">
        <v>5.6000000000000001E-2</v>
      </c>
      <c r="H941">
        <v>0.69799999999999995</v>
      </c>
      <c r="I941">
        <v>0.79600000000000004</v>
      </c>
      <c r="J941">
        <v>0.77800000000000002</v>
      </c>
      <c r="K941">
        <v>0.77800000000000002</v>
      </c>
      <c r="L941">
        <v>-4.3209999999999997</v>
      </c>
      <c r="M941">
        <v>-0.48199999999999998</v>
      </c>
      <c r="Q941" s="2">
        <f t="shared" si="72"/>
        <v>-2.353187287671024</v>
      </c>
      <c r="T941" s="2">
        <f t="shared" si="73"/>
        <v>88896.93764338913</v>
      </c>
      <c r="W941" s="2">
        <f t="shared" si="74"/>
        <v>88896.93764338913</v>
      </c>
    </row>
    <row r="942" spans="1:23">
      <c r="A942">
        <v>1935</v>
      </c>
      <c r="B942">
        <v>9</v>
      </c>
      <c r="C942">
        <v>32</v>
      </c>
      <c r="D942">
        <v>3.1869999999999998</v>
      </c>
      <c r="E942" s="2">
        <f t="shared" si="70"/>
        <v>3</v>
      </c>
      <c r="F942" s="2">
        <f t="shared" si="71"/>
        <v>946</v>
      </c>
      <c r="G942">
        <v>4.0000000000000001E-3</v>
      </c>
      <c r="H942">
        <v>0.69799999999999995</v>
      </c>
      <c r="I942">
        <v>0.79600000000000004</v>
      </c>
      <c r="J942">
        <v>0.77800000000000002</v>
      </c>
      <c r="K942">
        <v>0.77800000000000002</v>
      </c>
      <c r="L942">
        <v>2.577</v>
      </c>
      <c r="M942">
        <v>-0.41</v>
      </c>
      <c r="Q942" s="2">
        <f t="shared" si="72"/>
        <v>-0.77626646952961886</v>
      </c>
      <c r="T942" s="2">
        <f t="shared" si="73"/>
        <v>221958.07776475392</v>
      </c>
      <c r="W942" s="2">
        <f t="shared" si="74"/>
        <v>221958.07776475392</v>
      </c>
    </row>
    <row r="943" spans="1:23">
      <c r="A943">
        <v>1936</v>
      </c>
      <c r="B943">
        <v>9</v>
      </c>
      <c r="C943">
        <v>32</v>
      </c>
      <c r="D943">
        <v>-1.1519999999999999</v>
      </c>
      <c r="E943" s="2">
        <f t="shared" si="70"/>
        <v>-1</v>
      </c>
      <c r="F943" s="2">
        <f t="shared" si="71"/>
        <v>377</v>
      </c>
      <c r="G943">
        <v>-2.9000000000000001E-2</v>
      </c>
      <c r="H943">
        <v>0.69799999999999995</v>
      </c>
      <c r="I943">
        <v>0.79600000000000004</v>
      </c>
      <c r="J943">
        <v>0.77800000000000002</v>
      </c>
      <c r="K943">
        <v>0.77800000000000002</v>
      </c>
      <c r="L943">
        <v>-1.53</v>
      </c>
      <c r="M943">
        <v>-0.29699999999999999</v>
      </c>
      <c r="P943" s="4">
        <f>CORREL(D947:D1010,P947:P1010)</f>
        <v>-0.64002764510234222</v>
      </c>
      <c r="Q943" s="2">
        <f t="shared" si="72"/>
        <v>-1.9438875326551406</v>
      </c>
      <c r="T943" s="2">
        <f t="shared" si="73"/>
        <v>123433.79670901984</v>
      </c>
      <c r="W943" s="2">
        <f t="shared" si="74"/>
        <v>123433.79670901984</v>
      </c>
    </row>
    <row r="944" spans="1:23">
      <c r="A944">
        <v>1937</v>
      </c>
      <c r="B944">
        <v>9</v>
      </c>
      <c r="C944">
        <v>32</v>
      </c>
      <c r="D944">
        <v>-0.70299999999999996</v>
      </c>
      <c r="E944" s="2">
        <f t="shared" si="70"/>
        <v>-0.5</v>
      </c>
      <c r="F944" s="2">
        <f t="shared" si="71"/>
        <v>448</v>
      </c>
      <c r="G944">
        <v>-2.7E-2</v>
      </c>
      <c r="H944">
        <v>0.69799999999999995</v>
      </c>
      <c r="I944">
        <v>0.79600000000000004</v>
      </c>
      <c r="J944">
        <v>0.77800000000000002</v>
      </c>
      <c r="K944">
        <v>0.77800000000000002</v>
      </c>
      <c r="L944">
        <v>-1.706</v>
      </c>
      <c r="M944">
        <v>-0.14099999999999999</v>
      </c>
      <c r="Q944" s="2">
        <f t="shared" si="72"/>
        <v>-1.8230620296951592</v>
      </c>
      <c r="T944" s="2">
        <f t="shared" si="73"/>
        <v>133629.09567053738</v>
      </c>
      <c r="W944" s="2">
        <f t="shared" si="74"/>
        <v>133629.09567053738</v>
      </c>
    </row>
    <row r="945" spans="1:23">
      <c r="A945">
        <v>1938</v>
      </c>
      <c r="B945">
        <v>9</v>
      </c>
      <c r="C945">
        <v>32</v>
      </c>
      <c r="D945">
        <v>-0.40600000000000003</v>
      </c>
      <c r="E945" s="2">
        <f t="shared" si="70"/>
        <v>-0.5</v>
      </c>
      <c r="F945" s="2">
        <f t="shared" si="71"/>
        <v>498</v>
      </c>
      <c r="G945">
        <v>2.3E-2</v>
      </c>
      <c r="H945">
        <v>0.69799999999999995</v>
      </c>
      <c r="I945">
        <v>0.79600000000000004</v>
      </c>
      <c r="J945">
        <v>0.77800000000000002</v>
      </c>
      <c r="K945">
        <v>0.77800000000000002</v>
      </c>
      <c r="L945">
        <v>0.65600000000000003</v>
      </c>
      <c r="M945">
        <v>0.05</v>
      </c>
      <c r="Q945" s="2">
        <f t="shared" si="72"/>
        <v>-1.7431395923251938</v>
      </c>
      <c r="T945" s="2">
        <f t="shared" si="73"/>
        <v>140372.97939341201</v>
      </c>
      <c r="W945" s="2">
        <f t="shared" si="74"/>
        <v>140372.97939341201</v>
      </c>
    </row>
    <row r="946" spans="1:23">
      <c r="A946">
        <v>1939</v>
      </c>
      <c r="B946">
        <v>9</v>
      </c>
      <c r="C946">
        <v>32</v>
      </c>
      <c r="D946">
        <v>-3.4140000000000001</v>
      </c>
      <c r="E946" s="2">
        <f t="shared" si="70"/>
        <v>-3.5</v>
      </c>
      <c r="F946" s="2">
        <f t="shared" si="71"/>
        <v>83</v>
      </c>
      <c r="G946">
        <v>0.127</v>
      </c>
      <c r="H946">
        <v>0.69799999999999995</v>
      </c>
      <c r="I946">
        <v>0.79600000000000004</v>
      </c>
      <c r="J946">
        <v>0.77800000000000002</v>
      </c>
      <c r="K946">
        <v>0.77800000000000002</v>
      </c>
      <c r="L946">
        <v>-1.9019999999999999</v>
      </c>
      <c r="M946">
        <v>0.26</v>
      </c>
      <c r="P946" t="s">
        <v>17</v>
      </c>
      <c r="Q946" s="2">
        <f t="shared" si="72"/>
        <v>-2.5525897324223523</v>
      </c>
      <c r="T946" s="2">
        <f t="shared" si="73"/>
        <v>72071.288355004916</v>
      </c>
      <c r="W946" s="2">
        <f t="shared" si="74"/>
        <v>72071.288355004916</v>
      </c>
    </row>
    <row r="947" spans="1:23">
      <c r="A947">
        <v>1940</v>
      </c>
      <c r="B947">
        <v>9</v>
      </c>
      <c r="C947">
        <v>32</v>
      </c>
      <c r="D947">
        <v>-0.8</v>
      </c>
      <c r="E947" s="2">
        <f t="shared" si="70"/>
        <v>-1</v>
      </c>
      <c r="F947" s="2">
        <f t="shared" si="71"/>
        <v>421</v>
      </c>
      <c r="G947">
        <v>0.28299999999999997</v>
      </c>
      <c r="H947">
        <v>0.69799999999999995</v>
      </c>
      <c r="I947">
        <v>0.79600000000000004</v>
      </c>
      <c r="J947">
        <v>0.77800000000000002</v>
      </c>
      <c r="K947">
        <v>0.77800000000000002</v>
      </c>
      <c r="L947">
        <v>0.27800000000000002</v>
      </c>
      <c r="M947">
        <v>0.46899999999999997</v>
      </c>
      <c r="O947">
        <v>1940</v>
      </c>
      <c r="P947">
        <v>1.9852083333333335</v>
      </c>
      <c r="Q947" s="4">
        <f t="shared" ref="Q947:Q978" si="75">-P947</f>
        <v>-1.9852083333333335</v>
      </c>
      <c r="T947" s="2">
        <f t="shared" si="73"/>
        <v>119947.13283489563</v>
      </c>
      <c r="V947" s="5">
        <v>1940</v>
      </c>
      <c r="W947">
        <v>166216.18335529999</v>
      </c>
    </row>
    <row r="948" spans="1:23">
      <c r="A948">
        <v>1941</v>
      </c>
      <c r="B948">
        <v>9</v>
      </c>
      <c r="C948">
        <v>32</v>
      </c>
      <c r="D948">
        <v>2.3889999999999998</v>
      </c>
      <c r="E948" s="2">
        <f t="shared" si="70"/>
        <v>2.5</v>
      </c>
      <c r="F948" s="2">
        <f t="shared" si="71"/>
        <v>892</v>
      </c>
      <c r="G948">
        <v>0.46</v>
      </c>
      <c r="H948">
        <v>0.69799999999999995</v>
      </c>
      <c r="I948">
        <v>0.79600000000000004</v>
      </c>
      <c r="J948">
        <v>0.77800000000000002</v>
      </c>
      <c r="K948">
        <v>0.77800000000000002</v>
      </c>
      <c r="L948">
        <v>4.5179999999999998</v>
      </c>
      <c r="M948">
        <v>0.64400000000000002</v>
      </c>
      <c r="O948">
        <v>1941</v>
      </c>
      <c r="P948">
        <v>1.1554166666666668</v>
      </c>
      <c r="Q948" s="4">
        <f t="shared" si="75"/>
        <v>-1.1554166666666668</v>
      </c>
      <c r="T948" s="2">
        <f t="shared" si="73"/>
        <v>189965.24912814709</v>
      </c>
      <c r="V948" s="5">
        <v>1941</v>
      </c>
      <c r="W948">
        <v>274419.50465670001</v>
      </c>
    </row>
    <row r="949" spans="1:23">
      <c r="A949">
        <v>1942</v>
      </c>
      <c r="B949">
        <v>9</v>
      </c>
      <c r="C949">
        <v>32</v>
      </c>
      <c r="D949">
        <v>1.6259999999999999</v>
      </c>
      <c r="E949" s="2">
        <f t="shared" si="70"/>
        <v>1.5</v>
      </c>
      <c r="F949" s="2">
        <f t="shared" si="71"/>
        <v>813</v>
      </c>
      <c r="G949">
        <v>0.622</v>
      </c>
      <c r="H949">
        <v>0.69799999999999995</v>
      </c>
      <c r="I949">
        <v>0.79600000000000004</v>
      </c>
      <c r="J949">
        <v>0.77800000000000002</v>
      </c>
      <c r="K949">
        <v>0.77800000000000002</v>
      </c>
      <c r="L949">
        <v>2.27</v>
      </c>
      <c r="M949">
        <v>0.754</v>
      </c>
      <c r="O949">
        <v>1942</v>
      </c>
      <c r="P949">
        <v>1.6216666666666668</v>
      </c>
      <c r="Q949" s="4">
        <f t="shared" si="75"/>
        <v>-1.6216666666666668</v>
      </c>
      <c r="T949" s="2">
        <f t="shared" si="73"/>
        <v>150622.90811275749</v>
      </c>
      <c r="V949" s="5">
        <v>1942</v>
      </c>
      <c r="W949">
        <v>350243.01582790003</v>
      </c>
    </row>
    <row r="950" spans="1:23">
      <c r="A950">
        <v>1943</v>
      </c>
      <c r="B950">
        <v>9</v>
      </c>
      <c r="C950">
        <v>32</v>
      </c>
      <c r="D950">
        <v>-0.10199999999999999</v>
      </c>
      <c r="E950" s="2">
        <f t="shared" si="70"/>
        <v>0</v>
      </c>
      <c r="F950" s="2">
        <f t="shared" si="71"/>
        <v>553</v>
      </c>
      <c r="G950">
        <v>0.74</v>
      </c>
      <c r="H950">
        <v>0.69799999999999995</v>
      </c>
      <c r="I950">
        <v>0.79600000000000004</v>
      </c>
      <c r="J950">
        <v>0.77800000000000002</v>
      </c>
      <c r="K950">
        <v>0.77800000000000002</v>
      </c>
      <c r="L950">
        <v>-1.4390000000000001</v>
      </c>
      <c r="M950">
        <v>0.79500000000000004</v>
      </c>
      <c r="O950">
        <v>1943</v>
      </c>
      <c r="P950">
        <v>3.2079166666666676</v>
      </c>
      <c r="Q950" s="4">
        <f t="shared" si="75"/>
        <v>-3.2079166666666676</v>
      </c>
      <c r="T950" s="2">
        <f t="shared" si="73"/>
        <v>16774.568304367596</v>
      </c>
      <c r="V950" s="5">
        <v>1943</v>
      </c>
      <c r="W950">
        <v>90784.758863499999</v>
      </c>
    </row>
    <row r="951" spans="1:23">
      <c r="A951">
        <v>1944</v>
      </c>
      <c r="B951">
        <v>9</v>
      </c>
      <c r="C951">
        <v>32</v>
      </c>
      <c r="D951">
        <v>1.853</v>
      </c>
      <c r="E951" s="2">
        <f t="shared" si="70"/>
        <v>2</v>
      </c>
      <c r="F951" s="2">
        <f t="shared" si="71"/>
        <v>838</v>
      </c>
      <c r="G951">
        <v>0.79900000000000004</v>
      </c>
      <c r="H951">
        <v>0.69799999999999995</v>
      </c>
      <c r="I951">
        <v>0.79600000000000004</v>
      </c>
      <c r="J951">
        <v>0.77800000000000002</v>
      </c>
      <c r="K951">
        <v>0.77800000000000002</v>
      </c>
      <c r="L951">
        <v>1.091</v>
      </c>
      <c r="M951">
        <v>0.77500000000000002</v>
      </c>
      <c r="O951">
        <v>1944</v>
      </c>
      <c r="P951">
        <v>2.0933333333333337</v>
      </c>
      <c r="Q951" s="4">
        <f t="shared" si="75"/>
        <v>-2.0933333333333337</v>
      </c>
      <c r="T951" s="2">
        <f t="shared" si="73"/>
        <v>110823.50683534815</v>
      </c>
      <c r="V951" s="5">
        <v>1944</v>
      </c>
      <c r="W951">
        <v>148396.94683189999</v>
      </c>
    </row>
    <row r="952" spans="1:23">
      <c r="A952">
        <v>1945</v>
      </c>
      <c r="B952">
        <v>9</v>
      </c>
      <c r="C952">
        <v>32</v>
      </c>
      <c r="D952">
        <v>2.1320000000000001</v>
      </c>
      <c r="E952" s="2">
        <f t="shared" si="70"/>
        <v>2</v>
      </c>
      <c r="F952" s="2">
        <f t="shared" si="71"/>
        <v>865</v>
      </c>
      <c r="G952">
        <v>0.77700000000000002</v>
      </c>
      <c r="H952">
        <v>0.69799999999999995</v>
      </c>
      <c r="I952">
        <v>0.79600000000000004</v>
      </c>
      <c r="J952">
        <v>0.77800000000000002</v>
      </c>
      <c r="K952">
        <v>0.77800000000000002</v>
      </c>
      <c r="L952">
        <v>2.6379999999999999</v>
      </c>
      <c r="M952">
        <v>0.69199999999999995</v>
      </c>
      <c r="O952">
        <v>1945</v>
      </c>
      <c r="P952">
        <v>1.1772916666666668</v>
      </c>
      <c r="Q952" s="4">
        <f t="shared" si="75"/>
        <v>-1.1772916666666668</v>
      </c>
      <c r="T952" s="2">
        <f t="shared" si="73"/>
        <v>188119.42883922131</v>
      </c>
      <c r="V952" s="5">
        <v>1945</v>
      </c>
      <c r="W952">
        <v>370082.42417119996</v>
      </c>
    </row>
    <row r="953" spans="1:23">
      <c r="A953">
        <v>1946</v>
      </c>
      <c r="B953">
        <v>9</v>
      </c>
      <c r="C953">
        <v>32</v>
      </c>
      <c r="D953">
        <v>1.66</v>
      </c>
      <c r="E953" s="2">
        <f t="shared" si="70"/>
        <v>1.5</v>
      </c>
      <c r="F953" s="2">
        <f t="shared" si="71"/>
        <v>821</v>
      </c>
      <c r="G953">
        <v>0.66200000000000003</v>
      </c>
      <c r="H953">
        <v>0.69799999999999995</v>
      </c>
      <c r="I953">
        <v>0.79600000000000004</v>
      </c>
      <c r="J953">
        <v>0.77800000000000002</v>
      </c>
      <c r="K953">
        <v>0.77800000000000002</v>
      </c>
      <c r="L953">
        <v>1.2769999999999999</v>
      </c>
      <c r="M953">
        <v>0.54400000000000004</v>
      </c>
      <c r="O953">
        <v>1946</v>
      </c>
      <c r="P953">
        <v>1.54</v>
      </c>
      <c r="Q953" s="4">
        <f t="shared" si="75"/>
        <v>-1.54</v>
      </c>
      <c r="T953" s="2">
        <f t="shared" si="73"/>
        <v>157513.9705247471</v>
      </c>
      <c r="V953" s="5">
        <v>1946</v>
      </c>
      <c r="W953">
        <v>289531.31218180008</v>
      </c>
    </row>
    <row r="954" spans="1:23">
      <c r="A954">
        <v>1947</v>
      </c>
      <c r="B954">
        <v>9</v>
      </c>
      <c r="C954">
        <v>32</v>
      </c>
      <c r="D954">
        <v>2.0310000000000001</v>
      </c>
      <c r="E954" s="2">
        <f t="shared" si="70"/>
        <v>2</v>
      </c>
      <c r="F954" s="2">
        <f t="shared" si="71"/>
        <v>853</v>
      </c>
      <c r="G954">
        <v>0.45500000000000002</v>
      </c>
      <c r="H954">
        <v>0.69799999999999995</v>
      </c>
      <c r="I954">
        <v>0.79600000000000004</v>
      </c>
      <c r="J954">
        <v>0.77800000000000002</v>
      </c>
      <c r="K954">
        <v>0.77800000000000002</v>
      </c>
      <c r="L954">
        <v>0.16500000000000001</v>
      </c>
      <c r="M954">
        <v>0.34399999999999997</v>
      </c>
      <c r="O954">
        <v>1947</v>
      </c>
      <c r="P954">
        <v>2.9333333333333336</v>
      </c>
      <c r="Q954" s="4">
        <f t="shared" si="75"/>
        <v>-2.9333333333333336</v>
      </c>
      <c r="T954" s="2">
        <f t="shared" si="73"/>
        <v>39944.007740597997</v>
      </c>
      <c r="V954" s="5">
        <v>1947</v>
      </c>
      <c r="W954">
        <v>87875.272481200009</v>
      </c>
    </row>
    <row r="955" spans="1:23">
      <c r="A955">
        <v>1948</v>
      </c>
      <c r="B955">
        <v>9</v>
      </c>
      <c r="C955">
        <v>32</v>
      </c>
      <c r="D955">
        <v>-0.246</v>
      </c>
      <c r="E955" s="2">
        <f t="shared" si="70"/>
        <v>0</v>
      </c>
      <c r="F955" s="2">
        <f t="shared" si="71"/>
        <v>528</v>
      </c>
      <c r="G955">
        <v>0.16600000000000001</v>
      </c>
      <c r="H955">
        <v>0.69799999999999995</v>
      </c>
      <c r="I955">
        <v>0.79600000000000004</v>
      </c>
      <c r="J955">
        <v>0.77800000000000002</v>
      </c>
      <c r="K955">
        <v>0.77800000000000002</v>
      </c>
      <c r="L955">
        <v>-1.075</v>
      </c>
      <c r="M955">
        <v>0.112</v>
      </c>
      <c r="O955">
        <v>1948</v>
      </c>
      <c r="P955">
        <v>3.66</v>
      </c>
      <c r="Q955" s="4">
        <f t="shared" si="75"/>
        <v>-3.66</v>
      </c>
      <c r="T955" s="2">
        <v>0</v>
      </c>
      <c r="V955" s="5">
        <v>1948</v>
      </c>
      <c r="W955">
        <v>85720</v>
      </c>
    </row>
    <row r="956" spans="1:23">
      <c r="A956">
        <v>1949</v>
      </c>
      <c r="B956">
        <v>9</v>
      </c>
      <c r="C956">
        <v>32</v>
      </c>
      <c r="D956">
        <v>1.21</v>
      </c>
      <c r="E956" s="2">
        <f t="shared" si="70"/>
        <v>1</v>
      </c>
      <c r="F956" s="2">
        <f t="shared" si="71"/>
        <v>761</v>
      </c>
      <c r="G956">
        <v>-0.182</v>
      </c>
      <c r="H956">
        <v>0.69799999999999995</v>
      </c>
      <c r="I956">
        <v>0.79600000000000004</v>
      </c>
      <c r="J956">
        <v>0.77800000000000002</v>
      </c>
      <c r="K956">
        <v>0.77800000000000002</v>
      </c>
      <c r="L956">
        <v>1.135</v>
      </c>
      <c r="M956">
        <v>-0.13200000000000001</v>
      </c>
      <c r="O956">
        <v>1949</v>
      </c>
      <c r="P956">
        <v>1.5910416666666665</v>
      </c>
      <c r="Q956" s="4">
        <f t="shared" si="75"/>
        <v>-1.5910416666666665</v>
      </c>
      <c r="T956" s="2">
        <f>$T$1025+(Q956*$T$1024)</f>
        <v>153207.05651725363</v>
      </c>
      <c r="V956" s="5">
        <v>1949</v>
      </c>
      <c r="W956">
        <v>132637</v>
      </c>
    </row>
    <row r="957" spans="1:23">
      <c r="A957">
        <v>1950</v>
      </c>
      <c r="B957">
        <v>9</v>
      </c>
      <c r="C957">
        <v>32</v>
      </c>
      <c r="D957">
        <v>0.77500000000000002</v>
      </c>
      <c r="E957" s="2">
        <f t="shared" si="70"/>
        <v>1</v>
      </c>
      <c r="F957" s="2">
        <f t="shared" si="71"/>
        <v>693</v>
      </c>
      <c r="G957">
        <v>-0.56499999999999995</v>
      </c>
      <c r="H957">
        <v>0.69799999999999995</v>
      </c>
      <c r="I957">
        <v>0.79600000000000004</v>
      </c>
      <c r="J957">
        <v>0.77800000000000002</v>
      </c>
      <c r="K957">
        <v>0.77800000000000002</v>
      </c>
      <c r="L957">
        <v>0.75800000000000001</v>
      </c>
      <c r="M957">
        <v>-0.377</v>
      </c>
      <c r="O957">
        <v>1950</v>
      </c>
      <c r="P957">
        <v>2.0575000000000001</v>
      </c>
      <c r="Q957" s="4">
        <f t="shared" si="75"/>
        <v>-2.0575000000000001</v>
      </c>
      <c r="T957" s="2">
        <f>$T$1025+(Q957*$T$1024)</f>
        <v>113847.13626101709</v>
      </c>
      <c r="V957" s="5">
        <v>1950</v>
      </c>
      <c r="W957">
        <v>223250</v>
      </c>
    </row>
    <row r="958" spans="1:23">
      <c r="A958">
        <v>1951</v>
      </c>
      <c r="B958">
        <v>9</v>
      </c>
      <c r="C958">
        <v>32</v>
      </c>
      <c r="D958">
        <v>-1.07</v>
      </c>
      <c r="E958" s="2">
        <f t="shared" si="70"/>
        <v>-1</v>
      </c>
      <c r="F958" s="2">
        <f t="shared" si="71"/>
        <v>383</v>
      </c>
      <c r="G958">
        <v>-0.94799999999999995</v>
      </c>
      <c r="H958">
        <v>0.69799999999999995</v>
      </c>
      <c r="I958">
        <v>0.79600000000000004</v>
      </c>
      <c r="J958">
        <v>0.77800000000000002</v>
      </c>
      <c r="K958">
        <v>0.77800000000000002</v>
      </c>
      <c r="L958">
        <v>-1.7969999999999999</v>
      </c>
      <c r="M958">
        <v>-0.6</v>
      </c>
      <c r="O958">
        <v>1951</v>
      </c>
      <c r="P958">
        <v>3.2083333333333339</v>
      </c>
      <c r="Q958" s="4">
        <f t="shared" si="75"/>
        <v>-3.2083333333333339</v>
      </c>
      <c r="T958" s="2">
        <f>$T$1025+(Q958*$T$1024)</f>
        <v>16739.409822673828</v>
      </c>
      <c r="V958" s="5">
        <v>1951</v>
      </c>
      <c r="W958">
        <v>39883</v>
      </c>
    </row>
    <row r="959" spans="1:23">
      <c r="A959">
        <v>1952</v>
      </c>
      <c r="B959">
        <v>9</v>
      </c>
      <c r="C959">
        <v>32</v>
      </c>
      <c r="D959">
        <v>-3.6520000000000001</v>
      </c>
      <c r="E959" s="2">
        <f t="shared" si="70"/>
        <v>-3.5</v>
      </c>
      <c r="F959" s="2">
        <f t="shared" si="71"/>
        <v>63</v>
      </c>
      <c r="G959">
        <v>-1.2849999999999999</v>
      </c>
      <c r="H959">
        <v>0.69799999999999995</v>
      </c>
      <c r="I959">
        <v>0.79600000000000004</v>
      </c>
      <c r="J959">
        <v>0.77800000000000002</v>
      </c>
      <c r="K959">
        <v>0.77800000000000002</v>
      </c>
      <c r="L959">
        <v>-2.2890000000000001</v>
      </c>
      <c r="M959">
        <v>-0.77500000000000002</v>
      </c>
      <c r="O959">
        <v>1952</v>
      </c>
      <c r="P959">
        <v>3.7764583333333337</v>
      </c>
      <c r="Q959" s="4">
        <f t="shared" si="75"/>
        <v>-3.7764583333333337</v>
      </c>
      <c r="T959" s="2">
        <v>0</v>
      </c>
      <c r="V959" s="5">
        <v>1952</v>
      </c>
      <c r="W959">
        <v>13154</v>
      </c>
    </row>
    <row r="960" spans="1:23">
      <c r="A960">
        <v>1953</v>
      </c>
      <c r="B960">
        <v>9</v>
      </c>
      <c r="C960">
        <v>32</v>
      </c>
      <c r="D960">
        <v>-4.2869999999999999</v>
      </c>
      <c r="E960" s="2">
        <f t="shared" si="70"/>
        <v>-4.5</v>
      </c>
      <c r="F960" s="2">
        <f t="shared" si="71"/>
        <v>19</v>
      </c>
      <c r="G960">
        <v>-1.5329999999999999</v>
      </c>
      <c r="H960">
        <v>0.69799999999999995</v>
      </c>
      <c r="I960">
        <v>0.79600000000000004</v>
      </c>
      <c r="J960">
        <v>0.77800000000000002</v>
      </c>
      <c r="K960">
        <v>0.77800000000000002</v>
      </c>
      <c r="L960">
        <v>-1.4870000000000001</v>
      </c>
      <c r="M960">
        <v>-0.88</v>
      </c>
      <c r="O960">
        <v>1953</v>
      </c>
      <c r="P960">
        <v>3.0031249999999998</v>
      </c>
      <c r="Q960" s="4">
        <f t="shared" si="75"/>
        <v>-3.0031249999999998</v>
      </c>
      <c r="S960">
        <v>1953</v>
      </c>
      <c r="T960" s="2">
        <f>$T$1025+(Q960*$T$1024)</f>
        <v>34054.962056882447</v>
      </c>
      <c r="V960" s="5">
        <v>1953</v>
      </c>
      <c r="W960">
        <v>37361</v>
      </c>
    </row>
    <row r="961" spans="1:23">
      <c r="A961">
        <v>1954</v>
      </c>
      <c r="B961">
        <v>9</v>
      </c>
      <c r="C961">
        <v>32</v>
      </c>
      <c r="D961">
        <v>-2.8860000000000001</v>
      </c>
      <c r="E961" s="2">
        <f t="shared" si="70"/>
        <v>-3</v>
      </c>
      <c r="F961" s="2">
        <f t="shared" si="71"/>
        <v>123</v>
      </c>
      <c r="G961">
        <v>-1.669</v>
      </c>
      <c r="H961">
        <v>0.69799999999999995</v>
      </c>
      <c r="I961">
        <v>0.79600000000000004</v>
      </c>
      <c r="J961">
        <v>0.77800000000000002</v>
      </c>
      <c r="K961">
        <v>0.77800000000000002</v>
      </c>
      <c r="L961">
        <v>-2.6819999999999999</v>
      </c>
      <c r="M961">
        <v>-0.90900000000000003</v>
      </c>
      <c r="O961">
        <v>1954</v>
      </c>
      <c r="P961">
        <v>3.2414583333333336</v>
      </c>
      <c r="Q961" s="4">
        <f t="shared" si="75"/>
        <v>-3.2414583333333336</v>
      </c>
      <c r="S961">
        <v>1954</v>
      </c>
      <c r="T961">
        <v>14468</v>
      </c>
      <c r="V961" s="5">
        <v>1954</v>
      </c>
      <c r="W961">
        <v>12264</v>
      </c>
    </row>
    <row r="962" spans="1:23">
      <c r="A962">
        <v>1955</v>
      </c>
      <c r="B962">
        <v>9</v>
      </c>
      <c r="C962">
        <v>32</v>
      </c>
      <c r="D962">
        <v>-2.2770000000000001</v>
      </c>
      <c r="E962" s="2">
        <f t="shared" si="70"/>
        <v>-2.5</v>
      </c>
      <c r="F962" s="2">
        <f t="shared" si="71"/>
        <v>207</v>
      </c>
      <c r="G962">
        <v>-1.6930000000000001</v>
      </c>
      <c r="H962">
        <v>0.69799999999999995</v>
      </c>
      <c r="I962">
        <v>0.79600000000000004</v>
      </c>
      <c r="J962">
        <v>0.77800000000000002</v>
      </c>
      <c r="K962">
        <v>0.77800000000000002</v>
      </c>
      <c r="L962">
        <v>-1.6659999999999999</v>
      </c>
      <c r="M962">
        <v>-0.86399999999999999</v>
      </c>
      <c r="O962">
        <v>1955</v>
      </c>
      <c r="P962">
        <v>2.6372916666666666</v>
      </c>
      <c r="Q962" s="4">
        <f t="shared" si="75"/>
        <v>-2.6372916666666666</v>
      </c>
      <c r="S962">
        <v>1955</v>
      </c>
      <c r="T962">
        <v>34419</v>
      </c>
      <c r="V962" s="5">
        <v>1955</v>
      </c>
      <c r="W962">
        <v>16146</v>
      </c>
    </row>
    <row r="963" spans="1:23">
      <c r="A963">
        <v>1956</v>
      </c>
      <c r="B963">
        <v>9</v>
      </c>
      <c r="C963">
        <v>32</v>
      </c>
      <c r="D963">
        <v>-4.806</v>
      </c>
      <c r="E963" s="2">
        <f t="shared" ref="E963:E1010" si="76">IF(D963&gt;0,MROUND(D963,0.5),MROUND(D963,-0.5))</f>
        <v>-5</v>
      </c>
      <c r="F963" s="2">
        <f t="shared" ref="F963:F1010" si="77">RANK(D963,$D$3:$D$1011,1)</f>
        <v>14</v>
      </c>
      <c r="G963">
        <v>-1.619</v>
      </c>
      <c r="H963">
        <v>0.69799999999999995</v>
      </c>
      <c r="I963">
        <v>0.79600000000000004</v>
      </c>
      <c r="J963">
        <v>0.77800000000000002</v>
      </c>
      <c r="K963">
        <v>0.77800000000000002</v>
      </c>
      <c r="L963">
        <v>-3.9430000000000001</v>
      </c>
      <c r="M963">
        <v>-0.76</v>
      </c>
      <c r="O963">
        <v>1956</v>
      </c>
      <c r="P963">
        <v>3.96875</v>
      </c>
      <c r="Q963" s="4">
        <f t="shared" si="75"/>
        <v>-3.96875</v>
      </c>
      <c r="S963">
        <v>1956</v>
      </c>
      <c r="T963">
        <v>0</v>
      </c>
      <c r="V963" s="5">
        <v>1956</v>
      </c>
      <c r="W963">
        <v>12461</v>
      </c>
    </row>
    <row r="964" spans="1:23">
      <c r="A964">
        <v>1957</v>
      </c>
      <c r="B964">
        <v>9</v>
      </c>
      <c r="C964">
        <v>32</v>
      </c>
      <c r="D964">
        <v>0.45200000000000001</v>
      </c>
      <c r="E964" s="2">
        <f t="shared" si="76"/>
        <v>0.5</v>
      </c>
      <c r="F964" s="2">
        <f t="shared" si="77"/>
        <v>642</v>
      </c>
      <c r="G964">
        <v>-1.4710000000000001</v>
      </c>
      <c r="H964">
        <v>0.69799999999999995</v>
      </c>
      <c r="I964">
        <v>0.79600000000000004</v>
      </c>
      <c r="J964">
        <v>0.77800000000000002</v>
      </c>
      <c r="K964">
        <v>0.77800000000000002</v>
      </c>
      <c r="L964">
        <v>2.1379999999999999</v>
      </c>
      <c r="M964">
        <v>-0.627</v>
      </c>
      <c r="O964">
        <v>1957</v>
      </c>
      <c r="P964">
        <v>-0.44708333333333322</v>
      </c>
      <c r="Q964" s="4">
        <f t="shared" si="75"/>
        <v>0.44708333333333322</v>
      </c>
      <c r="S964">
        <v>1957</v>
      </c>
      <c r="T964">
        <v>337834</v>
      </c>
      <c r="V964" s="5">
        <v>1957</v>
      </c>
      <c r="W964">
        <v>483122</v>
      </c>
    </row>
    <row r="965" spans="1:23">
      <c r="A965">
        <v>1958</v>
      </c>
      <c r="B965">
        <v>9</v>
      </c>
      <c r="C965">
        <v>32</v>
      </c>
      <c r="D965">
        <v>0.68</v>
      </c>
      <c r="E965" s="2">
        <f t="shared" si="76"/>
        <v>0.5</v>
      </c>
      <c r="F965" s="2">
        <f t="shared" si="77"/>
        <v>680</v>
      </c>
      <c r="G965">
        <v>-1.2929999999999999</v>
      </c>
      <c r="H965">
        <v>0.69799999999999995</v>
      </c>
      <c r="I965">
        <v>0.79600000000000004</v>
      </c>
      <c r="J965">
        <v>0.77800000000000002</v>
      </c>
      <c r="K965">
        <v>0.77800000000000002</v>
      </c>
      <c r="L965">
        <v>1.6080000000000001</v>
      </c>
      <c r="M965">
        <v>-0.51100000000000001</v>
      </c>
      <c r="O965">
        <v>1958</v>
      </c>
      <c r="P965">
        <v>1.1785416666666668</v>
      </c>
      <c r="Q965" s="4">
        <f t="shared" si="75"/>
        <v>-1.1785416666666668</v>
      </c>
      <c r="S965">
        <v>1958</v>
      </c>
      <c r="T965">
        <v>155082</v>
      </c>
      <c r="V965" s="5">
        <v>1958</v>
      </c>
      <c r="W965">
        <v>192694</v>
      </c>
    </row>
    <row r="966" spans="1:23">
      <c r="A966">
        <v>1959</v>
      </c>
      <c r="B966">
        <v>9</v>
      </c>
      <c r="C966">
        <v>32</v>
      </c>
      <c r="D966">
        <v>-0.41699999999999998</v>
      </c>
      <c r="E966" s="2">
        <f t="shared" si="76"/>
        <v>-0.5</v>
      </c>
      <c r="F966" s="2">
        <f t="shared" si="77"/>
        <v>496</v>
      </c>
      <c r="G966">
        <v>-1.119</v>
      </c>
      <c r="H966">
        <v>0.69799999999999995</v>
      </c>
      <c r="I966">
        <v>0.79600000000000004</v>
      </c>
      <c r="J966">
        <v>0.77800000000000002</v>
      </c>
      <c r="K966">
        <v>0.77800000000000002</v>
      </c>
      <c r="L966">
        <v>0.89700000000000002</v>
      </c>
      <c r="M966">
        <v>-0.443</v>
      </c>
      <c r="O966">
        <v>1959</v>
      </c>
      <c r="P966">
        <v>1.0818749999999999</v>
      </c>
      <c r="Q966" s="4">
        <f t="shared" si="75"/>
        <v>-1.0818749999999999</v>
      </c>
      <c r="S966">
        <v>1959</v>
      </c>
      <c r="T966">
        <v>67372</v>
      </c>
      <c r="V966" s="5">
        <v>1959</v>
      </c>
      <c r="W966">
        <v>81210</v>
      </c>
    </row>
    <row r="967" spans="1:23">
      <c r="A967">
        <v>1960</v>
      </c>
      <c r="B967">
        <v>9</v>
      </c>
      <c r="C967">
        <v>32</v>
      </c>
      <c r="D967">
        <v>0.23100000000000001</v>
      </c>
      <c r="E967" s="2">
        <f t="shared" si="76"/>
        <v>0</v>
      </c>
      <c r="F967" s="2">
        <f t="shared" si="77"/>
        <v>604</v>
      </c>
      <c r="G967">
        <v>-0.96199999999999997</v>
      </c>
      <c r="H967">
        <v>0.69799999999999995</v>
      </c>
      <c r="I967">
        <v>0.79600000000000004</v>
      </c>
      <c r="J967">
        <v>0.77800000000000002</v>
      </c>
      <c r="K967">
        <v>0.77800000000000002</v>
      </c>
      <c r="L967">
        <v>0.871</v>
      </c>
      <c r="M967">
        <v>-0.433</v>
      </c>
      <c r="O967">
        <v>1960</v>
      </c>
      <c r="P967">
        <v>1.39375</v>
      </c>
      <c r="Q967" s="4">
        <f t="shared" si="75"/>
        <v>-1.39375</v>
      </c>
      <c r="S967">
        <v>1960</v>
      </c>
      <c r="T967">
        <v>53000</v>
      </c>
      <c r="V967" s="5">
        <v>1960</v>
      </c>
      <c r="W967">
        <v>56423</v>
      </c>
    </row>
    <row r="968" spans="1:23">
      <c r="A968">
        <v>1961</v>
      </c>
      <c r="B968">
        <v>9</v>
      </c>
      <c r="C968">
        <v>32</v>
      </c>
      <c r="D968">
        <v>-0.36299999999999999</v>
      </c>
      <c r="E968" s="2">
        <f t="shared" si="76"/>
        <v>-0.5</v>
      </c>
      <c r="F968" s="2">
        <f t="shared" si="77"/>
        <v>508</v>
      </c>
      <c r="G968">
        <v>-0.83</v>
      </c>
      <c r="H968">
        <v>0.69799999999999995</v>
      </c>
      <c r="I968">
        <v>0.79600000000000004</v>
      </c>
      <c r="J968">
        <v>0.77800000000000002</v>
      </c>
      <c r="K968">
        <v>0.77800000000000002</v>
      </c>
      <c r="L968">
        <v>1.6930000000000001</v>
      </c>
      <c r="M968">
        <v>-0.47599999999999998</v>
      </c>
      <c r="O968">
        <v>1961</v>
      </c>
      <c r="P968">
        <v>1.1768749999999999</v>
      </c>
      <c r="Q968" s="4">
        <f t="shared" si="75"/>
        <v>-1.1768749999999999</v>
      </c>
      <c r="S968">
        <v>1961</v>
      </c>
      <c r="T968">
        <v>38662</v>
      </c>
      <c r="V968" s="5">
        <v>1961</v>
      </c>
      <c r="W968">
        <v>53835</v>
      </c>
    </row>
    <row r="969" spans="1:23">
      <c r="A969">
        <v>1962</v>
      </c>
      <c r="B969">
        <v>9</v>
      </c>
      <c r="C969">
        <v>32</v>
      </c>
      <c r="D969">
        <v>0.16400000000000001</v>
      </c>
      <c r="E969" s="2">
        <f t="shared" si="76"/>
        <v>0</v>
      </c>
      <c r="F969" s="2">
        <f t="shared" si="77"/>
        <v>595</v>
      </c>
      <c r="G969">
        <v>-0.71799999999999997</v>
      </c>
      <c r="H969">
        <v>0.69799999999999995</v>
      </c>
      <c r="I969">
        <v>0.79600000000000004</v>
      </c>
      <c r="J969">
        <v>0.77800000000000002</v>
      </c>
      <c r="K969">
        <v>0.77800000000000002</v>
      </c>
      <c r="L969">
        <v>-0.53700000000000003</v>
      </c>
      <c r="M969">
        <v>-0.55400000000000005</v>
      </c>
      <c r="O969">
        <v>1962</v>
      </c>
      <c r="P969">
        <v>0.94416666666666671</v>
      </c>
      <c r="Q969" s="4">
        <f t="shared" si="75"/>
        <v>-0.94416666666666671</v>
      </c>
      <c r="S969">
        <v>1962</v>
      </c>
      <c r="T969">
        <v>133581</v>
      </c>
      <c r="V969" s="5">
        <v>1962</v>
      </c>
      <c r="W969">
        <v>185375</v>
      </c>
    </row>
    <row r="970" spans="1:23">
      <c r="A970">
        <v>1963</v>
      </c>
      <c r="B970">
        <v>9</v>
      </c>
      <c r="C970">
        <v>32</v>
      </c>
      <c r="D970">
        <v>-2.6</v>
      </c>
      <c r="E970" s="2">
        <f t="shared" si="76"/>
        <v>-2.5</v>
      </c>
      <c r="F970" s="2">
        <f t="shared" si="77"/>
        <v>165</v>
      </c>
      <c r="G970">
        <v>-0.61699999999999999</v>
      </c>
      <c r="H970">
        <v>0.69799999999999995</v>
      </c>
      <c r="I970">
        <v>0.79600000000000004</v>
      </c>
      <c r="J970">
        <v>0.77800000000000002</v>
      </c>
      <c r="K970">
        <v>0.77800000000000002</v>
      </c>
      <c r="L970">
        <v>-3.073</v>
      </c>
      <c r="M970">
        <v>-0.63200000000000001</v>
      </c>
      <c r="O970">
        <v>1963</v>
      </c>
      <c r="P970">
        <v>2.987916666666667</v>
      </c>
      <c r="Q970" s="4">
        <f t="shared" si="75"/>
        <v>-2.987916666666667</v>
      </c>
      <c r="S970">
        <v>1963</v>
      </c>
      <c r="T970">
        <v>24088</v>
      </c>
      <c r="V970" s="5">
        <v>1963</v>
      </c>
      <c r="W970">
        <v>47270</v>
      </c>
    </row>
    <row r="971" spans="1:23">
      <c r="A971">
        <v>1964</v>
      </c>
      <c r="B971">
        <v>9</v>
      </c>
      <c r="C971">
        <v>32</v>
      </c>
      <c r="D971">
        <v>-2.0089999999999999</v>
      </c>
      <c r="E971" s="2">
        <f t="shared" si="76"/>
        <v>-2</v>
      </c>
      <c r="F971" s="2">
        <f t="shared" si="77"/>
        <v>242</v>
      </c>
      <c r="G971">
        <v>-0.51400000000000001</v>
      </c>
      <c r="H971">
        <v>0.69799999999999995</v>
      </c>
      <c r="I971">
        <v>0.79600000000000004</v>
      </c>
      <c r="J971">
        <v>0.77800000000000002</v>
      </c>
      <c r="K971">
        <v>0.77800000000000002</v>
      </c>
      <c r="L971">
        <v>-2.8759999999999999</v>
      </c>
      <c r="M971">
        <v>-0.67600000000000005</v>
      </c>
      <c r="O971">
        <v>1964</v>
      </c>
      <c r="P971">
        <v>1.7591666666666665</v>
      </c>
      <c r="Q971" s="4">
        <f t="shared" si="75"/>
        <v>-1.7591666666666665</v>
      </c>
      <c r="S971">
        <v>1964</v>
      </c>
      <c r="T971">
        <v>124547</v>
      </c>
      <c r="V971" s="5">
        <v>1964</v>
      </c>
      <c r="W971">
        <v>159201</v>
      </c>
    </row>
    <row r="972" spans="1:23">
      <c r="A972">
        <v>1965</v>
      </c>
      <c r="B972">
        <v>9</v>
      </c>
      <c r="C972">
        <v>32</v>
      </c>
      <c r="D972">
        <v>2.0510000000000002</v>
      </c>
      <c r="E972" s="2">
        <f t="shared" si="76"/>
        <v>2</v>
      </c>
      <c r="F972" s="2">
        <f t="shared" si="77"/>
        <v>856</v>
      </c>
      <c r="G972">
        <v>-0.40799999999999997</v>
      </c>
      <c r="H972">
        <v>0.69799999999999995</v>
      </c>
      <c r="I972">
        <v>0.79600000000000004</v>
      </c>
      <c r="J972">
        <v>0.77800000000000002</v>
      </c>
      <c r="K972">
        <v>0.77800000000000002</v>
      </c>
      <c r="L972">
        <v>-0.52700000000000002</v>
      </c>
      <c r="M972">
        <v>-0.67</v>
      </c>
      <c r="O972">
        <v>1965</v>
      </c>
      <c r="P972">
        <v>1.7291666666666663</v>
      </c>
      <c r="Q972" s="4">
        <f t="shared" si="75"/>
        <v>-1.7291666666666663</v>
      </c>
      <c r="S972">
        <v>1965</v>
      </c>
      <c r="T972">
        <v>79505</v>
      </c>
      <c r="V972" s="5">
        <v>1965</v>
      </c>
      <c r="W972">
        <v>125811</v>
      </c>
    </row>
    <row r="973" spans="1:23">
      <c r="A973">
        <v>1966</v>
      </c>
      <c r="B973">
        <v>9</v>
      </c>
      <c r="C973">
        <v>32</v>
      </c>
      <c r="D973">
        <v>-0.64500000000000002</v>
      </c>
      <c r="E973" s="2">
        <f t="shared" si="76"/>
        <v>-0.5</v>
      </c>
      <c r="F973" s="2">
        <f t="shared" si="77"/>
        <v>458</v>
      </c>
      <c r="G973">
        <v>-0.31</v>
      </c>
      <c r="H973">
        <v>0.69799999999999995</v>
      </c>
      <c r="I973">
        <v>0.79600000000000004</v>
      </c>
      <c r="J973">
        <v>0.77800000000000002</v>
      </c>
      <c r="K973">
        <v>0.77800000000000002</v>
      </c>
      <c r="L973">
        <v>-0.32900000000000001</v>
      </c>
      <c r="M973">
        <v>-0.61899999999999999</v>
      </c>
      <c r="O973">
        <v>1966</v>
      </c>
      <c r="P973">
        <v>1.2985416666666667</v>
      </c>
      <c r="Q973" s="4">
        <f t="shared" si="75"/>
        <v>-1.2985416666666667</v>
      </c>
      <c r="S973">
        <v>1966</v>
      </c>
      <c r="T973">
        <v>171604</v>
      </c>
      <c r="V973" s="5">
        <v>1966</v>
      </c>
      <c r="W973">
        <v>183105</v>
      </c>
    </row>
    <row r="974" spans="1:23">
      <c r="A974">
        <v>1967</v>
      </c>
      <c r="B974">
        <v>9</v>
      </c>
      <c r="C974">
        <v>32</v>
      </c>
      <c r="D974">
        <v>-2.7090000000000001</v>
      </c>
      <c r="E974" s="2">
        <f t="shared" si="76"/>
        <v>-2.5</v>
      </c>
      <c r="F974" s="2">
        <f t="shared" si="77"/>
        <v>147</v>
      </c>
      <c r="G974">
        <v>-0.215</v>
      </c>
      <c r="H974">
        <v>0.69799999999999995</v>
      </c>
      <c r="I974">
        <v>0.79600000000000004</v>
      </c>
      <c r="J974">
        <v>0.77800000000000002</v>
      </c>
      <c r="K974">
        <v>0.77800000000000002</v>
      </c>
      <c r="L974">
        <v>-3.55</v>
      </c>
      <c r="M974">
        <v>-0.52700000000000002</v>
      </c>
      <c r="O974">
        <v>1967</v>
      </c>
      <c r="P974">
        <v>1.8410416666666667</v>
      </c>
      <c r="Q974" s="4">
        <f t="shared" si="75"/>
        <v>-1.8410416666666667</v>
      </c>
      <c r="S974">
        <v>1967</v>
      </c>
      <c r="T974">
        <v>48436</v>
      </c>
      <c r="V974" s="5">
        <v>1967</v>
      </c>
      <c r="W974">
        <v>48507</v>
      </c>
    </row>
    <row r="975" spans="1:23">
      <c r="A975">
        <v>1968</v>
      </c>
      <c r="B975">
        <v>9</v>
      </c>
      <c r="C975">
        <v>32</v>
      </c>
      <c r="D975">
        <v>2.722</v>
      </c>
      <c r="E975" s="2">
        <f t="shared" si="76"/>
        <v>2.5</v>
      </c>
      <c r="F975" s="2">
        <f t="shared" si="77"/>
        <v>921</v>
      </c>
      <c r="G975">
        <v>-0.123</v>
      </c>
      <c r="H975">
        <v>0.69799999999999995</v>
      </c>
      <c r="I975">
        <v>0.79600000000000004</v>
      </c>
      <c r="J975">
        <v>0.77800000000000002</v>
      </c>
      <c r="K975">
        <v>0.77800000000000002</v>
      </c>
      <c r="L975">
        <v>2.7330000000000001</v>
      </c>
      <c r="M975">
        <v>-0.40100000000000002</v>
      </c>
      <c r="O975">
        <v>1968</v>
      </c>
      <c r="P975">
        <v>0.55770833333333336</v>
      </c>
      <c r="Q975" s="4">
        <f t="shared" si="75"/>
        <v>-0.55770833333333336</v>
      </c>
      <c r="S975">
        <v>1968</v>
      </c>
      <c r="T975">
        <v>158509</v>
      </c>
      <c r="V975" s="5">
        <v>1968</v>
      </c>
      <c r="W975">
        <v>167037</v>
      </c>
    </row>
    <row r="976" spans="1:23">
      <c r="A976">
        <v>1969</v>
      </c>
      <c r="B976">
        <v>9</v>
      </c>
      <c r="C976">
        <v>32</v>
      </c>
      <c r="D976">
        <v>0.67400000000000004</v>
      </c>
      <c r="E976" s="2">
        <f t="shared" si="76"/>
        <v>0.5</v>
      </c>
      <c r="F976" s="2">
        <f t="shared" si="77"/>
        <v>679</v>
      </c>
      <c r="G976">
        <v>-4.3999999999999997E-2</v>
      </c>
      <c r="H976">
        <v>0.69799999999999995</v>
      </c>
      <c r="I976">
        <v>0.79600000000000004</v>
      </c>
      <c r="J976">
        <v>0.77800000000000002</v>
      </c>
      <c r="K976">
        <v>0.77800000000000002</v>
      </c>
      <c r="L976">
        <v>1.1220000000000001</v>
      </c>
      <c r="M976">
        <v>-0.26600000000000001</v>
      </c>
      <c r="O976">
        <v>1969</v>
      </c>
      <c r="P976">
        <v>1.2681249999999999</v>
      </c>
      <c r="Q976" s="4">
        <f t="shared" si="75"/>
        <v>-1.2681249999999999</v>
      </c>
      <c r="S976">
        <v>1969</v>
      </c>
      <c r="T976">
        <v>195399</v>
      </c>
      <c r="V976" s="5">
        <v>1969</v>
      </c>
      <c r="W976">
        <v>204434</v>
      </c>
    </row>
    <row r="977" spans="1:23">
      <c r="A977">
        <v>1970</v>
      </c>
      <c r="B977">
        <v>9</v>
      </c>
      <c r="C977">
        <v>32</v>
      </c>
      <c r="D977">
        <v>1</v>
      </c>
      <c r="E977" s="2">
        <f t="shared" si="76"/>
        <v>1</v>
      </c>
      <c r="F977" s="2">
        <f t="shared" si="77"/>
        <v>730</v>
      </c>
      <c r="G977">
        <v>2.5999999999999999E-2</v>
      </c>
      <c r="H977">
        <v>0.69799999999999995</v>
      </c>
      <c r="I977">
        <v>0.79600000000000004</v>
      </c>
      <c r="J977">
        <v>0.77800000000000002</v>
      </c>
      <c r="K977">
        <v>0.77800000000000002</v>
      </c>
      <c r="L977">
        <v>-0.99099999999999999</v>
      </c>
      <c r="M977">
        <v>-0.123</v>
      </c>
      <c r="O977">
        <v>1970</v>
      </c>
      <c r="P977">
        <v>1.5245833333333334</v>
      </c>
      <c r="Q977" s="4">
        <f>-P977</f>
        <v>-1.5245833333333334</v>
      </c>
      <c r="S977">
        <v>1970</v>
      </c>
      <c r="T977">
        <v>148574</v>
      </c>
      <c r="V977" s="5">
        <v>1970</v>
      </c>
      <c r="W977">
        <v>226243</v>
      </c>
    </row>
    <row r="978" spans="1:23">
      <c r="A978">
        <v>1971</v>
      </c>
      <c r="B978">
        <v>9</v>
      </c>
      <c r="C978">
        <v>32</v>
      </c>
      <c r="D978">
        <v>-4.2050000000000001</v>
      </c>
      <c r="E978" s="2">
        <f t="shared" si="76"/>
        <v>-4</v>
      </c>
      <c r="F978" s="2">
        <f t="shared" si="77"/>
        <v>21</v>
      </c>
      <c r="G978">
        <v>0.104</v>
      </c>
      <c r="H978">
        <v>0.69799999999999995</v>
      </c>
      <c r="I978">
        <v>0.79600000000000004</v>
      </c>
      <c r="J978">
        <v>0.77800000000000002</v>
      </c>
      <c r="K978">
        <v>0.77800000000000002</v>
      </c>
      <c r="L978">
        <v>-2.613</v>
      </c>
      <c r="M978">
        <v>3.4000000000000002E-2</v>
      </c>
      <c r="O978">
        <v>1971</v>
      </c>
      <c r="P978">
        <v>1.765208333333333</v>
      </c>
      <c r="Q978" s="4">
        <f t="shared" si="75"/>
        <v>-1.765208333333333</v>
      </c>
      <c r="S978">
        <v>1971</v>
      </c>
      <c r="T978">
        <v>118535</v>
      </c>
      <c r="V978" s="5">
        <v>1971</v>
      </c>
      <c r="W978">
        <v>115167</v>
      </c>
    </row>
    <row r="979" spans="1:23">
      <c r="A979">
        <v>1972</v>
      </c>
      <c r="B979">
        <v>9</v>
      </c>
      <c r="C979">
        <v>32</v>
      </c>
      <c r="D979">
        <v>-1.194</v>
      </c>
      <c r="E979" s="2">
        <f t="shared" si="76"/>
        <v>-1</v>
      </c>
      <c r="F979" s="2">
        <f t="shared" si="77"/>
        <v>371</v>
      </c>
      <c r="G979">
        <v>0.20399999999999999</v>
      </c>
      <c r="H979">
        <v>0.69799999999999995</v>
      </c>
      <c r="I979">
        <v>0.79600000000000004</v>
      </c>
      <c r="J979">
        <v>0.77800000000000002</v>
      </c>
      <c r="K979">
        <v>0.77800000000000002</v>
      </c>
      <c r="L979">
        <v>-1.044</v>
      </c>
      <c r="M979">
        <v>0.20599999999999999</v>
      </c>
      <c r="O979">
        <v>1972</v>
      </c>
      <c r="P979">
        <v>2.4170833333333333</v>
      </c>
      <c r="Q979" s="4">
        <f t="shared" ref="Q979:Q1010" si="78">-P979</f>
        <v>-2.4170833333333333</v>
      </c>
      <c r="S979">
        <v>1972</v>
      </c>
      <c r="T979">
        <v>37890</v>
      </c>
      <c r="V979" s="5">
        <v>1972</v>
      </c>
      <c r="W979">
        <v>16978</v>
      </c>
    </row>
    <row r="980" spans="1:23">
      <c r="A980">
        <v>1973</v>
      </c>
      <c r="B980">
        <v>9</v>
      </c>
      <c r="C980">
        <v>32</v>
      </c>
      <c r="D980">
        <v>2.883</v>
      </c>
      <c r="E980" s="2">
        <f t="shared" si="76"/>
        <v>3</v>
      </c>
      <c r="F980" s="2">
        <f t="shared" si="77"/>
        <v>930</v>
      </c>
      <c r="G980">
        <v>0.315</v>
      </c>
      <c r="H980">
        <v>0.69799999999999995</v>
      </c>
      <c r="I980">
        <v>0.79600000000000004</v>
      </c>
      <c r="J980">
        <v>0.77800000000000002</v>
      </c>
      <c r="K980">
        <v>0.77800000000000002</v>
      </c>
      <c r="L980">
        <v>3.512</v>
      </c>
      <c r="M980">
        <v>0.374</v>
      </c>
      <c r="O980">
        <v>1973</v>
      </c>
      <c r="P980">
        <v>-2.729166666666662E-2</v>
      </c>
      <c r="Q980" s="4">
        <f t="shared" si="78"/>
        <v>2.729166666666662E-2</v>
      </c>
      <c r="S980">
        <v>1973</v>
      </c>
      <c r="T980">
        <v>179784</v>
      </c>
      <c r="V980" s="5">
        <v>1973</v>
      </c>
      <c r="W980">
        <v>156842</v>
      </c>
    </row>
    <row r="981" spans="1:23">
      <c r="A981">
        <v>1974</v>
      </c>
      <c r="B981">
        <v>9</v>
      </c>
      <c r="C981">
        <v>32</v>
      </c>
      <c r="D981">
        <v>-0.34200000000000003</v>
      </c>
      <c r="E981" s="2">
        <f t="shared" si="76"/>
        <v>-0.5</v>
      </c>
      <c r="F981" s="2">
        <f t="shared" si="77"/>
        <v>511</v>
      </c>
      <c r="G981">
        <v>0.41299999999999998</v>
      </c>
      <c r="H981">
        <v>0.69799999999999995</v>
      </c>
      <c r="I981">
        <v>0.79600000000000004</v>
      </c>
      <c r="J981">
        <v>0.77800000000000002</v>
      </c>
      <c r="K981">
        <v>0.77800000000000002</v>
      </c>
      <c r="L981">
        <v>-0.16300000000000001</v>
      </c>
      <c r="M981">
        <v>0.51</v>
      </c>
      <c r="O981">
        <v>1974</v>
      </c>
      <c r="P981">
        <v>1.3058333333333332</v>
      </c>
      <c r="Q981" s="4">
        <f t="shared" si="78"/>
        <v>-1.3058333333333332</v>
      </c>
      <c r="S981">
        <v>1974</v>
      </c>
      <c r="T981">
        <v>182142</v>
      </c>
      <c r="V981" s="5">
        <v>1974</v>
      </c>
      <c r="W981">
        <v>212433</v>
      </c>
    </row>
    <row r="982" spans="1:23">
      <c r="A982">
        <v>1975</v>
      </c>
      <c r="B982">
        <v>9</v>
      </c>
      <c r="C982">
        <v>32</v>
      </c>
      <c r="D982">
        <v>3.3959999999999999</v>
      </c>
      <c r="E982" s="2">
        <f t="shared" si="76"/>
        <v>3.5</v>
      </c>
      <c r="F982" s="2">
        <f t="shared" si="77"/>
        <v>955</v>
      </c>
      <c r="G982">
        <v>0.48499999999999999</v>
      </c>
      <c r="H982">
        <v>0.69799999999999995</v>
      </c>
      <c r="I982">
        <v>0.79600000000000004</v>
      </c>
      <c r="J982">
        <v>0.77800000000000002</v>
      </c>
      <c r="K982">
        <v>0.77800000000000002</v>
      </c>
      <c r="L982">
        <v>4.03</v>
      </c>
      <c r="M982">
        <v>0.60299999999999998</v>
      </c>
      <c r="O982">
        <v>1975</v>
      </c>
      <c r="P982">
        <v>1.506875</v>
      </c>
      <c r="Q982" s="4">
        <f t="shared" si="78"/>
        <v>-1.506875</v>
      </c>
      <c r="S982">
        <v>1975</v>
      </c>
      <c r="T982">
        <v>133241</v>
      </c>
      <c r="V982" s="5">
        <v>1975</v>
      </c>
      <c r="W982">
        <v>191328</v>
      </c>
    </row>
    <row r="983" spans="1:23">
      <c r="A983">
        <v>1976</v>
      </c>
      <c r="B983">
        <v>9</v>
      </c>
      <c r="C983">
        <v>32</v>
      </c>
      <c r="D983">
        <v>1.069</v>
      </c>
      <c r="E983" s="2">
        <f t="shared" si="76"/>
        <v>1</v>
      </c>
      <c r="F983" s="2">
        <f t="shared" si="77"/>
        <v>743</v>
      </c>
      <c r="G983">
        <v>0.52400000000000002</v>
      </c>
      <c r="H983">
        <v>0.69799999999999995</v>
      </c>
      <c r="I983">
        <v>0.79600000000000004</v>
      </c>
      <c r="J983">
        <v>0.77800000000000002</v>
      </c>
      <c r="K983">
        <v>0.77800000000000002</v>
      </c>
      <c r="L983">
        <v>0.83199999999999996</v>
      </c>
      <c r="M983">
        <v>0.65100000000000002</v>
      </c>
      <c r="O983">
        <v>1976</v>
      </c>
      <c r="P983">
        <v>1.3295833333333333</v>
      </c>
      <c r="Q983" s="4">
        <f t="shared" si="78"/>
        <v>-1.3295833333333333</v>
      </c>
      <c r="S983">
        <v>1976</v>
      </c>
      <c r="T983">
        <v>33941</v>
      </c>
      <c r="V983" s="5">
        <v>1976</v>
      </c>
      <c r="W983">
        <v>34655</v>
      </c>
    </row>
    <row r="984" spans="1:23">
      <c r="A984">
        <v>1977</v>
      </c>
      <c r="B984">
        <v>9</v>
      </c>
      <c r="C984">
        <v>32</v>
      </c>
      <c r="D984">
        <v>0.23</v>
      </c>
      <c r="E984" s="2">
        <f t="shared" si="76"/>
        <v>0</v>
      </c>
      <c r="F984" s="2">
        <f t="shared" si="77"/>
        <v>602</v>
      </c>
      <c r="G984">
        <v>0.54200000000000004</v>
      </c>
      <c r="H984">
        <v>0.69799999999999995</v>
      </c>
      <c r="I984">
        <v>0.79600000000000004</v>
      </c>
      <c r="J984">
        <v>0.77800000000000002</v>
      </c>
      <c r="K984">
        <v>0.77800000000000002</v>
      </c>
      <c r="L984">
        <v>-3.1E-2</v>
      </c>
      <c r="M984">
        <v>0.67100000000000004</v>
      </c>
      <c r="O984">
        <v>1977</v>
      </c>
      <c r="P984">
        <v>2.6129166666666666</v>
      </c>
      <c r="Q984" s="4">
        <f t="shared" si="78"/>
        <v>-2.6129166666666666</v>
      </c>
      <c r="S984">
        <v>1977</v>
      </c>
      <c r="T984">
        <v>95103</v>
      </c>
      <c r="V984" s="5">
        <v>1977</v>
      </c>
      <c r="W984">
        <v>117241</v>
      </c>
    </row>
    <row r="985" spans="1:23">
      <c r="A985">
        <v>1978</v>
      </c>
      <c r="B985">
        <v>9</v>
      </c>
      <c r="C985">
        <v>32</v>
      </c>
      <c r="D985">
        <v>-2.4350000000000001</v>
      </c>
      <c r="E985" s="2">
        <f t="shared" si="76"/>
        <v>-2.5</v>
      </c>
      <c r="F985" s="2">
        <f t="shared" si="77"/>
        <v>183</v>
      </c>
      <c r="G985">
        <v>0.55800000000000005</v>
      </c>
      <c r="H985">
        <v>0.69799999999999995</v>
      </c>
      <c r="I985">
        <v>0.79600000000000004</v>
      </c>
      <c r="J985">
        <v>0.77800000000000002</v>
      </c>
      <c r="K985">
        <v>0.77800000000000002</v>
      </c>
      <c r="L985">
        <v>-2.19</v>
      </c>
      <c r="M985">
        <v>0.68500000000000005</v>
      </c>
      <c r="O985">
        <v>1978</v>
      </c>
      <c r="P985">
        <v>2.5933333333333337</v>
      </c>
      <c r="Q985" s="4">
        <f t="shared" si="78"/>
        <v>-2.5933333333333337</v>
      </c>
      <c r="S985">
        <v>1978</v>
      </c>
      <c r="T985">
        <v>9940</v>
      </c>
      <c r="V985" s="5">
        <v>1978</v>
      </c>
      <c r="W985">
        <v>0</v>
      </c>
    </row>
    <row r="986" spans="1:23">
      <c r="A986">
        <v>1979</v>
      </c>
      <c r="B986">
        <v>9</v>
      </c>
      <c r="C986">
        <v>-99</v>
      </c>
      <c r="D986">
        <v>3.1179999999999999</v>
      </c>
      <c r="E986" s="2">
        <f t="shared" si="76"/>
        <v>3</v>
      </c>
      <c r="F986" s="2">
        <f t="shared" si="77"/>
        <v>942</v>
      </c>
      <c r="G986">
        <v>0.58499999999999996</v>
      </c>
      <c r="H986">
        <v>-99.998999999999995</v>
      </c>
      <c r="I986">
        <v>-99.998999999999995</v>
      </c>
      <c r="J986">
        <v>-99.998999999999995</v>
      </c>
      <c r="K986">
        <v>-99.998999999999995</v>
      </c>
      <c r="L986">
        <v>3.4780000000000002</v>
      </c>
      <c r="M986">
        <v>0.71</v>
      </c>
      <c r="O986">
        <v>1979</v>
      </c>
      <c r="P986">
        <v>1.2508333333333332</v>
      </c>
      <c r="Q986" s="4">
        <f t="shared" si="78"/>
        <v>-1.2508333333333332</v>
      </c>
      <c r="S986">
        <v>1979</v>
      </c>
      <c r="T986">
        <v>104414</v>
      </c>
      <c r="V986" s="5">
        <v>1979</v>
      </c>
      <c r="W986">
        <v>91392</v>
      </c>
    </row>
    <row r="987" spans="1:23">
      <c r="A987">
        <v>1980</v>
      </c>
      <c r="B987">
        <v>9</v>
      </c>
      <c r="C987">
        <v>-99</v>
      </c>
      <c r="D987">
        <v>-1.617</v>
      </c>
      <c r="E987" s="2">
        <f t="shared" si="76"/>
        <v>-1.5</v>
      </c>
      <c r="F987" s="2">
        <f t="shared" si="77"/>
        <v>306</v>
      </c>
      <c r="G987">
        <v>0.61899999999999999</v>
      </c>
      <c r="H987">
        <v>-99.998999999999995</v>
      </c>
      <c r="I987">
        <v>-99.998999999999995</v>
      </c>
      <c r="J987">
        <v>-99.998999999999995</v>
      </c>
      <c r="K987">
        <v>-99.998999999999995</v>
      </c>
      <c r="L987">
        <v>-1.869</v>
      </c>
      <c r="M987">
        <v>0.74199999999999999</v>
      </c>
      <c r="O987">
        <v>1980</v>
      </c>
      <c r="P987">
        <v>3.2197916666666662</v>
      </c>
      <c r="Q987" s="4">
        <f t="shared" si="78"/>
        <v>-3.2197916666666662</v>
      </c>
      <c r="S987">
        <v>1980</v>
      </c>
      <c r="T987">
        <v>39821</v>
      </c>
      <c r="V987" s="5">
        <v>1980</v>
      </c>
      <c r="W987">
        <v>5370</v>
      </c>
    </row>
    <row r="988" spans="1:23">
      <c r="A988">
        <v>1981</v>
      </c>
      <c r="B988">
        <v>9</v>
      </c>
      <c r="C988">
        <v>-99</v>
      </c>
      <c r="D988">
        <v>1.4930000000000001</v>
      </c>
      <c r="E988" s="2">
        <f t="shared" si="76"/>
        <v>1.5</v>
      </c>
      <c r="F988" s="2">
        <f t="shared" si="77"/>
        <v>797</v>
      </c>
      <c r="G988">
        <v>0.66700000000000004</v>
      </c>
      <c r="H988">
        <v>-99.998999999999995</v>
      </c>
      <c r="I988">
        <v>-99.998999999999995</v>
      </c>
      <c r="J988">
        <v>-99.998999999999995</v>
      </c>
      <c r="K988">
        <v>-99.998999999999995</v>
      </c>
      <c r="L988">
        <v>1.675</v>
      </c>
      <c r="M988">
        <v>0.79200000000000004</v>
      </c>
      <c r="O988">
        <v>1981</v>
      </c>
      <c r="P988">
        <v>0.75687499999999996</v>
      </c>
      <c r="Q988" s="4">
        <f t="shared" si="78"/>
        <v>-0.75687499999999996</v>
      </c>
      <c r="S988">
        <v>1981</v>
      </c>
      <c r="T988">
        <v>465621</v>
      </c>
      <c r="V988" s="5">
        <v>1981</v>
      </c>
      <c r="W988">
        <v>471476</v>
      </c>
    </row>
    <row r="989" spans="1:23">
      <c r="A989">
        <v>1982</v>
      </c>
      <c r="B989">
        <v>9</v>
      </c>
      <c r="C989">
        <v>-99</v>
      </c>
      <c r="D989">
        <v>1.52</v>
      </c>
      <c r="E989" s="2">
        <f t="shared" si="76"/>
        <v>1.5</v>
      </c>
      <c r="F989" s="2">
        <f t="shared" si="77"/>
        <v>800</v>
      </c>
      <c r="G989">
        <v>0.72299999999999998</v>
      </c>
      <c r="H989">
        <v>-99.998999999999995</v>
      </c>
      <c r="I989">
        <v>-99.998999999999995</v>
      </c>
      <c r="J989">
        <v>-99.998999999999995</v>
      </c>
      <c r="K989">
        <v>-99.998999999999995</v>
      </c>
      <c r="L989">
        <v>1.8</v>
      </c>
      <c r="M989">
        <v>0.85499999999999998</v>
      </c>
      <c r="O989">
        <v>1982</v>
      </c>
      <c r="P989">
        <v>1.0441666666666665</v>
      </c>
      <c r="Q989" s="4">
        <f t="shared" si="78"/>
        <v>-1.0441666666666665</v>
      </c>
      <c r="S989">
        <v>1982</v>
      </c>
      <c r="T989">
        <v>227218</v>
      </c>
      <c r="V989" s="5">
        <v>1982</v>
      </c>
      <c r="W989">
        <v>394108</v>
      </c>
    </row>
    <row r="990" spans="1:23">
      <c r="A990">
        <v>1983</v>
      </c>
      <c r="B990">
        <v>9</v>
      </c>
      <c r="C990">
        <v>-99</v>
      </c>
      <c r="D990">
        <v>1.635</v>
      </c>
      <c r="E990" s="2">
        <f t="shared" si="76"/>
        <v>1.5</v>
      </c>
      <c r="F990" s="2">
        <f t="shared" si="77"/>
        <v>816</v>
      </c>
      <c r="G990">
        <v>0.78800000000000003</v>
      </c>
      <c r="H990">
        <v>-99.998999999999995</v>
      </c>
      <c r="I990">
        <v>-99.998999999999995</v>
      </c>
      <c r="J990">
        <v>-99.998999999999995</v>
      </c>
      <c r="K990">
        <v>-99.998999999999995</v>
      </c>
      <c r="L990">
        <v>1.9810000000000001</v>
      </c>
      <c r="M990">
        <v>0.93200000000000005</v>
      </c>
      <c r="O990">
        <v>1983</v>
      </c>
      <c r="P990">
        <v>1.8768750000000001</v>
      </c>
      <c r="Q990" s="4">
        <f t="shared" si="78"/>
        <v>-1.8768750000000001</v>
      </c>
      <c r="S990">
        <v>1983</v>
      </c>
      <c r="T990">
        <v>43424</v>
      </c>
      <c r="V990" s="5">
        <v>1983</v>
      </c>
      <c r="W990">
        <v>46976</v>
      </c>
    </row>
    <row r="991" spans="1:23">
      <c r="A991">
        <v>1984</v>
      </c>
      <c r="B991">
        <v>9</v>
      </c>
      <c r="C991">
        <v>-99</v>
      </c>
      <c r="D991">
        <v>-2.0619999999999998</v>
      </c>
      <c r="E991" s="2">
        <f t="shared" si="76"/>
        <v>-2</v>
      </c>
      <c r="F991" s="2">
        <f t="shared" si="77"/>
        <v>236</v>
      </c>
      <c r="G991">
        <v>0.86799999999999999</v>
      </c>
      <c r="H991">
        <v>-99.998999999999995</v>
      </c>
      <c r="I991">
        <v>-99.998999999999995</v>
      </c>
      <c r="J991">
        <v>-99.998999999999995</v>
      </c>
      <c r="K991">
        <v>-99.998999999999995</v>
      </c>
      <c r="L991">
        <v>-2.84</v>
      </c>
      <c r="M991">
        <v>1.032</v>
      </c>
      <c r="O991">
        <v>1984</v>
      </c>
      <c r="P991">
        <v>2.0797916666666665</v>
      </c>
      <c r="Q991" s="4">
        <f t="shared" si="78"/>
        <v>-2.0797916666666665</v>
      </c>
      <c r="S991">
        <v>1984</v>
      </c>
      <c r="T991">
        <v>71473</v>
      </c>
      <c r="V991" s="5">
        <v>1984</v>
      </c>
      <c r="W991">
        <v>30780</v>
      </c>
    </row>
    <row r="992" spans="1:23">
      <c r="A992">
        <v>1985</v>
      </c>
      <c r="B992">
        <v>9</v>
      </c>
      <c r="C992">
        <v>-99</v>
      </c>
      <c r="D992">
        <v>1.482</v>
      </c>
      <c r="E992" s="2">
        <f t="shared" si="76"/>
        <v>1.5</v>
      </c>
      <c r="F992" s="2">
        <f t="shared" si="77"/>
        <v>796</v>
      </c>
      <c r="G992">
        <v>0.97199999999999998</v>
      </c>
      <c r="H992">
        <v>-99.998999999999995</v>
      </c>
      <c r="I992">
        <v>-99.998999999999995</v>
      </c>
      <c r="J992">
        <v>-99.998999999999995</v>
      </c>
      <c r="K992">
        <v>-99.998999999999995</v>
      </c>
      <c r="L992">
        <v>1.5649999999999999</v>
      </c>
      <c r="M992">
        <v>1.1659999999999999</v>
      </c>
      <c r="O992">
        <v>1985</v>
      </c>
      <c r="P992">
        <v>1.4879166666666668</v>
      </c>
      <c r="Q992" s="4">
        <f t="shared" si="78"/>
        <v>-1.4879166666666668</v>
      </c>
      <c r="S992">
        <v>1985</v>
      </c>
      <c r="T992">
        <v>145619.37499999997</v>
      </c>
      <c r="V992" s="5">
        <v>1985</v>
      </c>
      <c r="W992">
        <v>160320</v>
      </c>
    </row>
    <row r="993" spans="1:23">
      <c r="A993">
        <v>1986</v>
      </c>
      <c r="B993">
        <v>9</v>
      </c>
      <c r="C993">
        <v>-99</v>
      </c>
      <c r="D993">
        <v>0.29599999999999999</v>
      </c>
      <c r="E993" s="2">
        <f t="shared" si="76"/>
        <v>0.5</v>
      </c>
      <c r="F993" s="2">
        <f t="shared" si="77"/>
        <v>619</v>
      </c>
      <c r="G993">
        <v>1.093</v>
      </c>
      <c r="H993">
        <v>-99.998999999999995</v>
      </c>
      <c r="I993">
        <v>-99.998999999999995</v>
      </c>
      <c r="J993">
        <v>-99.998999999999995</v>
      </c>
      <c r="K993">
        <v>-99.998999999999995</v>
      </c>
      <c r="L993">
        <v>0.56799999999999995</v>
      </c>
      <c r="M993">
        <v>1.3240000000000001</v>
      </c>
      <c r="O993">
        <v>1986</v>
      </c>
      <c r="P993">
        <v>0.97104166666666669</v>
      </c>
      <c r="Q993" s="4">
        <f t="shared" si="78"/>
        <v>-0.97104166666666669</v>
      </c>
      <c r="S993">
        <v>1986</v>
      </c>
      <c r="T993">
        <v>182497.65</v>
      </c>
      <c r="V993" s="5">
        <v>1986</v>
      </c>
      <c r="W993">
        <v>198231</v>
      </c>
    </row>
    <row r="994" spans="1:23">
      <c r="A994">
        <v>1987</v>
      </c>
      <c r="B994">
        <v>9</v>
      </c>
      <c r="C994">
        <v>-99</v>
      </c>
      <c r="D994">
        <v>3.7709999999999999</v>
      </c>
      <c r="E994" s="2">
        <f t="shared" si="76"/>
        <v>4</v>
      </c>
      <c r="F994" s="2">
        <f t="shared" si="77"/>
        <v>970</v>
      </c>
      <c r="G994">
        <v>1.2190000000000001</v>
      </c>
      <c r="H994">
        <v>-99.998999999999995</v>
      </c>
      <c r="I994">
        <v>-99.998999999999995</v>
      </c>
      <c r="J994">
        <v>-99.998999999999995</v>
      </c>
      <c r="K994">
        <v>-99.998999999999995</v>
      </c>
      <c r="L994">
        <v>4.4240000000000004</v>
      </c>
      <c r="M994">
        <v>1.4890000000000001</v>
      </c>
      <c r="O994">
        <v>1987</v>
      </c>
      <c r="P994">
        <v>1.2862499999999999</v>
      </c>
      <c r="Q994" s="4">
        <f t="shared" si="78"/>
        <v>-1.2862499999999999</v>
      </c>
      <c r="S994">
        <v>1987</v>
      </c>
      <c r="T994">
        <v>204673.08</v>
      </c>
      <c r="V994" s="5">
        <v>1987</v>
      </c>
      <c r="W994">
        <v>240739</v>
      </c>
    </row>
    <row r="995" spans="1:23">
      <c r="A995">
        <v>1988</v>
      </c>
      <c r="B995">
        <v>9</v>
      </c>
      <c r="C995">
        <v>-99</v>
      </c>
      <c r="D995">
        <v>-1.306</v>
      </c>
      <c r="E995" s="2">
        <f t="shared" si="76"/>
        <v>-1.5</v>
      </c>
      <c r="F995" s="2">
        <f t="shared" si="77"/>
        <v>354</v>
      </c>
      <c r="G995">
        <v>1.341</v>
      </c>
      <c r="H995">
        <v>-99.998999999999995</v>
      </c>
      <c r="I995">
        <v>-99.998999999999995</v>
      </c>
      <c r="J995">
        <v>-99.998999999999995</v>
      </c>
      <c r="K995">
        <v>-99.998999999999995</v>
      </c>
      <c r="L995">
        <v>-1.151</v>
      </c>
      <c r="M995">
        <v>1.645</v>
      </c>
      <c r="O995">
        <v>1988</v>
      </c>
      <c r="P995">
        <v>2.4993750000000001</v>
      </c>
      <c r="Q995" s="4">
        <f t="shared" si="78"/>
        <v>-2.4993750000000001</v>
      </c>
      <c r="S995">
        <v>1988</v>
      </c>
      <c r="T995">
        <v>33717.279999999999</v>
      </c>
      <c r="V995" s="5">
        <v>1988</v>
      </c>
      <c r="W995">
        <v>20153</v>
      </c>
    </row>
    <row r="996" spans="1:23">
      <c r="A996">
        <v>1989</v>
      </c>
      <c r="B996">
        <v>9</v>
      </c>
      <c r="C996">
        <v>-99</v>
      </c>
      <c r="D996">
        <v>1.665</v>
      </c>
      <c r="E996" s="2">
        <f t="shared" si="76"/>
        <v>1.5</v>
      </c>
      <c r="F996" s="2">
        <f t="shared" si="77"/>
        <v>824</v>
      </c>
      <c r="G996">
        <v>1.458</v>
      </c>
      <c r="H996">
        <v>-99.998999999999995</v>
      </c>
      <c r="I996">
        <v>-99.998999999999995</v>
      </c>
      <c r="J996">
        <v>-99.998999999999995</v>
      </c>
      <c r="K996">
        <v>-99.998999999999995</v>
      </c>
      <c r="L996">
        <v>2.1349999999999998</v>
      </c>
      <c r="M996">
        <v>1.79</v>
      </c>
      <c r="O996">
        <v>1989</v>
      </c>
      <c r="P996">
        <v>1.0358333333333334</v>
      </c>
      <c r="Q996" s="4">
        <f t="shared" si="78"/>
        <v>-1.0358333333333334</v>
      </c>
      <c r="S996">
        <v>1989</v>
      </c>
      <c r="T996">
        <v>394205.33500000002</v>
      </c>
      <c r="V996" s="5">
        <v>1989</v>
      </c>
      <c r="W996">
        <v>473864</v>
      </c>
    </row>
    <row r="997" spans="1:23">
      <c r="A997">
        <v>1990</v>
      </c>
      <c r="B997">
        <v>9</v>
      </c>
      <c r="C997">
        <v>-99</v>
      </c>
      <c r="D997">
        <v>0.94299999999999995</v>
      </c>
      <c r="E997" s="2">
        <f t="shared" si="76"/>
        <v>1</v>
      </c>
      <c r="F997" s="2">
        <f t="shared" si="77"/>
        <v>717</v>
      </c>
      <c r="G997">
        <v>1.5569999999999999</v>
      </c>
      <c r="H997">
        <v>-99.998999999999995</v>
      </c>
      <c r="I997">
        <v>-99.998999999999995</v>
      </c>
      <c r="J997">
        <v>-99.998999999999995</v>
      </c>
      <c r="K997">
        <v>-99.998999999999995</v>
      </c>
      <c r="L997">
        <v>1.4330000000000001</v>
      </c>
      <c r="M997">
        <v>1.909</v>
      </c>
      <c r="O997">
        <v>1990</v>
      </c>
      <c r="P997">
        <v>0.42854166666666643</v>
      </c>
      <c r="Q997" s="4">
        <f t="shared" si="78"/>
        <v>-0.42854166666666643</v>
      </c>
      <c r="S997">
        <v>1990</v>
      </c>
      <c r="T997">
        <v>514561.88</v>
      </c>
      <c r="V997" s="5">
        <v>1990</v>
      </c>
      <c r="W997">
        <v>478301</v>
      </c>
    </row>
    <row r="998" spans="1:23">
      <c r="A998">
        <v>1991</v>
      </c>
      <c r="B998">
        <v>-99</v>
      </c>
      <c r="C998">
        <v>-99</v>
      </c>
      <c r="D998">
        <v>1.645</v>
      </c>
      <c r="E998" s="2">
        <f t="shared" si="76"/>
        <v>1.5</v>
      </c>
      <c r="F998" s="2">
        <f t="shared" si="77"/>
        <v>819</v>
      </c>
      <c r="G998">
        <v>1.623</v>
      </c>
      <c r="H998">
        <v>-99.998999999999995</v>
      </c>
      <c r="I998">
        <v>-99.998999999999995</v>
      </c>
      <c r="J998">
        <v>-99.998999999999995</v>
      </c>
      <c r="K998">
        <v>-99.998999999999995</v>
      </c>
      <c r="L998">
        <v>1.944</v>
      </c>
      <c r="M998">
        <v>1.982</v>
      </c>
      <c r="O998">
        <v>1991</v>
      </c>
      <c r="P998">
        <v>0.41333333333333333</v>
      </c>
      <c r="Q998" s="4">
        <f t="shared" si="78"/>
        <v>-0.41333333333333333</v>
      </c>
      <c r="S998">
        <v>1991</v>
      </c>
      <c r="T998">
        <v>232800.73</v>
      </c>
      <c r="V998" s="5">
        <v>1991</v>
      </c>
      <c r="W998">
        <v>282907.40159999998</v>
      </c>
    </row>
    <row r="999" spans="1:23">
      <c r="A999">
        <v>1992</v>
      </c>
      <c r="B999">
        <v>-99</v>
      </c>
      <c r="C999">
        <v>-99</v>
      </c>
      <c r="D999">
        <v>4.569</v>
      </c>
      <c r="E999" s="2">
        <f t="shared" si="76"/>
        <v>4.5</v>
      </c>
      <c r="F999" s="2">
        <f t="shared" si="77"/>
        <v>988</v>
      </c>
      <c r="G999">
        <v>1.635</v>
      </c>
      <c r="H999">
        <v>-99.998999999999995</v>
      </c>
      <c r="I999">
        <v>-99.998999999999995</v>
      </c>
      <c r="J999">
        <v>-99.998999999999995</v>
      </c>
      <c r="K999">
        <v>-99.998999999999995</v>
      </c>
      <c r="L999">
        <v>5.31</v>
      </c>
      <c r="M999">
        <v>1.99</v>
      </c>
      <c r="O999">
        <v>1992</v>
      </c>
      <c r="P999">
        <v>0.60124999999999995</v>
      </c>
      <c r="Q999" s="4">
        <f t="shared" si="78"/>
        <v>-0.60124999999999995</v>
      </c>
      <c r="S999">
        <v>1992</v>
      </c>
      <c r="T999">
        <v>195326.51500000001</v>
      </c>
      <c r="V999" s="5">
        <v>1992</v>
      </c>
      <c r="W999">
        <v>205772.11200000002</v>
      </c>
    </row>
    <row r="1000" spans="1:23">
      <c r="A1000">
        <v>1993</v>
      </c>
      <c r="B1000">
        <v>-99</v>
      </c>
      <c r="C1000">
        <v>-99</v>
      </c>
      <c r="D1000">
        <v>2.2229999999999999</v>
      </c>
      <c r="E1000" s="2">
        <f t="shared" si="76"/>
        <v>2</v>
      </c>
      <c r="F1000" s="2">
        <f t="shared" si="77"/>
        <v>872</v>
      </c>
      <c r="G1000">
        <v>1.5780000000000001</v>
      </c>
      <c r="H1000">
        <v>-99.998999999999995</v>
      </c>
      <c r="I1000">
        <v>-99.998999999999995</v>
      </c>
      <c r="J1000">
        <v>-99.998999999999995</v>
      </c>
      <c r="K1000">
        <v>-99.998999999999995</v>
      </c>
      <c r="L1000">
        <v>2.6080000000000001</v>
      </c>
      <c r="M1000">
        <v>1.915</v>
      </c>
      <c r="O1000">
        <v>1993</v>
      </c>
      <c r="P1000">
        <v>1.620625</v>
      </c>
      <c r="Q1000" s="4">
        <f t="shared" si="78"/>
        <v>-1.620625</v>
      </c>
      <c r="S1000">
        <v>1993</v>
      </c>
      <c r="T1000">
        <v>278837.09499999997</v>
      </c>
      <c r="V1000" s="5">
        <v>1993</v>
      </c>
      <c r="W1000">
        <v>280821.1152</v>
      </c>
    </row>
    <row r="1001" spans="1:23">
      <c r="A1001">
        <v>1994</v>
      </c>
      <c r="B1001">
        <v>-99</v>
      </c>
      <c r="C1001">
        <v>-99</v>
      </c>
      <c r="D1001">
        <v>1.3049999999999999</v>
      </c>
      <c r="E1001" s="2">
        <f t="shared" si="76"/>
        <v>1.5</v>
      </c>
      <c r="F1001" s="2">
        <f t="shared" si="77"/>
        <v>777</v>
      </c>
      <c r="G1001">
        <v>1.4550000000000001</v>
      </c>
      <c r="H1001">
        <v>-99.998999999999995</v>
      </c>
      <c r="I1001">
        <v>-99.998999999999995</v>
      </c>
      <c r="J1001">
        <v>-99.998999999999995</v>
      </c>
      <c r="K1001">
        <v>-99.998999999999995</v>
      </c>
      <c r="L1001">
        <v>1.5509999999999999</v>
      </c>
      <c r="M1001">
        <v>1.7629999999999999</v>
      </c>
      <c r="O1001">
        <v>1994</v>
      </c>
      <c r="P1001">
        <v>0.67854166666666682</v>
      </c>
      <c r="Q1001" s="4">
        <f t="shared" si="78"/>
        <v>-0.67854166666666682</v>
      </c>
      <c r="S1001">
        <v>1994</v>
      </c>
      <c r="T1001">
        <v>196066.05500000002</v>
      </c>
      <c r="V1001" s="5">
        <v>1994</v>
      </c>
      <c r="W1001">
        <v>255173.5968</v>
      </c>
    </row>
    <row r="1002" spans="1:23">
      <c r="A1002">
        <v>1995</v>
      </c>
      <c r="B1002">
        <v>-99</v>
      </c>
      <c r="C1002">
        <v>-99</v>
      </c>
      <c r="D1002">
        <v>3.18</v>
      </c>
      <c r="E1002" s="2">
        <f t="shared" si="76"/>
        <v>3</v>
      </c>
      <c r="F1002" s="2">
        <f t="shared" si="77"/>
        <v>945</v>
      </c>
      <c r="G1002">
        <v>1.278</v>
      </c>
      <c r="H1002">
        <v>-99.998999999999995</v>
      </c>
      <c r="I1002">
        <v>-99.998999999999995</v>
      </c>
      <c r="J1002">
        <v>-99.998999999999995</v>
      </c>
      <c r="K1002">
        <v>-99.998999999999995</v>
      </c>
      <c r="L1002">
        <v>3.7109999999999999</v>
      </c>
      <c r="M1002">
        <v>1.5509999999999999</v>
      </c>
      <c r="O1002">
        <v>1995</v>
      </c>
      <c r="P1002">
        <v>1.02</v>
      </c>
      <c r="Q1002" s="4">
        <f t="shared" si="78"/>
        <v>-1.02</v>
      </c>
      <c r="S1002">
        <v>1995</v>
      </c>
      <c r="T1002">
        <v>151395.68499999997</v>
      </c>
      <c r="V1002" s="5">
        <v>1995</v>
      </c>
      <c r="W1002">
        <v>167171.22719999996</v>
      </c>
    </row>
    <row r="1003" spans="1:23">
      <c r="A1003">
        <v>1996</v>
      </c>
      <c r="B1003">
        <v>-99</v>
      </c>
      <c r="C1003">
        <v>-99</v>
      </c>
      <c r="D1003">
        <v>-1.619</v>
      </c>
      <c r="E1003" s="2">
        <f t="shared" si="76"/>
        <v>-1.5</v>
      </c>
      <c r="F1003" s="2">
        <f t="shared" si="77"/>
        <v>305</v>
      </c>
      <c r="G1003">
        <v>1.0640000000000001</v>
      </c>
      <c r="H1003">
        <v>-99.998999999999995</v>
      </c>
      <c r="I1003">
        <v>-99.998999999999995</v>
      </c>
      <c r="J1003">
        <v>-99.998999999999995</v>
      </c>
      <c r="K1003">
        <v>-99.998999999999995</v>
      </c>
      <c r="L1003">
        <v>-1.8149999999999999</v>
      </c>
      <c r="M1003">
        <v>1.2969999999999999</v>
      </c>
      <c r="O1003">
        <v>1996</v>
      </c>
      <c r="P1003">
        <v>1.6395833333333332</v>
      </c>
      <c r="Q1003" s="4">
        <f t="shared" si="78"/>
        <v>-1.6395833333333332</v>
      </c>
      <c r="S1003">
        <v>1996</v>
      </c>
      <c r="T1003">
        <v>65232.094999999994</v>
      </c>
      <c r="V1003" s="5">
        <v>1996</v>
      </c>
      <c r="W1003">
        <v>81700.334399999992</v>
      </c>
    </row>
    <row r="1004" spans="1:23">
      <c r="A1004">
        <v>1997</v>
      </c>
      <c r="B1004">
        <v>-99</v>
      </c>
      <c r="C1004">
        <v>-99</v>
      </c>
      <c r="D1004">
        <v>3.5409999999999999</v>
      </c>
      <c r="E1004" s="2">
        <f t="shared" si="76"/>
        <v>3.5</v>
      </c>
      <c r="F1004" s="2">
        <f t="shared" si="77"/>
        <v>962</v>
      </c>
      <c r="G1004">
        <v>0.83699999999999997</v>
      </c>
      <c r="H1004">
        <v>-99.998999999999995</v>
      </c>
      <c r="I1004">
        <v>-99.998999999999995</v>
      </c>
      <c r="J1004">
        <v>-99.998999999999995</v>
      </c>
      <c r="K1004">
        <v>-99.998999999999995</v>
      </c>
      <c r="L1004">
        <v>4.1260000000000003</v>
      </c>
      <c r="M1004">
        <v>1.0269999999999999</v>
      </c>
      <c r="O1004">
        <v>1997</v>
      </c>
      <c r="P1004">
        <v>0.8566666666666668</v>
      </c>
      <c r="Q1004" s="4">
        <f t="shared" si="78"/>
        <v>-0.8566666666666668</v>
      </c>
      <c r="S1004" s="2">
        <v>1997</v>
      </c>
      <c r="T1004" s="2">
        <f t="shared" ref="T1004:T1011" si="79">$T$1025+(Q1004*$T$1024)</f>
        <v>215173.88050261926</v>
      </c>
      <c r="V1004" s="2">
        <v>1997</v>
      </c>
      <c r="W1004" s="2">
        <f t="shared" ref="W1004:W1011" si="80">$T$1025+(Q1004*$T$1024)</f>
        <v>215173.88050261926</v>
      </c>
    </row>
    <row r="1005" spans="1:23">
      <c r="A1005">
        <v>1998</v>
      </c>
      <c r="B1005">
        <v>-99</v>
      </c>
      <c r="C1005">
        <v>-99</v>
      </c>
      <c r="D1005">
        <v>-2.3820000000000001</v>
      </c>
      <c r="E1005" s="2">
        <f t="shared" si="76"/>
        <v>-2.5</v>
      </c>
      <c r="F1005" s="2">
        <f t="shared" si="77"/>
        <v>190</v>
      </c>
      <c r="G1005">
        <v>0.60899999999999999</v>
      </c>
      <c r="H1005">
        <v>-99.998999999999995</v>
      </c>
      <c r="I1005">
        <v>-99.998999999999995</v>
      </c>
      <c r="J1005">
        <v>-99.998999999999995</v>
      </c>
      <c r="K1005">
        <v>-99.998999999999995</v>
      </c>
      <c r="L1005">
        <v>-2.694</v>
      </c>
      <c r="M1005">
        <v>0.75900000000000001</v>
      </c>
      <c r="O1005">
        <v>1998</v>
      </c>
      <c r="P1005">
        <v>2.0560416666666668</v>
      </c>
      <c r="Q1005" s="4">
        <f t="shared" si="78"/>
        <v>-2.0560416666666668</v>
      </c>
      <c r="S1005" s="2">
        <v>1998</v>
      </c>
      <c r="T1005" s="2">
        <f t="shared" si="79"/>
        <v>113970.19094694548</v>
      </c>
      <c r="V1005" s="2">
        <v>1998</v>
      </c>
      <c r="W1005" s="2">
        <f t="shared" si="80"/>
        <v>113970.19094694548</v>
      </c>
    </row>
    <row r="1006" spans="1:23">
      <c r="A1006">
        <v>1999</v>
      </c>
      <c r="B1006">
        <v>-99</v>
      </c>
      <c r="C1006">
        <v>-99</v>
      </c>
      <c r="D1006">
        <v>-0.247</v>
      </c>
      <c r="E1006" s="2">
        <f t="shared" si="76"/>
        <v>0</v>
      </c>
      <c r="F1006" s="2">
        <f t="shared" si="77"/>
        <v>525</v>
      </c>
      <c r="G1006">
        <v>0.40400000000000003</v>
      </c>
      <c r="H1006">
        <v>-99.998999999999995</v>
      </c>
      <c r="I1006">
        <v>-99.998999999999995</v>
      </c>
      <c r="J1006">
        <v>-99.998999999999995</v>
      </c>
      <c r="K1006">
        <v>-99.998999999999995</v>
      </c>
      <c r="L1006">
        <v>-0.23599999999999999</v>
      </c>
      <c r="M1006">
        <v>0.51800000000000002</v>
      </c>
      <c r="O1006">
        <v>1999</v>
      </c>
      <c r="P1006">
        <v>2.4381249999999999</v>
      </c>
      <c r="Q1006" s="4">
        <f t="shared" si="78"/>
        <v>-2.4381249999999999</v>
      </c>
      <c r="S1006" s="2">
        <v>1999</v>
      </c>
      <c r="T1006" s="2">
        <f t="shared" si="79"/>
        <v>81729.863233708427</v>
      </c>
      <c r="V1006" s="2">
        <v>1999</v>
      </c>
      <c r="W1006" s="2">
        <f t="shared" si="80"/>
        <v>81729.863233708427</v>
      </c>
    </row>
    <row r="1007" spans="1:23">
      <c r="A1007">
        <v>2000</v>
      </c>
      <c r="B1007">
        <v>-99</v>
      </c>
      <c r="C1007">
        <v>-99</v>
      </c>
      <c r="D1007">
        <v>-1.472</v>
      </c>
      <c r="E1007" s="2">
        <f t="shared" si="76"/>
        <v>-1.5</v>
      </c>
      <c r="F1007" s="2">
        <f t="shared" si="77"/>
        <v>334</v>
      </c>
      <c r="G1007">
        <v>0.22700000000000001</v>
      </c>
      <c r="H1007">
        <v>-99.998999999999995</v>
      </c>
      <c r="I1007">
        <v>-99.998999999999995</v>
      </c>
      <c r="J1007">
        <v>-99.998999999999995</v>
      </c>
      <c r="K1007">
        <v>-99.998999999999995</v>
      </c>
      <c r="L1007">
        <v>-1.6459999999999999</v>
      </c>
      <c r="M1007">
        <v>0.309</v>
      </c>
      <c r="O1007">
        <v>2000</v>
      </c>
      <c r="P1007">
        <v>2.2189583333333336</v>
      </c>
      <c r="Q1007" s="4">
        <f t="shared" si="78"/>
        <v>-2.2189583333333336</v>
      </c>
      <c r="S1007" s="2">
        <v>2000</v>
      </c>
      <c r="T1007" s="2">
        <f t="shared" si="79"/>
        <v>100223.22460466009</v>
      </c>
      <c r="V1007" s="2">
        <v>2000</v>
      </c>
      <c r="W1007" s="2">
        <f t="shared" si="80"/>
        <v>100223.22460466009</v>
      </c>
    </row>
    <row r="1008" spans="1:23">
      <c r="A1008">
        <v>2001</v>
      </c>
      <c r="B1008">
        <v>-99</v>
      </c>
      <c r="C1008">
        <v>-99</v>
      </c>
      <c r="D1008">
        <v>1.2929999999999999</v>
      </c>
      <c r="E1008" s="2">
        <f t="shared" si="76"/>
        <v>1.5</v>
      </c>
      <c r="F1008" s="2">
        <f t="shared" si="77"/>
        <v>775</v>
      </c>
      <c r="G1008">
        <v>7.0999999999999994E-2</v>
      </c>
      <c r="H1008">
        <v>-99.998999999999995</v>
      </c>
      <c r="I1008">
        <v>-99.998999999999995</v>
      </c>
      <c r="J1008">
        <v>-99.998999999999995</v>
      </c>
      <c r="K1008">
        <v>-99.998999999999995</v>
      </c>
      <c r="L1008">
        <v>1.538</v>
      </c>
      <c r="M1008">
        <v>0.126</v>
      </c>
      <c r="O1008">
        <v>2001</v>
      </c>
      <c r="P1008">
        <v>1.0233333333333334</v>
      </c>
      <c r="Q1008" s="4">
        <f t="shared" si="78"/>
        <v>-1.0233333333333334</v>
      </c>
      <c r="S1008" s="2">
        <v>2001</v>
      </c>
      <c r="T1008" s="2">
        <f t="shared" si="79"/>
        <v>201110.48782508948</v>
      </c>
      <c r="V1008" s="2">
        <v>2001</v>
      </c>
      <c r="W1008" s="2">
        <f t="shared" si="80"/>
        <v>201110.48782508948</v>
      </c>
    </row>
    <row r="1009" spans="1:23">
      <c r="A1009">
        <v>2002</v>
      </c>
      <c r="B1009">
        <v>-99</v>
      </c>
      <c r="C1009">
        <v>-99</v>
      </c>
      <c r="D1009">
        <v>1.327</v>
      </c>
      <c r="E1009" s="2">
        <f t="shared" si="76"/>
        <v>1.5</v>
      </c>
      <c r="F1009" s="2">
        <f t="shared" si="77"/>
        <v>780</v>
      </c>
      <c r="G1009">
        <v>-7.8E-2</v>
      </c>
      <c r="H1009">
        <v>-99.998999999999995</v>
      </c>
      <c r="I1009">
        <v>-99.998999999999995</v>
      </c>
      <c r="J1009">
        <v>-99.998999999999995</v>
      </c>
      <c r="K1009">
        <v>-99.998999999999995</v>
      </c>
      <c r="L1009">
        <v>1.577</v>
      </c>
      <c r="M1009">
        <v>-4.9000000000000002E-2</v>
      </c>
      <c r="O1009">
        <v>2002</v>
      </c>
      <c r="P1009">
        <v>0.82541666666666658</v>
      </c>
      <c r="Q1009" s="4">
        <f t="shared" si="78"/>
        <v>-0.82541666666666658</v>
      </c>
      <c r="S1009" s="2">
        <v>2002</v>
      </c>
      <c r="T1009" s="2">
        <f t="shared" si="79"/>
        <v>217810.76662965611</v>
      </c>
      <c r="V1009" s="2">
        <v>2002</v>
      </c>
      <c r="W1009" s="2">
        <f t="shared" si="80"/>
        <v>217810.76662965611</v>
      </c>
    </row>
    <row r="1010" spans="1:23">
      <c r="A1010">
        <v>2003</v>
      </c>
      <c r="B1010">
        <v>-99</v>
      </c>
      <c r="C1010">
        <v>-99</v>
      </c>
      <c r="D1010">
        <v>-0.72599999999999998</v>
      </c>
      <c r="E1010" s="2">
        <f t="shared" si="76"/>
        <v>-0.5</v>
      </c>
      <c r="F1010" s="2">
        <f t="shared" si="77"/>
        <v>438</v>
      </c>
      <c r="G1010">
        <v>-0.23</v>
      </c>
      <c r="H1010">
        <v>-99.998999999999995</v>
      </c>
      <c r="I1010">
        <v>-99.998999999999995</v>
      </c>
      <c r="J1010">
        <v>-99.998999999999995</v>
      </c>
      <c r="K1010">
        <v>-99.998999999999995</v>
      </c>
      <c r="L1010">
        <v>-0.78700000000000003</v>
      </c>
      <c r="M1010">
        <v>-0.22800000000000001</v>
      </c>
      <c r="O1010">
        <v>2003</v>
      </c>
      <c r="P1010">
        <v>2.049583333333334</v>
      </c>
      <c r="Q1010" s="4">
        <f t="shared" si="78"/>
        <v>-2.049583333333334</v>
      </c>
      <c r="S1010" s="2">
        <v>2003</v>
      </c>
      <c r="T1010" s="2">
        <f t="shared" si="79"/>
        <v>114515.14741319971</v>
      </c>
      <c r="V1010" s="2">
        <v>2003</v>
      </c>
      <c r="W1010" s="2">
        <f t="shared" si="80"/>
        <v>114515.14741319971</v>
      </c>
    </row>
    <row r="1011" spans="1:23">
      <c r="S1011" s="2">
        <v>2004</v>
      </c>
      <c r="T1011" s="2">
        <f t="shared" si="79"/>
        <v>287459.71886512241</v>
      </c>
      <c r="V1011" s="2">
        <v>2004</v>
      </c>
      <c r="W1011" s="2">
        <f t="shared" si="80"/>
        <v>287459.71886512241</v>
      </c>
    </row>
    <row r="1012" spans="1:23">
      <c r="C1012" t="s">
        <v>18</v>
      </c>
      <c r="D1012" s="4">
        <f>MAX(D3:D1010)</f>
        <v>6.9279999999999999</v>
      </c>
      <c r="F1012" s="1">
        <f>MAX(F3:F1010)</f>
        <v>1008</v>
      </c>
      <c r="G1012" s="4">
        <f>MAX(G3:G1010)</f>
        <v>2.6629999999999998</v>
      </c>
    </row>
    <row r="1013" spans="1:23">
      <c r="C1013" t="s">
        <v>19</v>
      </c>
      <c r="D1013" s="4">
        <f>MIN(D3:D1010)</f>
        <v>-6.7220000000000004</v>
      </c>
      <c r="F1013" s="1">
        <f>MIN(F3:F1010)</f>
        <v>1</v>
      </c>
      <c r="G1013" s="4">
        <f>MIN(G3:G1010)</f>
        <v>-2.67</v>
      </c>
      <c r="P1013" t="s">
        <v>18</v>
      </c>
      <c r="Q1013" s="4">
        <f>MAX(Q947:Q1011)</f>
        <v>0.44708333333333322</v>
      </c>
      <c r="S1013" t="s">
        <v>20</v>
      </c>
    </row>
    <row r="1014" spans="1:23">
      <c r="C1014" t="s">
        <v>21</v>
      </c>
      <c r="D1014" s="6">
        <f>AVERAGE(D3:D1010)</f>
        <v>-0.31738591269841271</v>
      </c>
      <c r="P1014" t="s">
        <v>19</v>
      </c>
      <c r="Q1014" s="4">
        <f>MIN(Q947:Q1011)</f>
        <v>-3.96875</v>
      </c>
      <c r="T1014" s="4">
        <f>CORREL(G961:G1003,T961:T1003)</f>
        <v>0.40228121242431764</v>
      </c>
    </row>
    <row r="1015" spans="1:23">
      <c r="C1015" t="s">
        <v>22</v>
      </c>
      <c r="D1015" s="6">
        <f>STDEV(D3:D1010)</f>
        <v>2.2250091056528944</v>
      </c>
      <c r="P1015" t="s">
        <v>21</v>
      </c>
      <c r="Q1015" s="2">
        <f>AVERAGE(Q947:Q1011)</f>
        <v>-1.719293619791666</v>
      </c>
      <c r="V1015" t="s">
        <v>18</v>
      </c>
      <c r="W1015" s="4">
        <f>MAX(W949:W1013)</f>
        <v>483122</v>
      </c>
    </row>
    <row r="1016" spans="1:23">
      <c r="P1016" t="s">
        <v>22</v>
      </c>
      <c r="Q1016" s="2">
        <f>STDEV(Q947:Q1011)</f>
        <v>0.93550331363082251</v>
      </c>
      <c r="S1016" t="s">
        <v>23</v>
      </c>
      <c r="V1016" t="s">
        <v>19</v>
      </c>
      <c r="W1016" s="4">
        <f>MIN(W949:W1013)</f>
        <v>0</v>
      </c>
    </row>
    <row r="1017" spans="1:23">
      <c r="T1017" s="4">
        <f>CORREL(Q961:Q1003,T961:T1003)</f>
        <v>0.66916545216458689</v>
      </c>
      <c r="V1017" t="s">
        <v>21</v>
      </c>
      <c r="W1017" s="2">
        <f>AVERAGE(W957:W999)</f>
        <v>151484.17473488371</v>
      </c>
    </row>
    <row r="1018" spans="1:23">
      <c r="P1018" t="s">
        <v>24</v>
      </c>
      <c r="V1018" t="s">
        <v>22</v>
      </c>
      <c r="W1018" s="2">
        <f>STDEV(W957:W999)</f>
        <v>138667.83051932542</v>
      </c>
    </row>
    <row r="1019" spans="1:23">
      <c r="Q1019" s="4">
        <f>CORREL(D947:D1010,Q947:Q1010)</f>
        <v>0.64002764510234222</v>
      </c>
      <c r="S1019" t="s">
        <v>18</v>
      </c>
      <c r="T1019" s="4">
        <f>MAX(T953:T1017)</f>
        <v>514561.88</v>
      </c>
    </row>
    <row r="1020" spans="1:23">
      <c r="S1020" t="s">
        <v>19</v>
      </c>
      <c r="T1020" s="4">
        <f>MIN(T953:T1017)</f>
        <v>0</v>
      </c>
      <c r="V1020" t="s">
        <v>25</v>
      </c>
      <c r="W1020" s="4" t="e">
        <f>W1013*(W1018/T1012)</f>
        <v>#DIV/0!</v>
      </c>
    </row>
    <row r="1021" spans="1:23">
      <c r="P1021" t="s">
        <v>25</v>
      </c>
      <c r="Q1021" s="4">
        <f>Q1019*(Q1016/D1015)</f>
        <v>0.26909911572378931</v>
      </c>
      <c r="S1021" t="s">
        <v>21</v>
      </c>
      <c r="T1021" s="2">
        <f>AVERAGE(T961:T1003)</f>
        <v>142385.11104651159</v>
      </c>
      <c r="V1021" t="s">
        <v>26</v>
      </c>
      <c r="W1021" s="4" t="e">
        <f>W1017-(W1020*T1011)</f>
        <v>#DIV/0!</v>
      </c>
    </row>
    <row r="1022" spans="1:23">
      <c r="P1022" t="s">
        <v>26</v>
      </c>
      <c r="Q1022" s="4">
        <f>Q1015-(Q1021*D1014)</f>
        <v>-1.6338853513413354</v>
      </c>
      <c r="S1022" t="s">
        <v>22</v>
      </c>
      <c r="T1022" s="2">
        <f>STDEV(T961:T1003)</f>
        <v>117965.00020880922</v>
      </c>
    </row>
    <row r="1024" spans="1:23">
      <c r="S1024" t="s">
        <v>25</v>
      </c>
      <c r="T1024" s="4">
        <f>T1017*(T1022/Q1016)</f>
        <v>84380.35606517877</v>
      </c>
    </row>
    <row r="1025" spans="19:20">
      <c r="S1025" t="s">
        <v>26</v>
      </c>
      <c r="T1025" s="4">
        <f>T1021-(T1024*Q1015)</f>
        <v>287459.71886512241</v>
      </c>
    </row>
  </sheetData>
  <pageMargins left="0.74791666666666667" right="0.74791666666666667" top="0.98402777777777772" bottom="0.98402777777777772" header="0.51180555555555551" footer="0.51180555555555551"/>
  <pageSetup paperSize="9" firstPageNumber="0" orientation="portrait" horizontalDpi="300" verticalDpi="300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1:B29"/>
  <sheetViews>
    <sheetView workbookViewId="0">
      <selection activeCell="B1" activeCellId="1" sqref="G1:G65536 B1"/>
    </sheetView>
  </sheetViews>
  <sheetFormatPr defaultRowHeight="12.75"/>
  <sheetData>
    <row r="1" spans="1:2">
      <c r="A1">
        <v>-7</v>
      </c>
      <c r="B1" s="4">
        <f>COUNTIF('net evap'!$E$3:$E$1011,A1)</f>
        <v>0</v>
      </c>
    </row>
    <row r="2" spans="1:2">
      <c r="A2">
        <v>-6.5</v>
      </c>
      <c r="B2" s="4">
        <f>COUNTIF('net evap'!$E$3:$E$1011,A2)</f>
        <v>3</v>
      </c>
    </row>
    <row r="3" spans="1:2">
      <c r="A3">
        <v>-6</v>
      </c>
      <c r="B3" s="4">
        <f>COUNTIF('net evap'!$E$3:$E$1011,A3)</f>
        <v>3</v>
      </c>
    </row>
    <row r="4" spans="1:2">
      <c r="A4">
        <v>-5.5</v>
      </c>
      <c r="B4" s="4">
        <f>COUNTIF('net evap'!$E$3:$E$1011,A4)</f>
        <v>2</v>
      </c>
    </row>
    <row r="5" spans="1:2">
      <c r="A5">
        <v>-5</v>
      </c>
      <c r="B5" s="4">
        <f>COUNTIF('net evap'!$E$3:$E$1011,A5)</f>
        <v>6</v>
      </c>
    </row>
    <row r="6" spans="1:2">
      <c r="A6">
        <v>-4.5</v>
      </c>
      <c r="B6" s="4">
        <f>COUNTIF('net evap'!$E$3:$E$1011,A6)</f>
        <v>5</v>
      </c>
    </row>
    <row r="7" spans="1:2">
      <c r="A7">
        <v>-4</v>
      </c>
      <c r="B7" s="4">
        <f>COUNTIF('net evap'!$E$3:$E$1011,A7)</f>
        <v>37</v>
      </c>
    </row>
    <row r="8" spans="1:2">
      <c r="A8">
        <v>-3.5</v>
      </c>
      <c r="B8" s="4">
        <f>COUNTIF('net evap'!$E$3:$E$1011,A8)</f>
        <v>34</v>
      </c>
    </row>
    <row r="9" spans="1:2">
      <c r="A9">
        <v>-3</v>
      </c>
      <c r="B9" s="4">
        <f>COUNTIF('net evap'!$E$3:$E$1011,A9)</f>
        <v>49</v>
      </c>
    </row>
    <row r="10" spans="1:2">
      <c r="A10">
        <v>-2.5</v>
      </c>
      <c r="B10" s="4">
        <f>COUNTIF('net evap'!$E$3:$E$1011,A10)</f>
        <v>73</v>
      </c>
    </row>
    <row r="11" spans="1:2">
      <c r="A11">
        <v>-2</v>
      </c>
      <c r="B11" s="4">
        <f>COUNTIF('net evap'!$E$3:$E$1011,A11)</f>
        <v>72</v>
      </c>
    </row>
    <row r="12" spans="1:2">
      <c r="A12">
        <v>-1.5</v>
      </c>
      <c r="B12" s="4">
        <f>COUNTIF('net evap'!$E$3:$E$1011,A12)</f>
        <v>80</v>
      </c>
    </row>
    <row r="13" spans="1:2">
      <c r="A13">
        <v>-1</v>
      </c>
      <c r="B13" s="4">
        <f>COUNTIF('net evap'!$E$3:$E$1011,A13)</f>
        <v>68</v>
      </c>
    </row>
    <row r="14" spans="1:2">
      <c r="A14">
        <v>-0.5</v>
      </c>
      <c r="B14" s="4">
        <f>COUNTIF('net evap'!$E$3:$E$1011,A14)</f>
        <v>91</v>
      </c>
    </row>
    <row r="15" spans="1:2">
      <c r="A15">
        <v>0</v>
      </c>
      <c r="B15" s="4">
        <f>COUNTIF('net evap'!$E$3:$E$1011,A15)</f>
        <v>87</v>
      </c>
    </row>
    <row r="16" spans="1:2">
      <c r="A16">
        <v>0.5</v>
      </c>
      <c r="B16" s="4">
        <f>COUNTIF('net evap'!$E$3:$E$1011,A16)</f>
        <v>79</v>
      </c>
    </row>
    <row r="17" spans="1:2">
      <c r="A17">
        <v>1</v>
      </c>
      <c r="B17" s="4">
        <f>COUNTIF('net evap'!$E$3:$E$1011,A17)</f>
        <v>77</v>
      </c>
    </row>
    <row r="18" spans="1:2">
      <c r="A18">
        <v>1.5</v>
      </c>
      <c r="B18" s="4">
        <f>COUNTIF('net evap'!$E$3:$E$1011,A18)</f>
        <v>63</v>
      </c>
    </row>
    <row r="19" spans="1:2">
      <c r="A19">
        <v>2</v>
      </c>
      <c r="B19" s="4">
        <f>COUNTIF('net evap'!$E$3:$E$1011,A19)</f>
        <v>49</v>
      </c>
    </row>
    <row r="20" spans="1:2">
      <c r="A20">
        <v>2.5</v>
      </c>
      <c r="B20" s="4">
        <f>COUNTIF('net evap'!$E$3:$E$1011,A20)</f>
        <v>45</v>
      </c>
    </row>
    <row r="21" spans="1:2">
      <c r="A21">
        <v>3</v>
      </c>
      <c r="B21" s="4">
        <f>COUNTIF('net evap'!$E$3:$E$1011,A21)</f>
        <v>24</v>
      </c>
    </row>
    <row r="22" spans="1:2">
      <c r="A22">
        <v>3.5</v>
      </c>
      <c r="B22" s="4">
        <f>COUNTIF('net evap'!$E$3:$E$1011,A22)</f>
        <v>22</v>
      </c>
    </row>
    <row r="23" spans="1:2">
      <c r="A23">
        <v>4</v>
      </c>
      <c r="B23" s="4">
        <f>COUNTIF('net evap'!$E$3:$E$1011,A23)</f>
        <v>12</v>
      </c>
    </row>
    <row r="24" spans="1:2">
      <c r="A24">
        <v>4.5</v>
      </c>
      <c r="B24" s="4">
        <f>COUNTIF('net evap'!$E$3:$E$1011,A24)</f>
        <v>11</v>
      </c>
    </row>
    <row r="25" spans="1:2">
      <c r="A25">
        <v>5</v>
      </c>
      <c r="B25" s="4">
        <f>COUNTIF('net evap'!$E$3:$E$1011,A25)</f>
        <v>9</v>
      </c>
    </row>
    <row r="26" spans="1:2">
      <c r="A26">
        <v>5.5</v>
      </c>
      <c r="B26" s="4">
        <f>COUNTIF('net evap'!$E$3:$E$1011,A26)</f>
        <v>3</v>
      </c>
    </row>
    <row r="27" spans="1:2">
      <c r="A27">
        <v>6</v>
      </c>
      <c r="B27" s="4">
        <f>COUNTIF('net evap'!$E$3:$E$1011,A27)</f>
        <v>2</v>
      </c>
    </row>
    <row r="28" spans="1:2">
      <c r="A28">
        <v>6.5</v>
      </c>
      <c r="B28" s="4">
        <f>COUNTIF('net evap'!$E$3:$E$1011,A28)</f>
        <v>1</v>
      </c>
    </row>
    <row r="29" spans="1:2">
      <c r="A29">
        <v>7</v>
      </c>
      <c r="B29" s="4">
        <f>COUNTIF('net evap'!$E$3:$E$1011,A29)</f>
        <v>1</v>
      </c>
    </row>
  </sheetData>
  <pageMargins left="0.74791666666666667" right="0.74791666666666667" top="0.98402777777777772" bottom="0.98402777777777772" header="0.51180555555555551" footer="0.51180555555555551"/>
  <pageSetup paperSize="9" firstPageNumber="0" orientation="portrait" horizontalDpi="300" verticalDpi="300"/>
  <headerFooter alignWithMargins="0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1"/>
  <dimension ref="A1:H35"/>
  <sheetViews>
    <sheetView workbookViewId="0">
      <selection activeCell="F28" activeCellId="1" sqref="G1:G65536 F28"/>
    </sheetView>
  </sheetViews>
  <sheetFormatPr defaultRowHeight="12.75"/>
  <cols>
    <col min="6" max="6" width="14.5703125" customWidth="1"/>
  </cols>
  <sheetData>
    <row r="1" spans="1:8" s="9" customFormat="1">
      <c r="A1" s="7" t="s">
        <v>27</v>
      </c>
      <c r="B1" s="8"/>
      <c r="C1" s="8"/>
      <c r="D1" s="8"/>
      <c r="E1" s="8"/>
      <c r="F1" s="8"/>
      <c r="G1" s="8"/>
    </row>
    <row r="2" spans="1:8" s="9" customFormat="1">
      <c r="A2" s="10" t="s">
        <v>28</v>
      </c>
      <c r="B2" s="10" t="s">
        <v>29</v>
      </c>
      <c r="C2" s="10" t="s">
        <v>30</v>
      </c>
      <c r="D2" s="10" t="s">
        <v>31</v>
      </c>
      <c r="E2" s="10" t="s">
        <v>32</v>
      </c>
      <c r="F2" s="10" t="s">
        <v>33</v>
      </c>
      <c r="G2" s="10" t="s">
        <v>34</v>
      </c>
    </row>
    <row r="3" spans="1:8">
      <c r="A3" s="11">
        <v>1956</v>
      </c>
      <c r="B3" s="12">
        <v>1008</v>
      </c>
      <c r="C3" s="12">
        <f>'net evap'!F963</f>
        <v>14</v>
      </c>
      <c r="D3" s="12">
        <f>(B3+1)/C3</f>
        <v>72.071428571428569</v>
      </c>
      <c r="E3" s="12">
        <f>1/D3</f>
        <v>1.3875123885034688E-2</v>
      </c>
      <c r="F3" s="13">
        <f t="shared" ref="F3:F9" si="0">1-(1-$E$3)^G3</f>
        <v>1.3875123885034646E-2</v>
      </c>
      <c r="G3" s="14">
        <v>1</v>
      </c>
    </row>
    <row r="4" spans="1:8">
      <c r="A4" s="15"/>
      <c r="B4" s="16"/>
      <c r="C4" s="16"/>
      <c r="D4" s="16"/>
      <c r="E4" s="16"/>
      <c r="F4" s="17">
        <f t="shared" si="0"/>
        <v>6.7476956251706133E-2</v>
      </c>
      <c r="G4" s="18">
        <v>5</v>
      </c>
    </row>
    <row r="5" spans="1:8">
      <c r="A5" s="15"/>
      <c r="B5" s="16"/>
      <c r="C5" s="16"/>
      <c r="D5" s="16"/>
      <c r="E5" s="16"/>
      <c r="F5" s="17">
        <f t="shared" si="0"/>
        <v>0.13040077287841756</v>
      </c>
      <c r="G5" s="18">
        <v>10</v>
      </c>
    </row>
    <row r="6" spans="1:8">
      <c r="A6" s="15"/>
      <c r="B6" s="16"/>
      <c r="C6" s="16"/>
      <c r="D6" s="16"/>
      <c r="E6" s="16"/>
      <c r="F6" s="17">
        <f t="shared" si="0"/>
        <v>0.24379718418954643</v>
      </c>
      <c r="G6" s="18">
        <v>20</v>
      </c>
    </row>
    <row r="7" spans="1:8">
      <c r="A7" s="15"/>
      <c r="B7" s="16"/>
      <c r="C7" s="16"/>
      <c r="D7" s="16"/>
      <c r="E7" s="16"/>
      <c r="F7" s="19">
        <f t="shared" si="0"/>
        <v>0.34240661582406517</v>
      </c>
      <c r="G7" s="20">
        <v>30</v>
      </c>
      <c r="H7" t="s">
        <v>35</v>
      </c>
    </row>
    <row r="8" spans="1:8">
      <c r="A8" s="15"/>
      <c r="B8" s="16"/>
      <c r="C8" s="16"/>
      <c r="D8" s="16"/>
      <c r="E8" s="16"/>
      <c r="F8" s="21">
        <f t="shared" si="0"/>
        <v>0.50272603122783277</v>
      </c>
      <c r="G8" s="22">
        <v>50</v>
      </c>
    </row>
    <row r="9" spans="1:8">
      <c r="A9" s="23"/>
      <c r="B9" s="24"/>
      <c r="C9" s="24"/>
      <c r="D9" s="24"/>
      <c r="E9" s="24"/>
      <c r="F9" s="25">
        <f t="shared" si="0"/>
        <v>0.75271859998157764</v>
      </c>
      <c r="G9" s="26">
        <v>100</v>
      </c>
    </row>
    <row r="10" spans="1:8">
      <c r="A10" s="15"/>
      <c r="B10" s="16"/>
      <c r="C10" s="16"/>
      <c r="D10" s="16"/>
      <c r="E10" s="16"/>
      <c r="F10" s="21"/>
      <c r="G10" s="22"/>
    </row>
    <row r="11" spans="1:8">
      <c r="A11" s="15"/>
      <c r="B11" s="16"/>
      <c r="C11" s="16"/>
      <c r="D11" s="16"/>
      <c r="E11" s="16"/>
      <c r="F11" s="21"/>
      <c r="G11" s="22"/>
    </row>
    <row r="12" spans="1:8">
      <c r="A12" s="15"/>
      <c r="B12" s="16"/>
      <c r="C12" s="16"/>
      <c r="D12" s="16"/>
      <c r="E12" s="16"/>
      <c r="F12" s="21"/>
      <c r="G12" s="22"/>
    </row>
    <row r="13" spans="1:8">
      <c r="A13" s="15"/>
      <c r="B13" s="16"/>
      <c r="C13" s="16"/>
      <c r="D13" s="16"/>
      <c r="E13" s="16"/>
      <c r="F13" s="21"/>
      <c r="G13" s="22"/>
    </row>
    <row r="14" spans="1:8">
      <c r="A14" s="15" t="s">
        <v>36</v>
      </c>
      <c r="B14" s="16"/>
      <c r="C14" s="16"/>
      <c r="D14" s="16"/>
      <c r="E14" s="16"/>
      <c r="F14" s="21"/>
      <c r="G14" s="22"/>
    </row>
    <row r="15" spans="1:8">
      <c r="A15" s="11">
        <v>1955</v>
      </c>
      <c r="B15" s="12">
        <v>1008</v>
      </c>
      <c r="C15" s="12">
        <v>84</v>
      </c>
      <c r="D15" s="12">
        <f>(B3+1)/C15</f>
        <v>12.011904761904763</v>
      </c>
      <c r="E15" s="12">
        <f>1/D15</f>
        <v>8.3250743310208125E-2</v>
      </c>
      <c r="F15" s="13">
        <f t="shared" ref="F15:F21" si="1">1-(1-$E$15)^G15</f>
        <v>8.3250743310208097E-2</v>
      </c>
      <c r="G15" s="14">
        <v>1</v>
      </c>
    </row>
    <row r="16" spans="1:8">
      <c r="A16" s="15"/>
      <c r="B16" s="16"/>
      <c r="C16" s="16"/>
      <c r="D16" s="16"/>
      <c r="E16" s="16"/>
      <c r="F16" s="17">
        <f t="shared" si="1"/>
        <v>0.35248052860360213</v>
      </c>
      <c r="G16" s="18">
        <v>5</v>
      </c>
    </row>
    <row r="17" spans="1:7">
      <c r="A17" s="15"/>
      <c r="B17" s="16"/>
      <c r="C17" s="16"/>
      <c r="D17" s="16"/>
      <c r="E17" s="16"/>
      <c r="F17" s="17">
        <f t="shared" si="1"/>
        <v>0.58071853416252939</v>
      </c>
      <c r="G17" s="18">
        <v>10</v>
      </c>
    </row>
    <row r="18" spans="1:7">
      <c r="A18" s="15"/>
      <c r="B18" s="16"/>
      <c r="C18" s="16"/>
      <c r="D18" s="16"/>
      <c r="E18" s="16"/>
      <c r="F18" s="17">
        <f t="shared" si="1"/>
        <v>0.82420305240518199</v>
      </c>
      <c r="G18" s="18">
        <v>20</v>
      </c>
    </row>
    <row r="19" spans="1:7">
      <c r="A19" s="15"/>
      <c r="B19" s="16"/>
      <c r="C19" s="16"/>
      <c r="D19" s="16"/>
      <c r="E19" s="16"/>
      <c r="F19" s="17">
        <f t="shared" si="1"/>
        <v>0.92629159812269179</v>
      </c>
      <c r="G19" s="18">
        <v>30</v>
      </c>
    </row>
    <row r="20" spans="1:7">
      <c r="A20" s="15"/>
      <c r="B20" s="16"/>
      <c r="C20" s="16"/>
      <c r="D20" s="16"/>
      <c r="E20" s="16"/>
      <c r="F20" s="17">
        <f t="shared" si="1"/>
        <v>0.98704228793787707</v>
      </c>
      <c r="G20" s="22">
        <v>50</v>
      </c>
    </row>
    <row r="21" spans="1:7">
      <c r="A21" s="23"/>
      <c r="B21" s="24"/>
      <c r="C21" s="24"/>
      <c r="D21" s="24"/>
      <c r="E21" s="24"/>
      <c r="F21" s="27">
        <f t="shared" si="1"/>
        <v>0.9998320976981151</v>
      </c>
      <c r="G21" s="26">
        <v>100</v>
      </c>
    </row>
    <row r="22" spans="1:7">
      <c r="A22" s="16"/>
      <c r="B22" s="16"/>
      <c r="C22" s="16"/>
      <c r="D22" s="16"/>
      <c r="E22" s="16"/>
      <c r="F22" s="17"/>
      <c r="G22" s="16"/>
    </row>
    <row r="23" spans="1:7">
      <c r="A23" s="16"/>
      <c r="B23" s="16"/>
      <c r="C23" s="16"/>
      <c r="D23" s="16"/>
      <c r="E23" s="16"/>
      <c r="F23" s="17"/>
      <c r="G23" s="16"/>
    </row>
    <row r="24" spans="1:7">
      <c r="A24" s="16"/>
      <c r="B24" s="16"/>
      <c r="C24" s="16"/>
      <c r="D24" s="16"/>
      <c r="E24" s="16"/>
      <c r="F24" s="17"/>
      <c r="G24" s="16"/>
    </row>
    <row r="25" spans="1:7">
      <c r="A25" s="16"/>
      <c r="B25" s="16"/>
      <c r="C25" s="16"/>
      <c r="D25" s="16"/>
      <c r="E25" s="16"/>
      <c r="F25" s="17"/>
      <c r="G25" s="16"/>
    </row>
    <row r="26" spans="1:7">
      <c r="A26" s="16"/>
      <c r="B26" s="16"/>
      <c r="C26" s="16"/>
      <c r="D26" s="16"/>
      <c r="E26" s="16"/>
      <c r="F26" s="17"/>
      <c r="G26" s="16"/>
    </row>
    <row r="27" spans="1:7">
      <c r="A27" s="16"/>
      <c r="B27" s="16"/>
      <c r="C27" s="16"/>
      <c r="D27" s="16"/>
      <c r="E27" s="16"/>
      <c r="F27" s="17"/>
      <c r="G27" s="16"/>
    </row>
    <row r="28" spans="1:7">
      <c r="A28" s="16"/>
      <c r="B28" s="16"/>
      <c r="C28" s="16"/>
      <c r="D28" s="16"/>
      <c r="E28" s="16"/>
      <c r="F28" s="17"/>
      <c r="G28" s="16"/>
    </row>
    <row r="29" spans="1:7">
      <c r="A29" s="16"/>
      <c r="B29" s="16"/>
      <c r="C29" s="16"/>
      <c r="D29" s="16"/>
      <c r="E29" s="16"/>
      <c r="F29" s="17"/>
      <c r="G29" s="16"/>
    </row>
    <row r="30" spans="1:7">
      <c r="A30" t="s">
        <v>37</v>
      </c>
    </row>
    <row r="31" spans="1:7">
      <c r="A31" t="s">
        <v>29</v>
      </c>
      <c r="B31" t="s">
        <v>31</v>
      </c>
      <c r="C31" t="s">
        <v>30</v>
      </c>
      <c r="D31" t="s">
        <v>6</v>
      </c>
    </row>
    <row r="32" spans="1:7">
      <c r="A32">
        <v>1008</v>
      </c>
      <c r="B32">
        <v>5</v>
      </c>
      <c r="C32" s="4">
        <f>($A$32+1)/B32</f>
        <v>201.8</v>
      </c>
      <c r="D32">
        <v>-2.3180000000000001</v>
      </c>
    </row>
    <row r="33" spans="2:4">
      <c r="B33">
        <v>10</v>
      </c>
      <c r="C33" s="4">
        <f>($A$32+1)/B33</f>
        <v>100.9</v>
      </c>
      <c r="D33">
        <v>-3.1</v>
      </c>
    </row>
    <row r="34" spans="2:4">
      <c r="B34">
        <v>50</v>
      </c>
      <c r="C34" s="4">
        <f>($A$32+1)/B34</f>
        <v>20.18</v>
      </c>
      <c r="D34">
        <v>-4.2169999999999996</v>
      </c>
    </row>
    <row r="35" spans="2:4">
      <c r="B35">
        <v>100</v>
      </c>
      <c r="C35" s="4">
        <f>($A$32+1)/B35</f>
        <v>10.09</v>
      </c>
      <c r="D35">
        <v>-4.9459999999999997</v>
      </c>
    </row>
  </sheetData>
  <pageMargins left="0.74791666666666667" right="0.74791666666666667" top="0.98402777777777772" bottom="0.98402777777777772" header="0.51180555555555551" footer="0.51180555555555551"/>
  <pageSetup paperSize="9" firstPageNumber="0" orientation="portrait" horizontalDpi="300" verticalDpi="300"/>
  <headerFooter alignWithMargins="0"/>
  <drawing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2"/>
  <dimension ref="A1:W1014"/>
  <sheetViews>
    <sheetView tabSelected="1" topLeftCell="H1" workbookViewId="0">
      <selection activeCell="S1" sqref="S1:W23"/>
    </sheetView>
  </sheetViews>
  <sheetFormatPr defaultRowHeight="12.75"/>
  <cols>
    <col min="1" max="1" width="12.28515625" customWidth="1"/>
    <col min="4" max="4" width="8.42578125" style="9" customWidth="1"/>
    <col min="5" max="5" width="8.7109375" style="9" customWidth="1"/>
    <col min="6" max="6" width="15" style="9" customWidth="1"/>
    <col min="7" max="7" width="10" style="9" customWidth="1"/>
    <col min="8" max="8" width="9.42578125" style="9" customWidth="1"/>
    <col min="11" max="11" width="8.42578125" style="9" customWidth="1"/>
    <col min="12" max="12" width="15.28515625" customWidth="1"/>
    <col min="15" max="15" width="10" style="9" customWidth="1"/>
    <col min="16" max="16" width="15.28515625" customWidth="1"/>
    <col min="17" max="17" width="12" customWidth="1"/>
    <col min="19" max="23" width="17.140625" style="9" customWidth="1"/>
  </cols>
  <sheetData>
    <row r="1" spans="1:23">
      <c r="A1" t="s">
        <v>3</v>
      </c>
      <c r="B1" t="s">
        <v>6</v>
      </c>
      <c r="D1" s="28" t="s">
        <v>38</v>
      </c>
      <c r="E1" s="28" t="s">
        <v>39</v>
      </c>
      <c r="F1" s="28" t="s">
        <v>40</v>
      </c>
      <c r="G1" s="29" t="s">
        <v>42</v>
      </c>
      <c r="H1" s="30" t="s">
        <v>41</v>
      </c>
      <c r="I1" s="31"/>
      <c r="J1" s="31"/>
      <c r="K1" s="28" t="s">
        <v>38</v>
      </c>
      <c r="L1" s="28" t="s">
        <v>40</v>
      </c>
      <c r="M1" s="29" t="s">
        <v>42</v>
      </c>
      <c r="O1" s="28" t="s">
        <v>39</v>
      </c>
      <c r="P1" s="28" t="s">
        <v>40</v>
      </c>
      <c r="Q1" s="29" t="s">
        <v>42</v>
      </c>
      <c r="S1" s="73" t="s">
        <v>42</v>
      </c>
      <c r="T1" s="74" t="s">
        <v>41</v>
      </c>
      <c r="U1" s="75" t="s">
        <v>38</v>
      </c>
      <c r="V1" s="75" t="s">
        <v>39</v>
      </c>
      <c r="W1" s="75" t="s">
        <v>40</v>
      </c>
    </row>
    <row r="2" spans="1:23">
      <c r="A2">
        <v>996</v>
      </c>
      <c r="B2">
        <v>2.4319999999999999</v>
      </c>
      <c r="D2" s="9">
        <v>-7.5449999999999999</v>
      </c>
      <c r="E2" s="9">
        <v>3</v>
      </c>
      <c r="F2" s="9">
        <v>2</v>
      </c>
      <c r="G2" s="9">
        <v>998</v>
      </c>
      <c r="H2" s="31">
        <v>1000</v>
      </c>
      <c r="I2" s="32"/>
      <c r="J2" s="32"/>
      <c r="K2" s="9">
        <v>-36.018000000000001</v>
      </c>
      <c r="L2" s="9">
        <v>6</v>
      </c>
      <c r="M2" s="9">
        <v>1121</v>
      </c>
      <c r="O2" s="9">
        <v>17</v>
      </c>
      <c r="P2" s="9">
        <v>11</v>
      </c>
      <c r="Q2" s="9">
        <v>1148</v>
      </c>
      <c r="S2" s="9">
        <v>998</v>
      </c>
      <c r="T2" s="31">
        <v>1000</v>
      </c>
      <c r="U2" s="9">
        <v>-7.5449999999999999</v>
      </c>
      <c r="V2" s="9">
        <v>3</v>
      </c>
      <c r="W2" s="9">
        <v>2</v>
      </c>
    </row>
    <row r="3" spans="1:23">
      <c r="A3">
        <v>997</v>
      </c>
      <c r="B3">
        <v>1.399</v>
      </c>
      <c r="D3" s="9">
        <v>-28.51</v>
      </c>
      <c r="E3" s="9">
        <v>14</v>
      </c>
      <c r="F3" s="9">
        <v>5</v>
      </c>
      <c r="G3" s="9">
        <v>1003</v>
      </c>
      <c r="H3" s="31">
        <v>1016</v>
      </c>
      <c r="I3" s="32"/>
      <c r="J3" s="32"/>
      <c r="K3" s="9">
        <v>-34.043000000000006</v>
      </c>
      <c r="L3" s="9">
        <v>11</v>
      </c>
      <c r="M3" s="9">
        <v>1148</v>
      </c>
      <c r="O3" s="9">
        <v>14</v>
      </c>
      <c r="P3" s="9">
        <v>3</v>
      </c>
      <c r="Q3" s="9">
        <v>1069</v>
      </c>
      <c r="S3" s="9">
        <v>1003</v>
      </c>
      <c r="T3" s="31">
        <v>1016</v>
      </c>
      <c r="U3" s="9">
        <v>-28.51</v>
      </c>
      <c r="V3" s="9">
        <v>14</v>
      </c>
      <c r="W3" s="9">
        <v>5</v>
      </c>
    </row>
    <row r="4" spans="1:23">
      <c r="A4">
        <v>998</v>
      </c>
      <c r="B4">
        <v>-2.3410000000000002</v>
      </c>
      <c r="D4" s="9">
        <v>-8.3949999999999996</v>
      </c>
      <c r="E4" s="9">
        <v>6</v>
      </c>
      <c r="F4" s="9">
        <v>17</v>
      </c>
      <c r="G4" s="9">
        <v>1020</v>
      </c>
      <c r="H4" s="31">
        <v>1025</v>
      </c>
      <c r="I4" s="32"/>
      <c r="J4" s="32"/>
      <c r="K4" s="9">
        <v>-29.376999999999999</v>
      </c>
      <c r="L4" s="9">
        <v>3</v>
      </c>
      <c r="M4" s="9">
        <v>1453</v>
      </c>
      <c r="O4" s="9">
        <v>14</v>
      </c>
      <c r="P4" s="9">
        <v>5</v>
      </c>
      <c r="Q4" s="9">
        <v>1003</v>
      </c>
      <c r="S4" s="9">
        <v>1020</v>
      </c>
      <c r="T4" s="31">
        <v>1025</v>
      </c>
      <c r="U4" s="9">
        <v>-8.3949999999999996</v>
      </c>
      <c r="V4" s="9">
        <v>6</v>
      </c>
      <c r="W4" s="9">
        <v>17</v>
      </c>
    </row>
    <row r="5" spans="1:23">
      <c r="A5">
        <v>999</v>
      </c>
      <c r="B5">
        <v>-2.6890000000000001</v>
      </c>
      <c r="D5" s="9">
        <v>-1.9140000000000001</v>
      </c>
      <c r="E5" s="9">
        <v>2</v>
      </c>
      <c r="F5" s="9">
        <v>8</v>
      </c>
      <c r="G5" s="9">
        <v>1028</v>
      </c>
      <c r="H5" s="31">
        <v>1029</v>
      </c>
      <c r="I5" s="32"/>
      <c r="J5" s="32"/>
      <c r="K5" s="9">
        <v>-28.51</v>
      </c>
      <c r="L5" s="9">
        <v>5</v>
      </c>
      <c r="M5" s="9">
        <v>1003</v>
      </c>
      <c r="O5" s="9">
        <v>14</v>
      </c>
      <c r="P5" s="9">
        <v>6</v>
      </c>
      <c r="Q5" s="9">
        <v>1121</v>
      </c>
      <c r="S5" s="9">
        <v>1028</v>
      </c>
      <c r="T5" s="31">
        <v>1029</v>
      </c>
      <c r="U5" s="9">
        <v>-1.9140000000000001</v>
      </c>
      <c r="V5" s="9">
        <v>2</v>
      </c>
      <c r="W5" s="9">
        <v>8</v>
      </c>
    </row>
    <row r="6" spans="1:23">
      <c r="A6">
        <v>1000</v>
      </c>
      <c r="B6">
        <v>-2.5150000000000001</v>
      </c>
      <c r="D6" s="9">
        <v>-5.3760000000000003</v>
      </c>
      <c r="E6" s="9">
        <v>5</v>
      </c>
      <c r="F6" s="9">
        <v>4</v>
      </c>
      <c r="G6" s="9">
        <v>1032</v>
      </c>
      <c r="H6" s="31">
        <v>1036</v>
      </c>
      <c r="I6" s="32"/>
      <c r="J6" s="32"/>
      <c r="K6" s="9">
        <v>-27.78</v>
      </c>
      <c r="L6" s="9">
        <v>9</v>
      </c>
      <c r="M6" s="9">
        <v>1207</v>
      </c>
      <c r="O6" s="9">
        <v>11</v>
      </c>
      <c r="P6" s="9">
        <v>9</v>
      </c>
      <c r="Q6" s="9">
        <v>1207</v>
      </c>
      <c r="S6" s="9">
        <v>1032</v>
      </c>
      <c r="T6" s="31">
        <v>1036</v>
      </c>
      <c r="U6" s="9">
        <v>-5.3760000000000003</v>
      </c>
      <c r="V6" s="9">
        <v>5</v>
      </c>
      <c r="W6" s="9">
        <v>4</v>
      </c>
    </row>
    <row r="7" spans="1:23">
      <c r="A7">
        <v>1001</v>
      </c>
      <c r="B7">
        <v>0.97099999999999997</v>
      </c>
      <c r="D7" s="9">
        <v>-15.449</v>
      </c>
      <c r="E7" s="9">
        <v>8</v>
      </c>
      <c r="F7" s="9">
        <v>6</v>
      </c>
      <c r="G7" s="9">
        <v>1038</v>
      </c>
      <c r="H7" s="31">
        <v>1045</v>
      </c>
      <c r="I7" s="32"/>
      <c r="J7" s="32"/>
      <c r="K7" s="9">
        <v>-25.858999999999998</v>
      </c>
      <c r="L7" s="9">
        <v>3</v>
      </c>
      <c r="M7" s="9">
        <v>1069</v>
      </c>
      <c r="O7" s="9">
        <v>11</v>
      </c>
      <c r="P7" s="9">
        <v>3</v>
      </c>
      <c r="Q7" s="9">
        <v>1453</v>
      </c>
      <c r="S7" s="9">
        <v>1038</v>
      </c>
      <c r="T7" s="31">
        <v>1045</v>
      </c>
      <c r="U7" s="9">
        <v>-15.449</v>
      </c>
      <c r="V7" s="9">
        <v>8</v>
      </c>
      <c r="W7" s="9">
        <v>6</v>
      </c>
    </row>
    <row r="8" spans="1:23">
      <c r="A8">
        <v>1002</v>
      </c>
      <c r="B8">
        <v>1.133</v>
      </c>
      <c r="D8" s="9">
        <v>-7.4139999999999997</v>
      </c>
      <c r="E8" s="9">
        <v>5</v>
      </c>
      <c r="F8" s="9">
        <v>9</v>
      </c>
      <c r="G8" s="9">
        <v>1047</v>
      </c>
      <c r="H8" s="31">
        <v>1051</v>
      </c>
      <c r="I8" s="32"/>
      <c r="J8" s="32"/>
      <c r="K8" s="9">
        <v>-19.756999999999998</v>
      </c>
      <c r="L8" s="9">
        <v>7</v>
      </c>
      <c r="M8" s="9">
        <v>1236</v>
      </c>
      <c r="O8" s="9">
        <v>10</v>
      </c>
      <c r="P8" s="9">
        <v>16</v>
      </c>
      <c r="Q8" s="9">
        <v>1137</v>
      </c>
      <c r="S8" s="9">
        <v>1047</v>
      </c>
      <c r="T8" s="31">
        <v>1051</v>
      </c>
      <c r="U8" s="9">
        <v>-7.4139999999999997</v>
      </c>
      <c r="V8" s="9">
        <v>5</v>
      </c>
      <c r="W8" s="9">
        <v>9</v>
      </c>
    </row>
    <row r="9" spans="1:23">
      <c r="A9">
        <v>1003</v>
      </c>
      <c r="B9">
        <v>-1.714</v>
      </c>
      <c r="D9" s="9">
        <v>-0.74</v>
      </c>
      <c r="E9" s="9">
        <v>1</v>
      </c>
      <c r="F9" s="9">
        <v>10</v>
      </c>
      <c r="G9" s="9">
        <v>1057</v>
      </c>
      <c r="H9" s="31">
        <v>1057</v>
      </c>
      <c r="I9" s="32"/>
      <c r="J9" s="32"/>
      <c r="K9" s="9">
        <v>-18.978000000000002</v>
      </c>
      <c r="L9" s="9">
        <v>3</v>
      </c>
      <c r="M9" s="9">
        <v>1951</v>
      </c>
      <c r="O9" s="9">
        <v>9</v>
      </c>
      <c r="P9" s="9">
        <v>3</v>
      </c>
      <c r="Q9" s="9">
        <v>1566</v>
      </c>
      <c r="S9" s="9">
        <v>1057</v>
      </c>
      <c r="T9" s="31">
        <v>1057</v>
      </c>
      <c r="U9" s="9">
        <v>-0.74</v>
      </c>
      <c r="V9" s="9">
        <v>1</v>
      </c>
      <c r="W9" s="9">
        <v>10</v>
      </c>
    </row>
    <row r="10" spans="1:23">
      <c r="A10">
        <v>1004</v>
      </c>
      <c r="B10">
        <v>-2.601</v>
      </c>
      <c r="D10" s="9">
        <v>-9.1349999999999998</v>
      </c>
      <c r="E10" s="9">
        <v>3</v>
      </c>
      <c r="F10" s="9">
        <v>4</v>
      </c>
      <c r="G10" s="9">
        <v>1061</v>
      </c>
      <c r="H10" s="31">
        <v>1063</v>
      </c>
      <c r="I10" s="32"/>
      <c r="J10" s="32"/>
      <c r="K10" s="9">
        <v>-17.312000000000001</v>
      </c>
      <c r="L10" s="9">
        <v>8</v>
      </c>
      <c r="M10" s="9">
        <v>1229</v>
      </c>
      <c r="O10" s="9">
        <v>8</v>
      </c>
      <c r="P10" s="9">
        <v>9</v>
      </c>
      <c r="Q10" s="9">
        <v>1750</v>
      </c>
      <c r="S10" s="9">
        <v>1061</v>
      </c>
      <c r="T10" s="31">
        <v>1063</v>
      </c>
      <c r="U10" s="9">
        <v>-9.1349999999999998</v>
      </c>
      <c r="V10" s="9">
        <v>3</v>
      </c>
      <c r="W10" s="9">
        <v>4</v>
      </c>
    </row>
    <row r="11" spans="1:23">
      <c r="A11">
        <v>1005</v>
      </c>
      <c r="B11">
        <v>-3.05</v>
      </c>
      <c r="D11" s="9">
        <v>-0.13200000000000001</v>
      </c>
      <c r="E11" s="9">
        <v>1</v>
      </c>
      <c r="F11" s="9">
        <v>5</v>
      </c>
      <c r="G11" s="9">
        <v>1066</v>
      </c>
      <c r="H11" s="31">
        <v>1066</v>
      </c>
      <c r="I11" s="32"/>
      <c r="J11" s="32"/>
      <c r="K11" s="9">
        <v>-17.239000000000001</v>
      </c>
      <c r="L11" s="9">
        <v>5</v>
      </c>
      <c r="M11" s="9">
        <v>1859</v>
      </c>
      <c r="O11" s="9">
        <v>8</v>
      </c>
      <c r="P11" s="9">
        <v>6</v>
      </c>
      <c r="Q11" s="9">
        <v>1038</v>
      </c>
      <c r="S11" s="9">
        <v>1066</v>
      </c>
      <c r="T11" s="31">
        <v>1066</v>
      </c>
      <c r="U11" s="9">
        <v>-0.13200000000000001</v>
      </c>
      <c r="V11" s="9">
        <v>1</v>
      </c>
      <c r="W11" s="9">
        <v>5</v>
      </c>
    </row>
    <row r="12" spans="1:23">
      <c r="A12">
        <v>1006</v>
      </c>
      <c r="B12">
        <v>-2.6930000000000001</v>
      </c>
      <c r="D12" s="9">
        <v>-25.858999999999998</v>
      </c>
      <c r="E12" s="9">
        <v>14</v>
      </c>
      <c r="F12" s="9">
        <v>3</v>
      </c>
      <c r="G12" s="9">
        <v>1069</v>
      </c>
      <c r="H12" s="31">
        <v>1082</v>
      </c>
      <c r="I12" s="32"/>
      <c r="J12" s="32"/>
      <c r="K12" s="9">
        <v>-16.47</v>
      </c>
      <c r="L12" s="9">
        <v>6</v>
      </c>
      <c r="M12" s="9">
        <v>1198</v>
      </c>
      <c r="O12" s="9">
        <v>8</v>
      </c>
      <c r="P12" s="9">
        <v>8</v>
      </c>
      <c r="Q12" s="9">
        <v>1244</v>
      </c>
      <c r="S12" s="9">
        <v>1069</v>
      </c>
      <c r="T12" s="31">
        <v>1082</v>
      </c>
      <c r="U12" s="9">
        <v>-25.858999999999998</v>
      </c>
      <c r="V12" s="9">
        <v>14</v>
      </c>
      <c r="W12" s="9">
        <v>3</v>
      </c>
    </row>
    <row r="13" spans="1:23">
      <c r="A13">
        <v>1007</v>
      </c>
      <c r="B13">
        <v>-2.1469999999999998</v>
      </c>
      <c r="D13" s="9">
        <v>-4.4809999999999999</v>
      </c>
      <c r="E13" s="9">
        <v>2</v>
      </c>
      <c r="F13" s="9">
        <v>16</v>
      </c>
      <c r="G13" s="9">
        <v>1085</v>
      </c>
      <c r="H13" s="31">
        <v>1086</v>
      </c>
      <c r="I13" s="32"/>
      <c r="J13" s="32"/>
      <c r="K13" s="9">
        <v>-16.382999999999999</v>
      </c>
      <c r="L13" s="9">
        <v>16</v>
      </c>
      <c r="M13" s="9">
        <v>1137</v>
      </c>
      <c r="O13" s="9">
        <v>8</v>
      </c>
      <c r="P13" s="9">
        <v>3</v>
      </c>
      <c r="Q13" s="9">
        <v>1641</v>
      </c>
      <c r="S13" s="9">
        <v>1085</v>
      </c>
      <c r="T13" s="31">
        <v>1086</v>
      </c>
      <c r="U13" s="9">
        <v>-4.4809999999999999</v>
      </c>
      <c r="V13" s="9">
        <v>2</v>
      </c>
      <c r="W13" s="9">
        <v>16</v>
      </c>
    </row>
    <row r="14" spans="1:23">
      <c r="A14">
        <v>1008</v>
      </c>
      <c r="B14">
        <v>-0.89900000000000002</v>
      </c>
      <c r="D14" s="9">
        <v>-6.7920000000000007</v>
      </c>
      <c r="E14" s="9">
        <v>4</v>
      </c>
      <c r="F14" s="9">
        <v>4</v>
      </c>
      <c r="G14" s="9">
        <v>1089</v>
      </c>
      <c r="H14" s="31">
        <v>1092</v>
      </c>
      <c r="I14" s="32"/>
      <c r="J14" s="32"/>
      <c r="K14" s="9">
        <v>-15.485000000000001</v>
      </c>
      <c r="L14" s="9">
        <v>3</v>
      </c>
      <c r="M14" s="9">
        <v>1566</v>
      </c>
      <c r="O14" s="9">
        <v>7</v>
      </c>
      <c r="P14" s="9">
        <v>6</v>
      </c>
      <c r="Q14" s="9">
        <v>1198</v>
      </c>
      <c r="S14" s="9">
        <v>1089</v>
      </c>
      <c r="T14" s="31">
        <v>1092</v>
      </c>
      <c r="U14" s="9">
        <v>-6.7920000000000007</v>
      </c>
      <c r="V14" s="9">
        <v>4</v>
      </c>
      <c r="W14" s="9">
        <v>4</v>
      </c>
    </row>
    <row r="15" spans="1:23">
      <c r="A15">
        <v>1009</v>
      </c>
      <c r="B15">
        <v>-0.68</v>
      </c>
      <c r="D15" s="9">
        <v>-4.9399999999999995</v>
      </c>
      <c r="E15" s="9">
        <v>3</v>
      </c>
      <c r="F15" s="9">
        <v>10</v>
      </c>
      <c r="G15" s="9">
        <v>1099</v>
      </c>
      <c r="H15" s="31">
        <v>1101</v>
      </c>
      <c r="I15" s="32"/>
      <c r="J15" s="32"/>
      <c r="K15" s="9">
        <v>-15.449</v>
      </c>
      <c r="L15" s="9">
        <v>6</v>
      </c>
      <c r="M15" s="9">
        <v>1038</v>
      </c>
      <c r="O15" s="9">
        <v>7</v>
      </c>
      <c r="P15" s="9">
        <v>9</v>
      </c>
      <c r="Q15" s="9">
        <v>1772</v>
      </c>
      <c r="S15" s="9">
        <v>1099</v>
      </c>
      <c r="T15" s="31">
        <v>1101</v>
      </c>
      <c r="U15" s="9">
        <v>-4.9399999999999995</v>
      </c>
      <c r="V15" s="9">
        <v>3</v>
      </c>
      <c r="W15" s="9">
        <v>10</v>
      </c>
    </row>
    <row r="16" spans="1:23">
      <c r="A16">
        <v>1010</v>
      </c>
      <c r="B16">
        <v>-1.2549999999999999</v>
      </c>
      <c r="D16" s="9">
        <v>-6.0030000000000001</v>
      </c>
      <c r="E16" s="9">
        <v>2</v>
      </c>
      <c r="F16" s="9">
        <v>4</v>
      </c>
      <c r="G16" s="9">
        <v>1103</v>
      </c>
      <c r="H16" s="31">
        <v>1104</v>
      </c>
      <c r="I16" s="32"/>
      <c r="J16" s="32"/>
      <c r="K16" s="9">
        <v>-14.693999999999999</v>
      </c>
      <c r="L16" s="9">
        <v>3</v>
      </c>
      <c r="M16" s="9">
        <v>1641</v>
      </c>
      <c r="O16" s="9">
        <v>7</v>
      </c>
      <c r="P16" s="9">
        <v>13</v>
      </c>
      <c r="Q16" s="9">
        <v>1763</v>
      </c>
      <c r="S16" s="9">
        <v>1103</v>
      </c>
      <c r="T16" s="31">
        <v>1104</v>
      </c>
      <c r="U16" s="9">
        <v>-6.0030000000000001</v>
      </c>
      <c r="V16" s="9">
        <v>2</v>
      </c>
      <c r="W16" s="9">
        <v>4</v>
      </c>
    </row>
    <row r="17" spans="1:23">
      <c r="A17">
        <v>1011</v>
      </c>
      <c r="B17">
        <v>-1.431</v>
      </c>
      <c r="D17" s="9">
        <v>-12.244</v>
      </c>
      <c r="E17" s="9">
        <v>6</v>
      </c>
      <c r="F17" s="9">
        <v>4</v>
      </c>
      <c r="G17" s="9">
        <v>1107</v>
      </c>
      <c r="H17" s="31">
        <v>1112</v>
      </c>
      <c r="I17" s="32"/>
      <c r="J17" s="32"/>
      <c r="K17" s="9">
        <v>-14.530999999999999</v>
      </c>
      <c r="L17" s="9">
        <v>9</v>
      </c>
      <c r="M17" s="9">
        <v>1772</v>
      </c>
      <c r="O17" s="9">
        <v>7</v>
      </c>
      <c r="P17" s="9">
        <v>4</v>
      </c>
      <c r="Q17" s="9">
        <v>1349</v>
      </c>
      <c r="S17" s="9">
        <v>1107</v>
      </c>
      <c r="T17" s="31">
        <v>1112</v>
      </c>
      <c r="U17" s="9">
        <v>-12.244</v>
      </c>
      <c r="V17" s="9">
        <v>6</v>
      </c>
      <c r="W17" s="9">
        <v>4</v>
      </c>
    </row>
    <row r="18" spans="1:23">
      <c r="A18">
        <v>1012</v>
      </c>
      <c r="B18">
        <v>-1.27</v>
      </c>
      <c r="D18" s="9">
        <v>-9.0009999999999994</v>
      </c>
      <c r="E18" s="9">
        <v>5</v>
      </c>
      <c r="F18" s="9">
        <v>8</v>
      </c>
      <c r="G18" s="9">
        <v>1115</v>
      </c>
      <c r="H18" s="31">
        <v>1119</v>
      </c>
      <c r="I18" s="32"/>
      <c r="J18" s="32"/>
      <c r="K18" s="9">
        <v>-14.353</v>
      </c>
      <c r="L18" s="9">
        <v>9</v>
      </c>
      <c r="M18" s="9">
        <v>1750</v>
      </c>
      <c r="O18" s="9">
        <v>7</v>
      </c>
      <c r="P18" s="9">
        <v>5</v>
      </c>
      <c r="Q18" s="9">
        <v>1501</v>
      </c>
      <c r="S18" s="9">
        <v>1115</v>
      </c>
      <c r="T18" s="31">
        <v>1119</v>
      </c>
      <c r="U18" s="9">
        <v>-9.0009999999999994</v>
      </c>
      <c r="V18" s="9">
        <v>5</v>
      </c>
      <c r="W18" s="9">
        <v>8</v>
      </c>
    </row>
    <row r="19" spans="1:23">
      <c r="A19">
        <v>1013</v>
      </c>
      <c r="B19">
        <v>-2.129</v>
      </c>
      <c r="D19" s="9">
        <v>-36.018000000000001</v>
      </c>
      <c r="E19" s="9">
        <v>14</v>
      </c>
      <c r="F19" s="9">
        <v>6</v>
      </c>
      <c r="G19" s="9">
        <v>1121</v>
      </c>
      <c r="H19" s="31">
        <v>1134</v>
      </c>
      <c r="I19" s="32"/>
      <c r="J19" s="32"/>
      <c r="K19" s="9">
        <v>-13.637</v>
      </c>
      <c r="L19" s="9">
        <v>14</v>
      </c>
      <c r="M19" s="9">
        <v>1221</v>
      </c>
      <c r="O19" s="9">
        <v>7</v>
      </c>
      <c r="P19" s="9">
        <v>7</v>
      </c>
      <c r="Q19" s="9">
        <v>1236</v>
      </c>
      <c r="S19" s="9">
        <v>1121</v>
      </c>
      <c r="T19" s="31">
        <v>1134</v>
      </c>
      <c r="U19" s="9">
        <v>-36.018000000000001</v>
      </c>
      <c r="V19" s="9">
        <v>14</v>
      </c>
      <c r="W19" s="9">
        <v>6</v>
      </c>
    </row>
    <row r="20" spans="1:23">
      <c r="A20">
        <v>1014</v>
      </c>
      <c r="B20">
        <v>-4.5229999999999997</v>
      </c>
      <c r="D20" s="9">
        <v>-16.382999999999999</v>
      </c>
      <c r="E20" s="9">
        <v>10</v>
      </c>
      <c r="F20" s="9">
        <v>16</v>
      </c>
      <c r="G20" s="9">
        <v>1137</v>
      </c>
      <c r="H20" s="31">
        <v>1146</v>
      </c>
      <c r="I20" s="32"/>
      <c r="J20" s="32"/>
      <c r="K20" s="9">
        <v>-12.855</v>
      </c>
      <c r="L20" s="9">
        <v>5</v>
      </c>
      <c r="M20" s="9">
        <v>1501</v>
      </c>
      <c r="O20" s="9">
        <v>6</v>
      </c>
      <c r="P20" s="9">
        <v>3</v>
      </c>
      <c r="Q20" s="9">
        <v>1951</v>
      </c>
      <c r="S20" s="9">
        <v>1137</v>
      </c>
      <c r="T20" s="31">
        <v>1146</v>
      </c>
      <c r="U20" s="9">
        <v>-16.382999999999999</v>
      </c>
      <c r="V20" s="9">
        <v>10</v>
      </c>
      <c r="W20" s="9">
        <v>16</v>
      </c>
    </row>
    <row r="21" spans="1:23">
      <c r="A21">
        <v>1015</v>
      </c>
      <c r="B21">
        <v>-4.0780000000000003</v>
      </c>
      <c r="D21" s="9">
        <v>-34.043000000000006</v>
      </c>
      <c r="E21" s="9">
        <v>17</v>
      </c>
      <c r="F21" s="9">
        <v>11</v>
      </c>
      <c r="G21" s="9">
        <v>1148</v>
      </c>
      <c r="H21" s="31">
        <v>1164</v>
      </c>
      <c r="I21" s="32"/>
      <c r="J21" s="32"/>
      <c r="K21" s="9">
        <v>-12.442000000000002</v>
      </c>
      <c r="L21" s="9">
        <v>8</v>
      </c>
      <c r="M21" s="9">
        <v>1244</v>
      </c>
      <c r="O21" s="9">
        <v>6</v>
      </c>
      <c r="P21" s="9">
        <v>5</v>
      </c>
      <c r="Q21" s="9">
        <v>1859</v>
      </c>
      <c r="S21" s="9">
        <v>1148</v>
      </c>
      <c r="T21" s="31">
        <v>1164</v>
      </c>
      <c r="U21" s="9">
        <v>-34.043000000000006</v>
      </c>
      <c r="V21" s="9">
        <v>17</v>
      </c>
      <c r="W21" s="9">
        <v>11</v>
      </c>
    </row>
    <row r="22" spans="1:23">
      <c r="A22">
        <v>1016</v>
      </c>
      <c r="B22">
        <v>-0.04</v>
      </c>
      <c r="D22" s="9">
        <v>-0.755</v>
      </c>
      <c r="E22" s="9">
        <v>1</v>
      </c>
      <c r="F22" s="9">
        <v>19</v>
      </c>
      <c r="G22" s="9">
        <v>1167</v>
      </c>
      <c r="H22" s="31">
        <v>1167</v>
      </c>
      <c r="I22" s="32"/>
      <c r="J22" s="32"/>
      <c r="K22" s="9">
        <v>-12.244</v>
      </c>
      <c r="L22" s="9">
        <v>4</v>
      </c>
      <c r="M22" s="9">
        <v>1107</v>
      </c>
      <c r="O22" s="9">
        <v>6</v>
      </c>
      <c r="P22" s="9">
        <v>15</v>
      </c>
      <c r="Q22" s="9">
        <v>1468</v>
      </c>
      <c r="S22" s="9">
        <v>1167</v>
      </c>
      <c r="T22" s="31">
        <v>1167</v>
      </c>
      <c r="U22" s="9">
        <v>-0.755</v>
      </c>
      <c r="V22" s="9">
        <v>1</v>
      </c>
      <c r="W22" s="9">
        <v>19</v>
      </c>
    </row>
    <row r="23" spans="1:23">
      <c r="A23">
        <v>1017</v>
      </c>
      <c r="B23">
        <v>3.573</v>
      </c>
      <c r="D23" s="9">
        <v>-0.67600000000000005</v>
      </c>
      <c r="E23" s="9">
        <v>1</v>
      </c>
      <c r="F23" s="9">
        <v>14</v>
      </c>
      <c r="G23" s="9">
        <v>1181</v>
      </c>
      <c r="H23" s="31">
        <v>1181</v>
      </c>
      <c r="I23" s="32"/>
      <c r="J23" s="32"/>
      <c r="K23" s="9">
        <v>-11.721</v>
      </c>
      <c r="L23" s="9">
        <v>15</v>
      </c>
      <c r="M23" s="9">
        <v>1468</v>
      </c>
      <c r="O23" s="9">
        <v>6</v>
      </c>
      <c r="P23" s="9">
        <v>17</v>
      </c>
      <c r="Q23" s="9">
        <v>1020</v>
      </c>
      <c r="S23" s="9">
        <v>1181</v>
      </c>
      <c r="T23" s="31">
        <v>1181</v>
      </c>
      <c r="U23" s="9">
        <v>-0.67600000000000005</v>
      </c>
      <c r="V23" s="9">
        <v>1</v>
      </c>
      <c r="W23" s="9">
        <v>14</v>
      </c>
    </row>
    <row r="24" spans="1:23">
      <c r="A24">
        <v>1018</v>
      </c>
      <c r="B24">
        <v>4.6369999999999996</v>
      </c>
      <c r="D24" s="9">
        <v>-7.6520000000000001</v>
      </c>
      <c r="E24" s="9">
        <v>5</v>
      </c>
      <c r="F24" s="9">
        <v>2</v>
      </c>
      <c r="G24" s="9">
        <v>1183</v>
      </c>
      <c r="H24" s="31">
        <v>1187</v>
      </c>
      <c r="I24" s="32"/>
      <c r="J24" s="32"/>
      <c r="K24" s="9">
        <v>-11.206000000000001</v>
      </c>
      <c r="L24" s="9">
        <v>3</v>
      </c>
      <c r="M24" s="9">
        <v>1727</v>
      </c>
      <c r="O24" s="9">
        <v>6</v>
      </c>
      <c r="P24" s="9">
        <v>4</v>
      </c>
      <c r="Q24" s="9">
        <v>1107</v>
      </c>
      <c r="S24" s="9">
        <v>1183</v>
      </c>
      <c r="T24" s="31">
        <v>1187</v>
      </c>
      <c r="U24" s="9">
        <v>-7.6520000000000001</v>
      </c>
      <c r="V24" s="9">
        <v>5</v>
      </c>
      <c r="W24" s="9">
        <v>2</v>
      </c>
    </row>
    <row r="25" spans="1:23">
      <c r="A25">
        <v>1019</v>
      </c>
      <c r="B25">
        <v>2.173</v>
      </c>
      <c r="D25" s="9">
        <v>-4.5460000000000003</v>
      </c>
      <c r="E25" s="9">
        <v>4</v>
      </c>
      <c r="F25" s="9">
        <v>9</v>
      </c>
      <c r="G25" s="9">
        <v>1192</v>
      </c>
      <c r="H25" s="31">
        <v>1195</v>
      </c>
      <c r="I25" s="32"/>
      <c r="J25" s="32"/>
      <c r="K25" s="9">
        <v>-11.140999999999998</v>
      </c>
      <c r="L25" s="9">
        <v>2</v>
      </c>
      <c r="M25" s="9">
        <v>1444</v>
      </c>
      <c r="O25" s="9">
        <v>6</v>
      </c>
      <c r="P25" s="9">
        <v>8</v>
      </c>
      <c r="Q25" s="9">
        <v>1229</v>
      </c>
      <c r="S25" s="9">
        <v>1192</v>
      </c>
      <c r="T25" s="31">
        <v>1195</v>
      </c>
      <c r="U25" s="9">
        <v>-4.5460000000000003</v>
      </c>
      <c r="V25" s="9">
        <v>4</v>
      </c>
      <c r="W25" s="9">
        <v>9</v>
      </c>
    </row>
    <row r="26" spans="1:23">
      <c r="A26">
        <v>1020</v>
      </c>
      <c r="B26">
        <v>-3.0110000000000001</v>
      </c>
      <c r="D26" s="9">
        <v>-16.47</v>
      </c>
      <c r="E26" s="9">
        <v>7</v>
      </c>
      <c r="F26" s="9">
        <v>6</v>
      </c>
      <c r="G26" s="9">
        <v>1198</v>
      </c>
      <c r="H26" s="31">
        <v>1204</v>
      </c>
      <c r="I26" s="32"/>
      <c r="J26" s="32"/>
      <c r="K26" s="9">
        <v>-11.102</v>
      </c>
      <c r="L26" s="9">
        <v>5</v>
      </c>
      <c r="M26" s="9">
        <v>1369</v>
      </c>
      <c r="O26" s="9">
        <v>6</v>
      </c>
      <c r="P26" s="9">
        <v>14</v>
      </c>
      <c r="Q26" s="9">
        <v>1221</v>
      </c>
      <c r="S26" s="9">
        <v>1198</v>
      </c>
      <c r="T26" s="31">
        <v>1204</v>
      </c>
      <c r="U26" s="9">
        <v>-16.47</v>
      </c>
      <c r="V26" s="9">
        <v>7</v>
      </c>
      <c r="W26" s="9">
        <v>6</v>
      </c>
    </row>
    <row r="27" spans="1:23">
      <c r="A27">
        <v>1021</v>
      </c>
      <c r="B27">
        <v>-0.68899999999999995</v>
      </c>
      <c r="D27" s="9">
        <v>-27.78</v>
      </c>
      <c r="E27" s="9">
        <v>11</v>
      </c>
      <c r="F27" s="9">
        <v>9</v>
      </c>
      <c r="G27" s="9">
        <v>1207</v>
      </c>
      <c r="H27" s="31">
        <v>1217</v>
      </c>
      <c r="I27" s="32"/>
      <c r="J27" s="32"/>
      <c r="K27" s="9">
        <v>-11.071</v>
      </c>
      <c r="L27" s="9">
        <v>4</v>
      </c>
      <c r="M27" s="9">
        <v>1291</v>
      </c>
      <c r="O27" s="9">
        <v>5</v>
      </c>
      <c r="P27" s="9">
        <v>8</v>
      </c>
      <c r="Q27" s="9">
        <v>1115</v>
      </c>
      <c r="S27" s="9">
        <v>1207</v>
      </c>
      <c r="T27" s="31">
        <v>1217</v>
      </c>
      <c r="U27" s="9">
        <v>-27.78</v>
      </c>
      <c r="V27" s="9">
        <v>11</v>
      </c>
      <c r="W27" s="9">
        <v>9</v>
      </c>
    </row>
    <row r="28" spans="1:23">
      <c r="A28">
        <v>1022</v>
      </c>
      <c r="B28">
        <v>-2.4289999999999998</v>
      </c>
      <c r="D28" s="9">
        <v>-13.637</v>
      </c>
      <c r="E28" s="9">
        <v>6</v>
      </c>
      <c r="F28" s="9">
        <v>14</v>
      </c>
      <c r="G28" s="9">
        <v>1221</v>
      </c>
      <c r="H28" s="31">
        <v>1226</v>
      </c>
      <c r="I28" s="32"/>
      <c r="J28" s="32"/>
      <c r="K28" s="9">
        <v>-10.96</v>
      </c>
      <c r="L28" s="9">
        <v>4</v>
      </c>
      <c r="M28" s="9">
        <v>1349</v>
      </c>
      <c r="O28" s="9">
        <v>5</v>
      </c>
      <c r="P28" s="9">
        <v>9</v>
      </c>
      <c r="Q28" s="9">
        <v>1047</v>
      </c>
      <c r="S28" s="9">
        <v>1221</v>
      </c>
      <c r="T28" s="31">
        <v>1226</v>
      </c>
      <c r="U28" s="9">
        <v>-13.637</v>
      </c>
      <c r="V28" s="9">
        <v>6</v>
      </c>
      <c r="W28" s="9">
        <v>14</v>
      </c>
    </row>
    <row r="29" spans="1:23">
      <c r="A29">
        <v>1023</v>
      </c>
      <c r="B29">
        <v>-0.38700000000000001</v>
      </c>
      <c r="D29" s="9">
        <v>-17.312000000000001</v>
      </c>
      <c r="E29" s="9">
        <v>6</v>
      </c>
      <c r="F29" s="9">
        <v>8</v>
      </c>
      <c r="G29" s="9">
        <v>1229</v>
      </c>
      <c r="H29" s="31">
        <v>1234</v>
      </c>
      <c r="I29" s="32"/>
      <c r="J29" s="32"/>
      <c r="K29" s="9">
        <v>-10.876999999999999</v>
      </c>
      <c r="L29" s="9">
        <v>2</v>
      </c>
      <c r="M29" s="9">
        <v>1854</v>
      </c>
      <c r="O29" s="9">
        <v>5</v>
      </c>
      <c r="P29" s="9">
        <v>3</v>
      </c>
      <c r="Q29" s="9">
        <v>1687</v>
      </c>
      <c r="S29" s="9">
        <v>1229</v>
      </c>
      <c r="T29" s="31">
        <v>1234</v>
      </c>
      <c r="U29" s="9">
        <v>-17.312000000000001</v>
      </c>
      <c r="V29" s="9">
        <v>6</v>
      </c>
      <c r="W29" s="9">
        <v>8</v>
      </c>
    </row>
    <row r="30" spans="1:23">
      <c r="A30">
        <v>1024</v>
      </c>
      <c r="B30">
        <v>-0.34</v>
      </c>
      <c r="D30" s="9">
        <v>-19.756999999999998</v>
      </c>
      <c r="E30" s="9">
        <v>7</v>
      </c>
      <c r="F30" s="9">
        <v>7</v>
      </c>
      <c r="G30" s="9">
        <v>1236</v>
      </c>
      <c r="H30" s="31">
        <v>1242</v>
      </c>
      <c r="I30" s="32"/>
      <c r="J30" s="32"/>
      <c r="K30" s="9">
        <v>-10.241</v>
      </c>
      <c r="L30" s="9">
        <v>10</v>
      </c>
      <c r="M30" s="9">
        <v>1254</v>
      </c>
      <c r="O30" s="9">
        <v>5</v>
      </c>
      <c r="P30" s="9">
        <v>4</v>
      </c>
      <c r="Q30" s="9">
        <v>1893</v>
      </c>
      <c r="S30" s="9">
        <v>1236</v>
      </c>
      <c r="T30" s="31">
        <v>1242</v>
      </c>
      <c r="U30" s="9">
        <v>-19.756999999999998</v>
      </c>
      <c r="V30" s="9">
        <v>7</v>
      </c>
      <c r="W30" s="9">
        <v>7</v>
      </c>
    </row>
    <row r="31" spans="1:23">
      <c r="A31">
        <v>1025</v>
      </c>
      <c r="B31">
        <v>-1.5389999999999999</v>
      </c>
      <c r="D31" s="9">
        <v>-12.442000000000002</v>
      </c>
      <c r="E31" s="9">
        <v>8</v>
      </c>
      <c r="F31" s="9">
        <v>8</v>
      </c>
      <c r="G31" s="9">
        <v>1244</v>
      </c>
      <c r="H31" s="31">
        <v>1251</v>
      </c>
      <c r="I31" s="32"/>
      <c r="J31" s="32"/>
      <c r="K31" s="9">
        <v>-9.7409999999999997</v>
      </c>
      <c r="L31" s="9">
        <v>2</v>
      </c>
      <c r="M31" s="9">
        <v>1597</v>
      </c>
      <c r="O31" s="9">
        <v>5</v>
      </c>
      <c r="P31" s="9">
        <v>2</v>
      </c>
      <c r="Q31" s="9">
        <v>1183</v>
      </c>
      <c r="S31" s="9">
        <v>1244</v>
      </c>
      <c r="T31" s="31">
        <v>1251</v>
      </c>
      <c r="U31" s="9">
        <v>-12.442000000000002</v>
      </c>
      <c r="V31" s="9">
        <v>8</v>
      </c>
      <c r="W31" s="9">
        <v>8</v>
      </c>
    </row>
    <row r="32" spans="1:23">
      <c r="A32">
        <v>1026</v>
      </c>
      <c r="B32">
        <v>1.456</v>
      </c>
      <c r="D32" s="9">
        <v>-10.241</v>
      </c>
      <c r="E32" s="9">
        <v>3</v>
      </c>
      <c r="F32" s="9">
        <v>10</v>
      </c>
      <c r="G32" s="9">
        <v>1254</v>
      </c>
      <c r="H32" s="31">
        <v>1256</v>
      </c>
      <c r="I32" s="32"/>
      <c r="J32" s="32"/>
      <c r="K32" s="9">
        <v>-9.1349999999999998</v>
      </c>
      <c r="L32" s="9">
        <v>4</v>
      </c>
      <c r="M32" s="9">
        <v>1061</v>
      </c>
      <c r="O32" s="9">
        <v>5</v>
      </c>
      <c r="P32" s="9">
        <v>3</v>
      </c>
      <c r="Q32" s="9">
        <v>1727</v>
      </c>
      <c r="S32" s="9">
        <v>1254</v>
      </c>
      <c r="T32" s="31">
        <v>1256</v>
      </c>
      <c r="U32" s="9">
        <v>-10.241</v>
      </c>
      <c r="V32" s="9">
        <v>3</v>
      </c>
      <c r="W32" s="9">
        <v>10</v>
      </c>
    </row>
    <row r="33" spans="1:23">
      <c r="A33">
        <v>1027</v>
      </c>
      <c r="B33">
        <v>1.1910000000000001</v>
      </c>
      <c r="D33" s="9">
        <v>-0.753</v>
      </c>
      <c r="E33" s="9">
        <v>1</v>
      </c>
      <c r="F33" s="9">
        <v>4</v>
      </c>
      <c r="G33" s="9">
        <v>1258</v>
      </c>
      <c r="H33" s="31">
        <v>1258</v>
      </c>
      <c r="I33" s="32"/>
      <c r="J33" s="32"/>
      <c r="K33" s="9">
        <v>-9.0009999999999994</v>
      </c>
      <c r="L33" s="9">
        <v>8</v>
      </c>
      <c r="M33" s="9">
        <v>1115</v>
      </c>
      <c r="O33" s="9">
        <v>5</v>
      </c>
      <c r="P33" s="9">
        <v>2</v>
      </c>
      <c r="Q33" s="9">
        <v>1936</v>
      </c>
      <c r="S33" s="9">
        <v>1258</v>
      </c>
      <c r="T33" s="31">
        <v>1258</v>
      </c>
      <c r="U33" s="9">
        <v>-0.753</v>
      </c>
      <c r="V33" s="9">
        <v>1</v>
      </c>
      <c r="W33" s="9">
        <v>4</v>
      </c>
    </row>
    <row r="34" spans="1:23">
      <c r="A34">
        <v>1028</v>
      </c>
      <c r="B34">
        <v>-1.7350000000000001</v>
      </c>
      <c r="D34" s="9">
        <v>-1.3220000000000001</v>
      </c>
      <c r="E34" s="9">
        <v>2</v>
      </c>
      <c r="F34" s="9">
        <v>2</v>
      </c>
      <c r="G34" s="9">
        <v>1260</v>
      </c>
      <c r="H34" s="31">
        <v>1261</v>
      </c>
      <c r="I34" s="32"/>
      <c r="J34" s="32"/>
      <c r="K34" s="9">
        <v>-8.8840000000000003</v>
      </c>
      <c r="L34" s="9">
        <v>6</v>
      </c>
      <c r="M34" s="9">
        <v>1305</v>
      </c>
      <c r="O34" s="9">
        <v>5</v>
      </c>
      <c r="P34" s="9">
        <v>4</v>
      </c>
      <c r="Q34" s="9">
        <v>1032</v>
      </c>
      <c r="S34" s="9">
        <v>1260</v>
      </c>
      <c r="T34" s="31">
        <v>1261</v>
      </c>
      <c r="U34" s="9">
        <v>-1.3220000000000001</v>
      </c>
      <c r="V34" s="9">
        <v>2</v>
      </c>
      <c r="W34" s="9">
        <v>2</v>
      </c>
    </row>
    <row r="35" spans="1:23">
      <c r="A35">
        <v>1029</v>
      </c>
      <c r="B35">
        <v>-0.17899999999999999</v>
      </c>
      <c r="D35" s="9">
        <v>-3.234</v>
      </c>
      <c r="E35" s="9">
        <v>2</v>
      </c>
      <c r="F35" s="9">
        <v>9</v>
      </c>
      <c r="G35" s="9">
        <v>1269</v>
      </c>
      <c r="H35" s="31">
        <v>1270</v>
      </c>
      <c r="I35" s="32"/>
      <c r="J35" s="32"/>
      <c r="K35" s="9">
        <v>-8.8390000000000004</v>
      </c>
      <c r="L35" s="9">
        <v>7</v>
      </c>
      <c r="M35" s="9">
        <v>1542</v>
      </c>
      <c r="O35" s="9">
        <v>5</v>
      </c>
      <c r="P35" s="9">
        <v>3</v>
      </c>
      <c r="Q35" s="9">
        <v>1299</v>
      </c>
      <c r="S35" s="9">
        <v>1269</v>
      </c>
      <c r="T35" s="31">
        <v>1270</v>
      </c>
      <c r="U35" s="9">
        <v>-3.234</v>
      </c>
      <c r="V35" s="9">
        <v>2</v>
      </c>
      <c r="W35" s="9">
        <v>9</v>
      </c>
    </row>
    <row r="36" spans="1:23">
      <c r="A36">
        <v>1030</v>
      </c>
      <c r="B36">
        <v>2.3479999999999999</v>
      </c>
      <c r="D36" s="9">
        <v>-0.192</v>
      </c>
      <c r="E36" s="9">
        <v>1</v>
      </c>
      <c r="F36" s="9">
        <v>3</v>
      </c>
      <c r="G36" s="9">
        <v>1272</v>
      </c>
      <c r="H36" s="31">
        <v>1272</v>
      </c>
      <c r="I36" s="32"/>
      <c r="J36" s="32"/>
      <c r="K36" s="9">
        <v>-8.8049999999999997</v>
      </c>
      <c r="L36" s="9">
        <v>2</v>
      </c>
      <c r="M36" s="9">
        <v>1625</v>
      </c>
      <c r="O36" s="9">
        <v>5</v>
      </c>
      <c r="P36" s="9">
        <v>2</v>
      </c>
      <c r="Q36" s="9">
        <v>1597</v>
      </c>
      <c r="S36" s="9">
        <v>1272</v>
      </c>
      <c r="T36" s="31">
        <v>1272</v>
      </c>
      <c r="U36" s="9">
        <v>-0.192</v>
      </c>
      <c r="V36" s="9">
        <v>1</v>
      </c>
      <c r="W36" s="9">
        <v>3</v>
      </c>
    </row>
    <row r="37" spans="1:23">
      <c r="A37">
        <v>1031</v>
      </c>
      <c r="B37">
        <v>0.96399999999999997</v>
      </c>
      <c r="D37" s="9">
        <v>-8.6339999999999986</v>
      </c>
      <c r="E37" s="9">
        <v>4</v>
      </c>
      <c r="F37" s="9">
        <v>2</v>
      </c>
      <c r="G37" s="9">
        <v>1274</v>
      </c>
      <c r="H37" s="31">
        <v>1277</v>
      </c>
      <c r="I37" s="32"/>
      <c r="J37" s="32"/>
      <c r="K37" s="9">
        <v>-8.7859999999999996</v>
      </c>
      <c r="L37" s="9">
        <v>4</v>
      </c>
      <c r="M37" s="9">
        <v>1496</v>
      </c>
      <c r="O37" s="9">
        <v>4</v>
      </c>
      <c r="P37" s="9">
        <v>2</v>
      </c>
      <c r="Q37" s="9">
        <v>1274</v>
      </c>
      <c r="S37" s="9">
        <v>1274</v>
      </c>
      <c r="T37" s="31">
        <v>1277</v>
      </c>
      <c r="U37" s="9">
        <v>-8.6339999999999986</v>
      </c>
      <c r="V37" s="9">
        <v>4</v>
      </c>
      <c r="W37" s="9">
        <v>2</v>
      </c>
    </row>
    <row r="38" spans="1:23">
      <c r="A38">
        <v>1032</v>
      </c>
      <c r="B38">
        <v>-1.04</v>
      </c>
      <c r="D38" s="9">
        <v>-1.7250000000000001</v>
      </c>
      <c r="E38" s="9">
        <v>1</v>
      </c>
      <c r="F38" s="9">
        <v>5</v>
      </c>
      <c r="G38" s="9">
        <v>1279</v>
      </c>
      <c r="H38" s="31">
        <v>1279</v>
      </c>
      <c r="I38" s="32"/>
      <c r="J38" s="32"/>
      <c r="K38" s="9">
        <v>-8.6590000000000007</v>
      </c>
      <c r="L38" s="9">
        <v>4</v>
      </c>
      <c r="M38" s="9">
        <v>1789</v>
      </c>
      <c r="O38" s="9">
        <v>4</v>
      </c>
      <c r="P38" s="9">
        <v>3</v>
      </c>
      <c r="Q38" s="9">
        <v>1696</v>
      </c>
      <c r="S38" s="9">
        <v>1279</v>
      </c>
      <c r="T38" s="31">
        <v>1279</v>
      </c>
      <c r="U38" s="9">
        <v>-1.7250000000000001</v>
      </c>
      <c r="V38" s="9">
        <v>1</v>
      </c>
      <c r="W38" s="9">
        <v>5</v>
      </c>
    </row>
    <row r="39" spans="1:23">
      <c r="A39">
        <v>1033</v>
      </c>
      <c r="B39">
        <v>-2.5190000000000001</v>
      </c>
      <c r="D39" s="9">
        <v>-0.68600000000000005</v>
      </c>
      <c r="E39" s="9">
        <v>1</v>
      </c>
      <c r="F39" s="9">
        <v>2</v>
      </c>
      <c r="G39" s="9">
        <v>1281</v>
      </c>
      <c r="H39" s="31">
        <v>1281</v>
      </c>
      <c r="I39" s="32"/>
      <c r="J39" s="32"/>
      <c r="K39" s="9">
        <v>-8.6339999999999986</v>
      </c>
      <c r="L39" s="9">
        <v>2</v>
      </c>
      <c r="M39" s="9">
        <v>1274</v>
      </c>
      <c r="O39" s="9">
        <v>4</v>
      </c>
      <c r="P39" s="9">
        <v>3</v>
      </c>
      <c r="Q39" s="9">
        <v>1527</v>
      </c>
      <c r="S39" s="9">
        <v>1281</v>
      </c>
      <c r="T39" s="31">
        <v>1281</v>
      </c>
      <c r="U39" s="9">
        <v>-0.68600000000000005</v>
      </c>
      <c r="V39" s="9">
        <v>1</v>
      </c>
      <c r="W39" s="9">
        <v>2</v>
      </c>
    </row>
    <row r="40" spans="1:23">
      <c r="A40">
        <v>1034</v>
      </c>
      <c r="B40">
        <v>-1.4390000000000001</v>
      </c>
      <c r="D40" s="9">
        <v>-1.583</v>
      </c>
      <c r="E40" s="9">
        <v>1</v>
      </c>
      <c r="F40" s="9">
        <v>2</v>
      </c>
      <c r="G40" s="9">
        <v>1283</v>
      </c>
      <c r="H40" s="31">
        <v>1283</v>
      </c>
      <c r="I40" s="32"/>
      <c r="J40" s="32"/>
      <c r="K40" s="9">
        <v>-8.4130000000000003</v>
      </c>
      <c r="L40" s="9">
        <v>4</v>
      </c>
      <c r="M40" s="9">
        <v>1364</v>
      </c>
      <c r="O40" s="9">
        <v>4</v>
      </c>
      <c r="P40" s="9">
        <v>4</v>
      </c>
      <c r="Q40" s="9">
        <v>1291</v>
      </c>
      <c r="S40" s="9">
        <v>1283</v>
      </c>
      <c r="T40" s="31">
        <v>1283</v>
      </c>
      <c r="U40" s="9">
        <v>-1.583</v>
      </c>
      <c r="V40" s="9">
        <v>1</v>
      </c>
      <c r="W40" s="9">
        <v>2</v>
      </c>
    </row>
    <row r="41" spans="1:23">
      <c r="A41">
        <v>1035</v>
      </c>
      <c r="B41">
        <v>-0.35899999999999999</v>
      </c>
      <c r="D41" s="9">
        <v>-4.7089999999999996</v>
      </c>
      <c r="E41" s="9">
        <v>3</v>
      </c>
      <c r="F41" s="9">
        <v>4</v>
      </c>
      <c r="G41" s="9">
        <v>1287</v>
      </c>
      <c r="H41" s="31">
        <v>1289</v>
      </c>
      <c r="I41" s="32"/>
      <c r="J41" s="32"/>
      <c r="K41" s="9">
        <v>-8.3949999999999996</v>
      </c>
      <c r="L41" s="9">
        <v>17</v>
      </c>
      <c r="M41" s="9">
        <v>1020</v>
      </c>
      <c r="O41" s="9">
        <v>4</v>
      </c>
      <c r="P41" s="9">
        <v>2</v>
      </c>
      <c r="Q41" s="9">
        <v>1854</v>
      </c>
      <c r="S41" s="9">
        <v>1287</v>
      </c>
      <c r="T41" s="31">
        <v>1289</v>
      </c>
      <c r="U41" s="9">
        <v>-4.7089999999999996</v>
      </c>
      <c r="V41" s="9">
        <v>3</v>
      </c>
      <c r="W41" s="9">
        <v>4</v>
      </c>
    </row>
    <row r="42" spans="1:23">
      <c r="A42">
        <v>1036</v>
      </c>
      <c r="B42">
        <v>-1.9E-2</v>
      </c>
      <c r="D42" s="9">
        <v>-11.071</v>
      </c>
      <c r="E42" s="9">
        <v>4</v>
      </c>
      <c r="F42" s="9">
        <v>4</v>
      </c>
      <c r="G42" s="9">
        <v>1291</v>
      </c>
      <c r="H42" s="31">
        <v>1294</v>
      </c>
      <c r="I42" s="32"/>
      <c r="J42" s="32"/>
      <c r="K42" s="9">
        <v>-8.1109999999999989</v>
      </c>
      <c r="L42" s="9">
        <v>5</v>
      </c>
      <c r="M42" s="9">
        <v>1315</v>
      </c>
      <c r="O42" s="9">
        <v>4</v>
      </c>
      <c r="P42" s="9">
        <v>4</v>
      </c>
      <c r="Q42" s="9">
        <v>1845</v>
      </c>
      <c r="S42" s="9">
        <v>1291</v>
      </c>
      <c r="T42" s="31">
        <v>1294</v>
      </c>
      <c r="U42" s="9">
        <v>-11.071</v>
      </c>
      <c r="V42" s="9">
        <v>4</v>
      </c>
      <c r="W42" s="9">
        <v>4</v>
      </c>
    </row>
    <row r="43" spans="1:23">
      <c r="A43">
        <v>1037</v>
      </c>
      <c r="B43">
        <v>0.56799999999999995</v>
      </c>
      <c r="D43" s="9">
        <v>-3.6399999999999997</v>
      </c>
      <c r="E43" s="9">
        <v>2</v>
      </c>
      <c r="F43" s="9">
        <v>5</v>
      </c>
      <c r="G43" s="9">
        <v>1296</v>
      </c>
      <c r="H43" s="31">
        <v>1297</v>
      </c>
      <c r="I43" s="32"/>
      <c r="J43" s="32"/>
      <c r="K43" s="9">
        <v>-7.9190000000000005</v>
      </c>
      <c r="L43" s="9">
        <v>3</v>
      </c>
      <c r="M43" s="9">
        <v>1916</v>
      </c>
      <c r="O43" s="9">
        <v>4</v>
      </c>
      <c r="P43" s="9">
        <v>5</v>
      </c>
      <c r="Q43" s="9">
        <v>1829</v>
      </c>
      <c r="S43" s="9">
        <v>1296</v>
      </c>
      <c r="T43" s="31">
        <v>1297</v>
      </c>
      <c r="U43" s="9">
        <v>-3.6399999999999997</v>
      </c>
      <c r="V43" s="9">
        <v>2</v>
      </c>
      <c r="W43" s="9">
        <v>5</v>
      </c>
    </row>
    <row r="44" spans="1:23">
      <c r="A44">
        <v>1038</v>
      </c>
      <c r="B44">
        <v>-2.9000000000000001E-2</v>
      </c>
      <c r="D44" s="9">
        <v>-7.2539999999999996</v>
      </c>
      <c r="E44" s="9">
        <v>5</v>
      </c>
      <c r="F44" s="9">
        <v>3</v>
      </c>
      <c r="G44" s="9">
        <v>1299</v>
      </c>
      <c r="H44" s="31">
        <v>1303</v>
      </c>
      <c r="I44" s="32"/>
      <c r="J44" s="32"/>
      <c r="K44" s="9">
        <v>-7.8369999999999997</v>
      </c>
      <c r="L44" s="9">
        <v>4</v>
      </c>
      <c r="M44" s="9">
        <v>1893</v>
      </c>
      <c r="O44" s="9">
        <v>4</v>
      </c>
      <c r="P44" s="9">
        <v>5</v>
      </c>
      <c r="Q44" s="9">
        <v>1369</v>
      </c>
      <c r="S44" s="9">
        <v>1299</v>
      </c>
      <c r="T44" s="31">
        <v>1303</v>
      </c>
      <c r="U44" s="9">
        <v>-7.2539999999999996</v>
      </c>
      <c r="V44" s="9">
        <v>5</v>
      </c>
      <c r="W44" s="9">
        <v>3</v>
      </c>
    </row>
    <row r="45" spans="1:23">
      <c r="A45">
        <v>1039</v>
      </c>
      <c r="B45">
        <v>-0.60799999999999998</v>
      </c>
      <c r="D45" s="9">
        <v>-8.8840000000000003</v>
      </c>
      <c r="E45" s="9">
        <v>4</v>
      </c>
      <c r="F45" s="9">
        <v>6</v>
      </c>
      <c r="G45" s="9">
        <v>1305</v>
      </c>
      <c r="H45" s="31">
        <v>1308</v>
      </c>
      <c r="I45" s="32"/>
      <c r="J45" s="32"/>
      <c r="K45" s="9">
        <v>-7.8360000000000003</v>
      </c>
      <c r="L45" s="9">
        <v>7</v>
      </c>
      <c r="M45" s="9">
        <v>1703</v>
      </c>
      <c r="O45" s="9">
        <v>4</v>
      </c>
      <c r="P45" s="9">
        <v>2</v>
      </c>
      <c r="Q45" s="9">
        <v>1714</v>
      </c>
      <c r="S45" s="9">
        <v>1305</v>
      </c>
      <c r="T45" s="31">
        <v>1308</v>
      </c>
      <c r="U45" s="9">
        <v>-8.8840000000000003</v>
      </c>
      <c r="V45" s="9">
        <v>4</v>
      </c>
      <c r="W45" s="9">
        <v>6</v>
      </c>
    </row>
    <row r="46" spans="1:23">
      <c r="A46">
        <v>1040</v>
      </c>
      <c r="B46">
        <v>-2.3149999999999999</v>
      </c>
      <c r="D46" s="9">
        <v>-1.5640000000000001</v>
      </c>
      <c r="E46" s="9">
        <v>1</v>
      </c>
      <c r="F46" s="9">
        <v>5</v>
      </c>
      <c r="G46" s="9">
        <v>1310</v>
      </c>
      <c r="H46" s="31">
        <v>1310</v>
      </c>
      <c r="I46" s="32"/>
      <c r="J46" s="32"/>
      <c r="K46" s="9">
        <v>-7.6539999999999999</v>
      </c>
      <c r="L46" s="9">
        <v>2</v>
      </c>
      <c r="M46" s="9">
        <v>1714</v>
      </c>
      <c r="O46" s="9">
        <v>4</v>
      </c>
      <c r="P46" s="9">
        <v>4</v>
      </c>
      <c r="Q46" s="9">
        <v>1364</v>
      </c>
      <c r="S46" s="9">
        <v>1310</v>
      </c>
      <c r="T46" s="31">
        <v>1310</v>
      </c>
      <c r="U46" s="9">
        <v>-1.5640000000000001</v>
      </c>
      <c r="V46" s="9">
        <v>1</v>
      </c>
      <c r="W46" s="9">
        <v>5</v>
      </c>
    </row>
    <row r="47" spans="1:23">
      <c r="A47">
        <v>1041</v>
      </c>
      <c r="B47">
        <v>-2.355</v>
      </c>
      <c r="D47" s="9">
        <v>-8.1109999999999989</v>
      </c>
      <c r="E47" s="9">
        <v>3</v>
      </c>
      <c r="F47" s="9">
        <v>5</v>
      </c>
      <c r="G47" s="9">
        <v>1315</v>
      </c>
      <c r="H47" s="31">
        <v>1317</v>
      </c>
      <c r="I47" s="32"/>
      <c r="J47" s="32"/>
      <c r="K47" s="9">
        <v>-7.6520000000000001</v>
      </c>
      <c r="L47" s="9">
        <v>2</v>
      </c>
      <c r="M47" s="9">
        <v>1183</v>
      </c>
      <c r="O47" s="9">
        <v>4</v>
      </c>
      <c r="P47" s="9">
        <v>4</v>
      </c>
      <c r="Q47" s="9">
        <v>1089</v>
      </c>
      <c r="S47" s="9">
        <v>1315</v>
      </c>
      <c r="T47" s="31">
        <v>1317</v>
      </c>
      <c r="U47" s="9">
        <v>-8.1109999999999989</v>
      </c>
      <c r="V47" s="9">
        <v>3</v>
      </c>
      <c r="W47" s="9">
        <v>5</v>
      </c>
    </row>
    <row r="48" spans="1:23">
      <c r="A48">
        <v>1042</v>
      </c>
      <c r="B48">
        <v>-1.6459999999999999</v>
      </c>
      <c r="D48" s="9">
        <v>-4.0609999999999999</v>
      </c>
      <c r="E48" s="9">
        <v>2</v>
      </c>
      <c r="F48" s="9">
        <v>4</v>
      </c>
      <c r="G48" s="9">
        <v>1319</v>
      </c>
      <c r="H48" s="31">
        <v>1320</v>
      </c>
      <c r="I48" s="32"/>
      <c r="J48" s="32"/>
      <c r="K48" s="9">
        <v>-7.5780000000000003</v>
      </c>
      <c r="L48" s="9">
        <v>7</v>
      </c>
      <c r="M48" s="9">
        <v>1886</v>
      </c>
      <c r="O48" s="9">
        <v>4</v>
      </c>
      <c r="P48" s="9">
        <v>6</v>
      </c>
      <c r="Q48" s="9">
        <v>1305</v>
      </c>
      <c r="S48" s="9">
        <v>1319</v>
      </c>
      <c r="T48" s="31">
        <v>1320</v>
      </c>
      <c r="U48" s="9">
        <v>-4.0609999999999999</v>
      </c>
      <c r="V48" s="9">
        <v>2</v>
      </c>
      <c r="W48" s="9">
        <v>4</v>
      </c>
    </row>
    <row r="49" spans="1:23">
      <c r="A49">
        <v>1043</v>
      </c>
      <c r="B49">
        <v>-3.1110000000000002</v>
      </c>
      <c r="D49" s="9">
        <v>-1.32</v>
      </c>
      <c r="E49" s="9">
        <v>1</v>
      </c>
      <c r="F49" s="9">
        <v>3</v>
      </c>
      <c r="G49" s="9">
        <v>1322</v>
      </c>
      <c r="H49" s="31">
        <v>1322</v>
      </c>
      <c r="I49" s="32"/>
      <c r="J49" s="32"/>
      <c r="K49" s="9">
        <v>-7.5449999999999999</v>
      </c>
      <c r="L49" s="9">
        <v>2</v>
      </c>
      <c r="M49" s="9">
        <v>998</v>
      </c>
      <c r="O49" s="9">
        <v>4</v>
      </c>
      <c r="P49" s="9">
        <v>3</v>
      </c>
      <c r="Q49" s="9">
        <v>1381</v>
      </c>
      <c r="S49" s="9">
        <v>1322</v>
      </c>
      <c r="T49" s="31">
        <v>1322</v>
      </c>
      <c r="U49" s="9">
        <v>-1.32</v>
      </c>
      <c r="V49" s="9">
        <v>1</v>
      </c>
      <c r="W49" s="9">
        <v>3</v>
      </c>
    </row>
    <row r="50" spans="1:23">
      <c r="A50">
        <v>1044</v>
      </c>
      <c r="B50">
        <v>-4.1280000000000001</v>
      </c>
      <c r="D50" s="9">
        <v>-0.13800000000000001</v>
      </c>
      <c r="E50" s="9">
        <v>1</v>
      </c>
      <c r="F50" s="9">
        <v>3</v>
      </c>
      <c r="G50" s="9">
        <v>1325</v>
      </c>
      <c r="H50" s="31">
        <v>1325</v>
      </c>
      <c r="I50" s="32"/>
      <c r="J50" s="32"/>
      <c r="K50" s="9">
        <v>-7.4380000000000006</v>
      </c>
      <c r="L50" s="9">
        <v>3</v>
      </c>
      <c r="M50" s="9">
        <v>1527</v>
      </c>
      <c r="O50" s="9">
        <v>4</v>
      </c>
      <c r="P50" s="9">
        <v>9</v>
      </c>
      <c r="Q50" s="9">
        <v>1192</v>
      </c>
      <c r="S50" s="9">
        <v>1325</v>
      </c>
      <c r="T50" s="31">
        <v>1325</v>
      </c>
      <c r="U50" s="9">
        <v>-0.13800000000000001</v>
      </c>
      <c r="V50" s="9">
        <v>1</v>
      </c>
      <c r="W50" s="9">
        <v>3</v>
      </c>
    </row>
    <row r="51" spans="1:23">
      <c r="A51">
        <v>1045</v>
      </c>
      <c r="B51">
        <v>-1.2569999999999999</v>
      </c>
      <c r="D51" s="9">
        <v>-2.992</v>
      </c>
      <c r="E51" s="9">
        <v>3</v>
      </c>
      <c r="F51" s="9">
        <v>2</v>
      </c>
      <c r="G51" s="9">
        <v>1327</v>
      </c>
      <c r="H51" s="31">
        <v>1329</v>
      </c>
      <c r="I51" s="32"/>
      <c r="J51" s="32"/>
      <c r="K51" s="9">
        <v>-7.4139999999999997</v>
      </c>
      <c r="L51" s="9">
        <v>9</v>
      </c>
      <c r="M51" s="9">
        <v>1047</v>
      </c>
      <c r="O51" s="9">
        <v>4</v>
      </c>
      <c r="P51" s="9">
        <v>2</v>
      </c>
      <c r="Q51" s="9">
        <v>1444</v>
      </c>
      <c r="S51" s="9">
        <v>1327</v>
      </c>
      <c r="T51" s="31">
        <v>1329</v>
      </c>
      <c r="U51" s="9">
        <v>-2.992</v>
      </c>
      <c r="V51" s="9">
        <v>3</v>
      </c>
      <c r="W51" s="9">
        <v>2</v>
      </c>
    </row>
    <row r="52" spans="1:23">
      <c r="A52">
        <v>1046</v>
      </c>
      <c r="B52">
        <v>1.079</v>
      </c>
      <c r="D52" s="9">
        <v>-1.8660000000000001</v>
      </c>
      <c r="E52" s="9">
        <v>1</v>
      </c>
      <c r="F52" s="9">
        <v>9</v>
      </c>
      <c r="G52" s="9">
        <v>1336</v>
      </c>
      <c r="H52" s="31">
        <v>1336</v>
      </c>
      <c r="I52" s="32"/>
      <c r="J52" s="32"/>
      <c r="K52" s="9">
        <v>-7.2539999999999996</v>
      </c>
      <c r="L52" s="9">
        <v>3</v>
      </c>
      <c r="M52" s="9">
        <v>1299</v>
      </c>
      <c r="O52" s="9">
        <v>3</v>
      </c>
      <c r="P52" s="9">
        <v>4</v>
      </c>
      <c r="Q52" s="9">
        <v>1061</v>
      </c>
      <c r="S52" s="9">
        <v>1336</v>
      </c>
      <c r="T52" s="31">
        <v>1336</v>
      </c>
      <c r="U52" s="9">
        <v>-1.8660000000000001</v>
      </c>
      <c r="V52" s="9">
        <v>1</v>
      </c>
      <c r="W52" s="9">
        <v>9</v>
      </c>
    </row>
    <row r="53" spans="1:23">
      <c r="A53">
        <v>1047</v>
      </c>
      <c r="B53">
        <v>-1.1579999999999999</v>
      </c>
      <c r="D53" s="9">
        <v>-7.1280000000000001</v>
      </c>
      <c r="E53" s="9">
        <v>3</v>
      </c>
      <c r="F53" s="9">
        <v>9</v>
      </c>
      <c r="G53" s="9">
        <v>1345</v>
      </c>
      <c r="H53" s="31">
        <v>1347</v>
      </c>
      <c r="I53" s="32"/>
      <c r="J53" s="32"/>
      <c r="K53" s="9">
        <v>-7.1870000000000003</v>
      </c>
      <c r="L53" s="9">
        <v>3</v>
      </c>
      <c r="M53" s="9">
        <v>1421</v>
      </c>
      <c r="O53" s="9">
        <v>3</v>
      </c>
      <c r="P53" s="9">
        <v>3</v>
      </c>
      <c r="Q53" s="9">
        <v>1916</v>
      </c>
      <c r="S53" s="9">
        <v>1345</v>
      </c>
      <c r="T53" s="31">
        <v>1347</v>
      </c>
      <c r="U53" s="9">
        <v>-7.1280000000000001</v>
      </c>
      <c r="V53" s="9">
        <v>3</v>
      </c>
      <c r="W53" s="9">
        <v>9</v>
      </c>
    </row>
    <row r="54" spans="1:23">
      <c r="A54">
        <v>1048</v>
      </c>
      <c r="B54">
        <v>-0.79100000000000004</v>
      </c>
      <c r="D54" s="9">
        <v>-10.96</v>
      </c>
      <c r="E54" s="9">
        <v>7</v>
      </c>
      <c r="F54" s="9">
        <v>4</v>
      </c>
      <c r="G54" s="9">
        <v>1349</v>
      </c>
      <c r="H54" s="31">
        <v>1355</v>
      </c>
      <c r="I54" s="32"/>
      <c r="J54" s="32"/>
      <c r="K54" s="9">
        <v>-7.1280000000000001</v>
      </c>
      <c r="L54" s="9">
        <v>9</v>
      </c>
      <c r="M54" s="9">
        <v>1345</v>
      </c>
      <c r="O54" s="9">
        <v>3</v>
      </c>
      <c r="P54" s="9">
        <v>6</v>
      </c>
      <c r="Q54" s="9">
        <v>1410</v>
      </c>
      <c r="S54" s="9">
        <v>1349</v>
      </c>
      <c r="T54" s="31">
        <v>1355</v>
      </c>
      <c r="U54" s="9">
        <v>-10.96</v>
      </c>
      <c r="V54" s="9">
        <v>7</v>
      </c>
      <c r="W54" s="9">
        <v>4</v>
      </c>
    </row>
    <row r="55" spans="1:23">
      <c r="A55">
        <v>1049</v>
      </c>
      <c r="B55">
        <v>-0.247</v>
      </c>
      <c r="D55" s="9">
        <v>-2.3149999999999999</v>
      </c>
      <c r="E55" s="9">
        <v>1</v>
      </c>
      <c r="F55" s="9">
        <v>9</v>
      </c>
      <c r="G55" s="9">
        <v>1358</v>
      </c>
      <c r="H55" s="31">
        <v>1358</v>
      </c>
      <c r="I55" s="32"/>
      <c r="J55" s="32"/>
      <c r="K55" s="9">
        <v>-7.0190000000000001</v>
      </c>
      <c r="L55" s="9">
        <v>3</v>
      </c>
      <c r="M55" s="9">
        <v>1696</v>
      </c>
      <c r="O55" s="9">
        <v>3</v>
      </c>
      <c r="P55" s="9">
        <v>2</v>
      </c>
      <c r="Q55" s="9">
        <v>1837</v>
      </c>
      <c r="S55" s="9">
        <v>1358</v>
      </c>
      <c r="T55" s="31">
        <v>1358</v>
      </c>
      <c r="U55" s="9">
        <v>-2.3149999999999999</v>
      </c>
      <c r="V55" s="9">
        <v>1</v>
      </c>
      <c r="W55" s="9">
        <v>9</v>
      </c>
    </row>
    <row r="56" spans="1:23">
      <c r="A56">
        <v>1050</v>
      </c>
      <c r="B56">
        <v>-3.4729999999999999</v>
      </c>
      <c r="D56" s="9">
        <v>-4.8079999999999998</v>
      </c>
      <c r="E56" s="9">
        <v>2</v>
      </c>
      <c r="F56" s="9">
        <v>2</v>
      </c>
      <c r="G56" s="9">
        <v>1360</v>
      </c>
      <c r="H56" s="31">
        <v>1361</v>
      </c>
      <c r="I56" s="32"/>
      <c r="J56" s="32"/>
      <c r="K56" s="9">
        <v>-7</v>
      </c>
      <c r="L56" s="9">
        <v>5</v>
      </c>
      <c r="M56" s="9">
        <v>1785</v>
      </c>
      <c r="O56" s="9">
        <v>3</v>
      </c>
      <c r="P56" s="9">
        <v>10</v>
      </c>
      <c r="Q56" s="9">
        <v>1099</v>
      </c>
      <c r="S56" s="9">
        <v>1360</v>
      </c>
      <c r="T56" s="31">
        <v>1361</v>
      </c>
      <c r="U56" s="9">
        <v>-4.8079999999999998</v>
      </c>
      <c r="V56" s="9">
        <v>2</v>
      </c>
      <c r="W56" s="9">
        <v>2</v>
      </c>
    </row>
    <row r="57" spans="1:23">
      <c r="A57">
        <v>1051</v>
      </c>
      <c r="B57">
        <v>-1.7450000000000001</v>
      </c>
      <c r="D57" s="9">
        <v>-8.4130000000000003</v>
      </c>
      <c r="E57" s="9">
        <v>4</v>
      </c>
      <c r="F57" s="9">
        <v>4</v>
      </c>
      <c r="G57" s="9">
        <v>1364</v>
      </c>
      <c r="H57" s="31">
        <v>1367</v>
      </c>
      <c r="I57" s="32"/>
      <c r="J57" s="32"/>
      <c r="K57" s="9">
        <v>-6.87</v>
      </c>
      <c r="L57" s="9">
        <v>13</v>
      </c>
      <c r="M57" s="9">
        <v>1763</v>
      </c>
      <c r="O57" s="9">
        <v>3</v>
      </c>
      <c r="P57" s="9">
        <v>3</v>
      </c>
      <c r="Q57" s="9">
        <v>1400</v>
      </c>
      <c r="S57" s="9">
        <v>1364</v>
      </c>
      <c r="T57" s="31">
        <v>1367</v>
      </c>
      <c r="U57" s="9">
        <v>-8.4130000000000003</v>
      </c>
      <c r="V57" s="9">
        <v>4</v>
      </c>
      <c r="W57" s="9">
        <v>4</v>
      </c>
    </row>
    <row r="58" spans="1:23">
      <c r="A58">
        <v>1052</v>
      </c>
      <c r="B58">
        <v>2.7360000000000002</v>
      </c>
      <c r="D58" s="9">
        <v>-11.102</v>
      </c>
      <c r="E58" s="9">
        <v>4</v>
      </c>
      <c r="F58" s="9">
        <v>5</v>
      </c>
      <c r="G58" s="9">
        <v>1369</v>
      </c>
      <c r="H58" s="31">
        <v>1372</v>
      </c>
      <c r="I58" s="32"/>
      <c r="J58" s="32"/>
      <c r="K58" s="9">
        <v>-6.8009999999999993</v>
      </c>
      <c r="L58" s="9">
        <v>3</v>
      </c>
      <c r="M58" s="9">
        <v>1381</v>
      </c>
      <c r="O58" s="9">
        <v>3</v>
      </c>
      <c r="P58" s="9">
        <v>2</v>
      </c>
      <c r="Q58" s="9">
        <v>1998</v>
      </c>
      <c r="S58" s="9">
        <v>1369</v>
      </c>
      <c r="T58" s="31">
        <v>1372</v>
      </c>
      <c r="U58" s="9">
        <v>-11.102</v>
      </c>
      <c r="V58" s="9">
        <v>4</v>
      </c>
      <c r="W58" s="9">
        <v>5</v>
      </c>
    </row>
    <row r="59" spans="1:23">
      <c r="A59">
        <v>1053</v>
      </c>
      <c r="B59">
        <v>5.3440000000000003</v>
      </c>
      <c r="D59" s="9">
        <v>-6.3220000000000001</v>
      </c>
      <c r="E59" s="9">
        <v>3</v>
      </c>
      <c r="F59" s="9">
        <v>5</v>
      </c>
      <c r="G59" s="9">
        <v>1374</v>
      </c>
      <c r="H59" s="31">
        <v>1376</v>
      </c>
      <c r="I59" s="32"/>
      <c r="J59" s="32"/>
      <c r="K59" s="9">
        <v>-6.7930000000000001</v>
      </c>
      <c r="L59" s="9">
        <v>9</v>
      </c>
      <c r="M59" s="9">
        <v>1510</v>
      </c>
      <c r="O59" s="9">
        <v>3</v>
      </c>
      <c r="P59" s="9">
        <v>4</v>
      </c>
      <c r="Q59" s="9">
        <v>1789</v>
      </c>
      <c r="S59" s="9">
        <v>1374</v>
      </c>
      <c r="T59" s="31">
        <v>1376</v>
      </c>
      <c r="U59" s="9">
        <v>-6.3220000000000001</v>
      </c>
      <c r="V59" s="9">
        <v>3</v>
      </c>
      <c r="W59" s="9">
        <v>5</v>
      </c>
    </row>
    <row r="60" spans="1:23">
      <c r="A60">
        <v>1054</v>
      </c>
      <c r="B60">
        <v>6.2949999999999999</v>
      </c>
      <c r="D60" s="9">
        <v>-1.1870000000000001</v>
      </c>
      <c r="E60" s="9">
        <v>2</v>
      </c>
      <c r="F60" s="9">
        <v>4</v>
      </c>
      <c r="G60" s="9">
        <v>1378</v>
      </c>
      <c r="H60" s="31">
        <v>1379</v>
      </c>
      <c r="I60" s="32"/>
      <c r="J60" s="32"/>
      <c r="K60" s="9">
        <v>-6.7920000000000007</v>
      </c>
      <c r="L60" s="9">
        <v>4</v>
      </c>
      <c r="M60" s="9">
        <v>1089</v>
      </c>
      <c r="O60" s="9">
        <v>3</v>
      </c>
      <c r="P60" s="9">
        <v>3</v>
      </c>
      <c r="Q60" s="9">
        <v>1909</v>
      </c>
      <c r="S60" s="9">
        <v>1378</v>
      </c>
      <c r="T60" s="31">
        <v>1379</v>
      </c>
      <c r="U60" s="9">
        <v>-1.1870000000000001</v>
      </c>
      <c r="V60" s="9">
        <v>2</v>
      </c>
      <c r="W60" s="9">
        <v>4</v>
      </c>
    </row>
    <row r="61" spans="1:23">
      <c r="A61">
        <v>1055</v>
      </c>
      <c r="B61">
        <v>5.6509999999999998</v>
      </c>
      <c r="D61" s="9">
        <v>-6.8009999999999993</v>
      </c>
      <c r="E61" s="9">
        <v>4</v>
      </c>
      <c r="F61" s="9">
        <v>3</v>
      </c>
      <c r="G61" s="9">
        <v>1381</v>
      </c>
      <c r="H61" s="31">
        <v>1384</v>
      </c>
      <c r="I61" s="32"/>
      <c r="J61" s="32"/>
      <c r="K61" s="9">
        <v>-6.6619999999999999</v>
      </c>
      <c r="L61" s="9">
        <v>4</v>
      </c>
      <c r="M61" s="9">
        <v>1841</v>
      </c>
      <c r="O61" s="9">
        <v>3</v>
      </c>
      <c r="P61" s="9">
        <v>2</v>
      </c>
      <c r="Q61" s="9">
        <v>1327</v>
      </c>
      <c r="S61" s="9">
        <v>1381</v>
      </c>
      <c r="T61" s="31">
        <v>1384</v>
      </c>
      <c r="U61" s="9">
        <v>-6.8009999999999993</v>
      </c>
      <c r="V61" s="9">
        <v>4</v>
      </c>
      <c r="W61" s="9">
        <v>3</v>
      </c>
    </row>
    <row r="62" spans="1:23">
      <c r="A62">
        <v>1056</v>
      </c>
      <c r="B62">
        <v>1.946</v>
      </c>
      <c r="D62" s="9">
        <v>-5.9559999999999995</v>
      </c>
      <c r="E62" s="9">
        <v>2</v>
      </c>
      <c r="F62" s="9">
        <v>5</v>
      </c>
      <c r="G62" s="9">
        <v>1386</v>
      </c>
      <c r="H62" s="31">
        <v>1387</v>
      </c>
      <c r="I62" s="32"/>
      <c r="J62" s="32"/>
      <c r="K62" s="9">
        <v>-6.6189999999999998</v>
      </c>
      <c r="L62" s="9">
        <v>5</v>
      </c>
      <c r="M62" s="9">
        <v>1805</v>
      </c>
      <c r="O62" s="9">
        <v>3</v>
      </c>
      <c r="P62" s="9">
        <v>2</v>
      </c>
      <c r="Q62" s="9">
        <v>998</v>
      </c>
      <c r="S62" s="9">
        <v>1386</v>
      </c>
      <c r="T62" s="31">
        <v>1387</v>
      </c>
      <c r="U62" s="9">
        <v>-5.9559999999999995</v>
      </c>
      <c r="V62" s="9">
        <v>2</v>
      </c>
      <c r="W62" s="9">
        <v>5</v>
      </c>
    </row>
    <row r="63" spans="1:23">
      <c r="A63">
        <v>1057</v>
      </c>
      <c r="B63">
        <v>-0.74</v>
      </c>
      <c r="D63" s="9">
        <v>-1.0029999999999999</v>
      </c>
      <c r="E63" s="9">
        <v>1</v>
      </c>
      <c r="F63" s="9">
        <v>4</v>
      </c>
      <c r="G63" s="9">
        <v>1390</v>
      </c>
      <c r="H63" s="31">
        <v>1390</v>
      </c>
      <c r="I63" s="32"/>
      <c r="J63" s="32"/>
      <c r="K63" s="9">
        <v>-6.5690000000000008</v>
      </c>
      <c r="L63" s="9">
        <v>2</v>
      </c>
      <c r="M63" s="9">
        <v>1736</v>
      </c>
      <c r="O63" s="9">
        <v>3</v>
      </c>
      <c r="P63" s="9">
        <v>5</v>
      </c>
      <c r="Q63" s="9">
        <v>1741</v>
      </c>
      <c r="S63" s="9">
        <v>1390</v>
      </c>
      <c r="T63" s="31">
        <v>1390</v>
      </c>
      <c r="U63" s="9">
        <v>-1.0029999999999999</v>
      </c>
      <c r="V63" s="9">
        <v>1</v>
      </c>
      <c r="W63" s="9">
        <v>4</v>
      </c>
    </row>
    <row r="64" spans="1:23">
      <c r="A64">
        <v>1058</v>
      </c>
      <c r="B64">
        <v>0.17599999999999999</v>
      </c>
      <c r="D64" s="9">
        <v>-1.5489999999999999</v>
      </c>
      <c r="E64" s="9">
        <v>2</v>
      </c>
      <c r="F64" s="9">
        <v>2</v>
      </c>
      <c r="G64" s="9">
        <v>1392</v>
      </c>
      <c r="H64" s="31">
        <v>1393</v>
      </c>
      <c r="I64" s="32"/>
      <c r="J64" s="32"/>
      <c r="K64" s="9">
        <v>-6.4770000000000003</v>
      </c>
      <c r="L64" s="9">
        <v>6</v>
      </c>
      <c r="M64" s="9">
        <v>1410</v>
      </c>
      <c r="O64" s="9">
        <v>3</v>
      </c>
      <c r="P64" s="9">
        <v>2</v>
      </c>
      <c r="Q64" s="9">
        <v>1736</v>
      </c>
      <c r="S64" s="9">
        <v>1392</v>
      </c>
      <c r="T64" s="31">
        <v>1393</v>
      </c>
      <c r="U64" s="9">
        <v>-1.5489999999999999</v>
      </c>
      <c r="V64" s="9">
        <v>2</v>
      </c>
      <c r="W64" s="9">
        <v>2</v>
      </c>
    </row>
    <row r="65" spans="1:23">
      <c r="A65">
        <v>1059</v>
      </c>
      <c r="B65">
        <v>2.2320000000000002</v>
      </c>
      <c r="D65" s="9">
        <v>-1.018</v>
      </c>
      <c r="E65" s="9">
        <v>1</v>
      </c>
      <c r="F65" s="9">
        <v>5</v>
      </c>
      <c r="G65" s="9">
        <v>1397</v>
      </c>
      <c r="H65" s="31">
        <v>1397</v>
      </c>
      <c r="I65" s="32"/>
      <c r="J65" s="32"/>
      <c r="K65" s="9">
        <v>-6.4750000000000005</v>
      </c>
      <c r="L65" s="9">
        <v>2</v>
      </c>
      <c r="M65" s="9">
        <v>1936</v>
      </c>
      <c r="O65" s="9">
        <v>3</v>
      </c>
      <c r="P65" s="9">
        <v>5</v>
      </c>
      <c r="Q65" s="9">
        <v>1374</v>
      </c>
      <c r="S65" s="9">
        <v>1397</v>
      </c>
      <c r="T65" s="31">
        <v>1397</v>
      </c>
      <c r="U65" s="9">
        <v>-1.018</v>
      </c>
      <c r="V65" s="9">
        <v>1</v>
      </c>
      <c r="W65" s="9">
        <v>5</v>
      </c>
    </row>
    <row r="66" spans="1:23">
      <c r="A66">
        <v>1060</v>
      </c>
      <c r="B66">
        <v>1.3819999999999999</v>
      </c>
      <c r="D66" s="9">
        <v>-2.246</v>
      </c>
      <c r="E66" s="9">
        <v>3</v>
      </c>
      <c r="F66" s="9">
        <v>3</v>
      </c>
      <c r="G66" s="9">
        <v>1400</v>
      </c>
      <c r="H66" s="31">
        <v>1402</v>
      </c>
      <c r="I66" s="32"/>
      <c r="J66" s="32"/>
      <c r="K66" s="9">
        <v>-6.444</v>
      </c>
      <c r="L66" s="9">
        <v>9</v>
      </c>
      <c r="M66" s="9">
        <v>1925</v>
      </c>
      <c r="O66" s="9">
        <v>3</v>
      </c>
      <c r="P66" s="9">
        <v>2</v>
      </c>
      <c r="Q66" s="9">
        <v>1625</v>
      </c>
      <c r="S66" s="9">
        <v>1400</v>
      </c>
      <c r="T66" s="31">
        <v>1402</v>
      </c>
      <c r="U66" s="9">
        <v>-2.246</v>
      </c>
      <c r="V66" s="9">
        <v>3</v>
      </c>
      <c r="W66" s="9">
        <v>3</v>
      </c>
    </row>
    <row r="67" spans="1:23">
      <c r="A67">
        <v>1061</v>
      </c>
      <c r="B67">
        <v>-3.0710000000000002</v>
      </c>
      <c r="D67" s="9">
        <v>-1.6</v>
      </c>
      <c r="E67" s="9">
        <v>2</v>
      </c>
      <c r="F67" s="9">
        <v>4</v>
      </c>
      <c r="G67" s="9">
        <v>1404</v>
      </c>
      <c r="H67" s="31">
        <v>1405</v>
      </c>
      <c r="I67" s="32"/>
      <c r="J67" s="32"/>
      <c r="K67" s="9">
        <v>-6.3220000000000001</v>
      </c>
      <c r="L67" s="9">
        <v>5</v>
      </c>
      <c r="M67" s="9">
        <v>1374</v>
      </c>
      <c r="O67" s="9">
        <v>3</v>
      </c>
      <c r="P67" s="9">
        <v>4</v>
      </c>
      <c r="Q67" s="9">
        <v>1287</v>
      </c>
      <c r="S67" s="9">
        <v>1404</v>
      </c>
      <c r="T67" s="31">
        <v>1405</v>
      </c>
      <c r="U67" s="9">
        <v>-1.6</v>
      </c>
      <c r="V67" s="9">
        <v>2</v>
      </c>
      <c r="W67" s="9">
        <v>4</v>
      </c>
    </row>
    <row r="68" spans="1:23">
      <c r="A68">
        <v>1062</v>
      </c>
      <c r="B68">
        <v>-3.6709999999999998</v>
      </c>
      <c r="D68" s="9">
        <v>-6.4770000000000003</v>
      </c>
      <c r="E68" s="9">
        <v>3</v>
      </c>
      <c r="F68" s="9">
        <v>6</v>
      </c>
      <c r="G68" s="9">
        <v>1410</v>
      </c>
      <c r="H68" s="31">
        <v>1412</v>
      </c>
      <c r="I68" s="32"/>
      <c r="J68" s="32"/>
      <c r="K68" s="9">
        <v>-6.2509999999999994</v>
      </c>
      <c r="L68" s="9">
        <v>5</v>
      </c>
      <c r="M68" s="9">
        <v>1630</v>
      </c>
      <c r="O68" s="9">
        <v>3</v>
      </c>
      <c r="P68" s="9">
        <v>5</v>
      </c>
      <c r="Q68" s="9">
        <v>1708</v>
      </c>
      <c r="S68" s="9">
        <v>1410</v>
      </c>
      <c r="T68" s="31">
        <v>1412</v>
      </c>
      <c r="U68" s="9">
        <v>-6.4770000000000003</v>
      </c>
      <c r="V68" s="9">
        <v>3</v>
      </c>
      <c r="W68" s="9">
        <v>6</v>
      </c>
    </row>
    <row r="69" spans="1:23">
      <c r="A69">
        <v>1063</v>
      </c>
      <c r="B69">
        <v>-2.3929999999999998</v>
      </c>
      <c r="D69" s="9">
        <v>-2.2959999999999998</v>
      </c>
      <c r="E69" s="9">
        <v>1</v>
      </c>
      <c r="F69" s="9">
        <v>5</v>
      </c>
      <c r="G69" s="9">
        <v>1415</v>
      </c>
      <c r="H69" s="31">
        <v>1415</v>
      </c>
      <c r="I69" s="32"/>
      <c r="J69" s="32"/>
      <c r="K69" s="9">
        <v>-6.0030000000000001</v>
      </c>
      <c r="L69" s="9">
        <v>4</v>
      </c>
      <c r="M69" s="9">
        <v>1103</v>
      </c>
      <c r="O69" s="9">
        <v>3</v>
      </c>
      <c r="P69" s="9">
        <v>5</v>
      </c>
      <c r="Q69" s="9">
        <v>1630</v>
      </c>
      <c r="S69" s="9">
        <v>1415</v>
      </c>
      <c r="T69" s="31">
        <v>1415</v>
      </c>
      <c r="U69" s="9">
        <v>-2.2959999999999998</v>
      </c>
      <c r="V69" s="9">
        <v>1</v>
      </c>
      <c r="W69" s="9">
        <v>5</v>
      </c>
    </row>
    <row r="70" spans="1:23">
      <c r="A70">
        <v>1064</v>
      </c>
      <c r="B70">
        <v>0.55300000000000005</v>
      </c>
      <c r="D70" s="9">
        <v>-1.544</v>
      </c>
      <c r="E70" s="9">
        <v>2</v>
      </c>
      <c r="F70" s="9">
        <v>3</v>
      </c>
      <c r="G70" s="9">
        <v>1418</v>
      </c>
      <c r="H70" s="31">
        <v>1419</v>
      </c>
      <c r="I70" s="32"/>
      <c r="J70" s="32"/>
      <c r="K70" s="9">
        <v>-5.9559999999999995</v>
      </c>
      <c r="L70" s="9">
        <v>5</v>
      </c>
      <c r="M70" s="9">
        <v>1386</v>
      </c>
      <c r="O70" s="9">
        <v>3</v>
      </c>
      <c r="P70" s="9">
        <v>9</v>
      </c>
      <c r="Q70" s="9">
        <v>1510</v>
      </c>
      <c r="S70" s="9">
        <v>1418</v>
      </c>
      <c r="T70" s="31">
        <v>1419</v>
      </c>
      <c r="U70" s="9">
        <v>-1.544</v>
      </c>
      <c r="V70" s="9">
        <v>2</v>
      </c>
      <c r="W70" s="9">
        <v>3</v>
      </c>
    </row>
    <row r="71" spans="1:23">
      <c r="A71">
        <v>1065</v>
      </c>
      <c r="B71">
        <v>1.724</v>
      </c>
      <c r="D71" s="9">
        <v>-7.1870000000000003</v>
      </c>
      <c r="E71" s="9">
        <v>2</v>
      </c>
      <c r="F71" s="9">
        <v>3</v>
      </c>
      <c r="G71" s="9">
        <v>1421</v>
      </c>
      <c r="H71" s="31">
        <v>1422</v>
      </c>
      <c r="I71" s="32"/>
      <c r="J71" s="32"/>
      <c r="K71" s="9">
        <v>-5.8360000000000003</v>
      </c>
      <c r="L71" s="9">
        <v>2</v>
      </c>
      <c r="M71" s="9">
        <v>1675</v>
      </c>
      <c r="O71" s="9">
        <v>3</v>
      </c>
      <c r="P71" s="9">
        <v>7</v>
      </c>
      <c r="Q71" s="9">
        <v>1542</v>
      </c>
      <c r="S71" s="9">
        <v>1421</v>
      </c>
      <c r="T71" s="31">
        <v>1422</v>
      </c>
      <c r="U71" s="9">
        <v>-7.1870000000000003</v>
      </c>
      <c r="V71" s="9">
        <v>2</v>
      </c>
      <c r="W71" s="9">
        <v>3</v>
      </c>
    </row>
    <row r="72" spans="1:23">
      <c r="A72">
        <v>1066</v>
      </c>
      <c r="B72">
        <v>-0.13200000000000001</v>
      </c>
      <c r="D72" s="9">
        <v>-3.948</v>
      </c>
      <c r="E72" s="9">
        <v>2</v>
      </c>
      <c r="F72" s="9">
        <v>3</v>
      </c>
      <c r="G72" s="9">
        <v>1424</v>
      </c>
      <c r="H72" s="31">
        <v>1425</v>
      </c>
      <c r="I72" s="32"/>
      <c r="J72" s="32"/>
      <c r="K72" s="9">
        <v>-5.76</v>
      </c>
      <c r="L72" s="9">
        <v>6</v>
      </c>
      <c r="M72" s="9">
        <v>1681</v>
      </c>
      <c r="O72" s="9">
        <v>3</v>
      </c>
      <c r="P72" s="9">
        <v>4</v>
      </c>
      <c r="Q72" s="9">
        <v>1514</v>
      </c>
      <c r="S72" s="9">
        <v>1424</v>
      </c>
      <c r="T72" s="31">
        <v>1425</v>
      </c>
      <c r="U72" s="9">
        <v>-3.948</v>
      </c>
      <c r="V72" s="9">
        <v>2</v>
      </c>
      <c r="W72" s="9">
        <v>3</v>
      </c>
    </row>
    <row r="73" spans="1:23">
      <c r="A73">
        <v>1067</v>
      </c>
      <c r="B73">
        <v>1.222</v>
      </c>
      <c r="D73" s="9">
        <v>-2.5219999999999998</v>
      </c>
      <c r="E73" s="9">
        <v>1</v>
      </c>
      <c r="F73" s="9">
        <v>3</v>
      </c>
      <c r="G73" s="9">
        <v>1427</v>
      </c>
      <c r="H73" s="31">
        <v>1427</v>
      </c>
      <c r="I73" s="32"/>
      <c r="J73" s="32"/>
      <c r="K73" s="9">
        <v>-5.7210000000000001</v>
      </c>
      <c r="L73" s="9">
        <v>3</v>
      </c>
      <c r="M73" s="9">
        <v>1524</v>
      </c>
      <c r="O73" s="9">
        <v>3</v>
      </c>
      <c r="P73" s="9">
        <v>10</v>
      </c>
      <c r="Q73" s="9">
        <v>1254</v>
      </c>
      <c r="S73" s="9">
        <v>1427</v>
      </c>
      <c r="T73" s="31">
        <v>1427</v>
      </c>
      <c r="U73" s="9">
        <v>-2.5219999999999998</v>
      </c>
      <c r="V73" s="9">
        <v>1</v>
      </c>
      <c r="W73" s="9">
        <v>3</v>
      </c>
    </row>
    <row r="74" spans="1:23">
      <c r="A74">
        <v>1068</v>
      </c>
      <c r="B74">
        <v>0.47499999999999998</v>
      </c>
      <c r="D74" s="9">
        <v>-2.8970000000000002</v>
      </c>
      <c r="E74" s="9">
        <v>2</v>
      </c>
      <c r="F74" s="9">
        <v>3</v>
      </c>
      <c r="G74" s="9">
        <v>1430</v>
      </c>
      <c r="H74" s="31">
        <v>1431</v>
      </c>
      <c r="I74" s="32"/>
      <c r="J74" s="32"/>
      <c r="K74" s="9">
        <v>-5.6079999999999997</v>
      </c>
      <c r="L74" s="9">
        <v>3</v>
      </c>
      <c r="M74" s="9">
        <v>1687</v>
      </c>
      <c r="O74" s="9">
        <v>3</v>
      </c>
      <c r="P74" s="9">
        <v>5</v>
      </c>
      <c r="Q74" s="9">
        <v>1315</v>
      </c>
      <c r="S74" s="9">
        <v>1430</v>
      </c>
      <c r="T74" s="31">
        <v>1431</v>
      </c>
      <c r="U74" s="9">
        <v>-2.8970000000000002</v>
      </c>
      <c r="V74" s="9">
        <v>2</v>
      </c>
      <c r="W74" s="9">
        <v>3</v>
      </c>
    </row>
    <row r="75" spans="1:23">
      <c r="A75">
        <v>1069</v>
      </c>
      <c r="B75">
        <v>-1.415</v>
      </c>
      <c r="D75" s="9">
        <v>-0.371</v>
      </c>
      <c r="E75" s="9">
        <v>1</v>
      </c>
      <c r="F75" s="9">
        <v>3</v>
      </c>
      <c r="G75" s="9">
        <v>1433</v>
      </c>
      <c r="H75" s="31">
        <v>1433</v>
      </c>
      <c r="I75" s="32"/>
      <c r="J75" s="32"/>
      <c r="K75" s="9">
        <v>-5.399</v>
      </c>
      <c r="L75" s="9">
        <v>5</v>
      </c>
      <c r="M75" s="9">
        <v>1971</v>
      </c>
      <c r="O75" s="9">
        <v>3</v>
      </c>
      <c r="P75" s="9">
        <v>5</v>
      </c>
      <c r="Q75" s="9">
        <v>1488</v>
      </c>
      <c r="S75" s="9">
        <v>1433</v>
      </c>
      <c r="T75" s="31">
        <v>1433</v>
      </c>
      <c r="U75" s="9">
        <v>-0.371</v>
      </c>
      <c r="V75" s="9">
        <v>1</v>
      </c>
      <c r="W75" s="9">
        <v>3</v>
      </c>
    </row>
    <row r="76" spans="1:23">
      <c r="A76">
        <v>1070</v>
      </c>
      <c r="B76">
        <v>-2.9000000000000001E-2</v>
      </c>
      <c r="D76" s="9">
        <v>-4.04</v>
      </c>
      <c r="E76" s="9">
        <v>2</v>
      </c>
      <c r="F76" s="9">
        <v>3</v>
      </c>
      <c r="G76" s="9">
        <v>1436</v>
      </c>
      <c r="H76" s="31">
        <v>1437</v>
      </c>
      <c r="I76" s="32"/>
      <c r="J76" s="32"/>
      <c r="K76" s="9">
        <v>-5.3760000000000003</v>
      </c>
      <c r="L76" s="9">
        <v>4</v>
      </c>
      <c r="M76" s="9">
        <v>1032</v>
      </c>
      <c r="O76" s="9">
        <v>3</v>
      </c>
      <c r="P76" s="9">
        <v>9</v>
      </c>
      <c r="Q76" s="9">
        <v>1345</v>
      </c>
      <c r="S76" s="9">
        <v>1436</v>
      </c>
      <c r="T76" s="31">
        <v>1437</v>
      </c>
      <c r="U76" s="9">
        <v>-4.04</v>
      </c>
      <c r="V76" s="9">
        <v>2</v>
      </c>
      <c r="W76" s="9">
        <v>3</v>
      </c>
    </row>
    <row r="77" spans="1:23">
      <c r="A77">
        <v>1071</v>
      </c>
      <c r="B77">
        <v>-1.8129999999999999</v>
      </c>
      <c r="D77" s="9">
        <v>-0.88600000000000001</v>
      </c>
      <c r="E77" s="9">
        <v>1</v>
      </c>
      <c r="F77" s="9">
        <v>4</v>
      </c>
      <c r="G77" s="9">
        <v>1440</v>
      </c>
      <c r="H77" s="31">
        <v>1440</v>
      </c>
      <c r="I77" s="32"/>
      <c r="J77" s="32"/>
      <c r="K77" s="9">
        <v>-5.176000000000001</v>
      </c>
      <c r="L77" s="9">
        <v>5</v>
      </c>
      <c r="M77" s="9">
        <v>1829</v>
      </c>
      <c r="O77" s="9">
        <v>3</v>
      </c>
      <c r="P77" s="9">
        <v>5</v>
      </c>
      <c r="Q77" s="9">
        <v>1590</v>
      </c>
      <c r="S77" s="9">
        <v>1440</v>
      </c>
      <c r="T77" s="31">
        <v>1440</v>
      </c>
      <c r="U77" s="9">
        <v>-0.88600000000000001</v>
      </c>
      <c r="V77" s="9">
        <v>1</v>
      </c>
      <c r="W77" s="9">
        <v>4</v>
      </c>
    </row>
    <row r="78" spans="1:23">
      <c r="A78">
        <v>1072</v>
      </c>
      <c r="B78">
        <v>-2.577</v>
      </c>
      <c r="D78" s="9">
        <v>-0.32400000000000001</v>
      </c>
      <c r="E78" s="9">
        <v>1</v>
      </c>
      <c r="F78" s="9">
        <v>2</v>
      </c>
      <c r="G78" s="9">
        <v>1442</v>
      </c>
      <c r="H78" s="31">
        <v>1442</v>
      </c>
      <c r="I78" s="32"/>
      <c r="J78" s="32"/>
      <c r="K78" s="9">
        <v>-5.0419999999999998</v>
      </c>
      <c r="L78" s="9">
        <v>2</v>
      </c>
      <c r="M78" s="9">
        <v>1901</v>
      </c>
      <c r="O78" s="9">
        <v>3</v>
      </c>
      <c r="P78" s="9">
        <v>7</v>
      </c>
      <c r="Q78" s="9">
        <v>1703</v>
      </c>
      <c r="S78" s="9">
        <v>1442</v>
      </c>
      <c r="T78" s="31">
        <v>1442</v>
      </c>
      <c r="U78" s="9">
        <v>-0.32400000000000001</v>
      </c>
      <c r="V78" s="9">
        <v>1</v>
      </c>
      <c r="W78" s="9">
        <v>2</v>
      </c>
    </row>
    <row r="79" spans="1:23">
      <c r="A79">
        <v>1073</v>
      </c>
      <c r="B79">
        <v>-3.4449999999999998</v>
      </c>
      <c r="D79" s="9">
        <v>-11.140999999999998</v>
      </c>
      <c r="E79" s="9">
        <v>4</v>
      </c>
      <c r="F79" s="9">
        <v>2</v>
      </c>
      <c r="G79" s="9">
        <v>1444</v>
      </c>
      <c r="H79" s="31">
        <v>1447</v>
      </c>
      <c r="I79" s="32"/>
      <c r="J79" s="32"/>
      <c r="K79" s="9">
        <v>-4.9399999999999995</v>
      </c>
      <c r="L79" s="9">
        <v>10</v>
      </c>
      <c r="M79" s="9">
        <v>1099</v>
      </c>
      <c r="O79" s="9">
        <v>2</v>
      </c>
      <c r="P79" s="9">
        <v>4</v>
      </c>
      <c r="Q79" s="9">
        <v>1378</v>
      </c>
      <c r="S79" s="9">
        <v>1444</v>
      </c>
      <c r="T79" s="31">
        <v>1447</v>
      </c>
      <c r="U79" s="9">
        <v>-11.140999999999998</v>
      </c>
      <c r="V79" s="9">
        <v>4</v>
      </c>
      <c r="W79" s="9">
        <v>2</v>
      </c>
    </row>
    <row r="80" spans="1:23">
      <c r="A80">
        <v>1074</v>
      </c>
      <c r="B80">
        <v>-2.5569999999999999</v>
      </c>
      <c r="D80" s="9">
        <v>-4.3209999999999997</v>
      </c>
      <c r="E80" s="9">
        <v>2</v>
      </c>
      <c r="F80" s="9">
        <v>6</v>
      </c>
      <c r="G80" s="9">
        <v>1450</v>
      </c>
      <c r="H80" s="31">
        <v>1451</v>
      </c>
      <c r="I80" s="32"/>
      <c r="J80" s="32"/>
      <c r="K80" s="9">
        <v>-4.8079999999999998</v>
      </c>
      <c r="L80" s="9">
        <v>2</v>
      </c>
      <c r="M80" s="9">
        <v>1360</v>
      </c>
      <c r="O80" s="9">
        <v>2</v>
      </c>
      <c r="P80" s="9">
        <v>3</v>
      </c>
      <c r="Q80" s="9">
        <v>1436</v>
      </c>
      <c r="S80" s="9">
        <v>1450</v>
      </c>
      <c r="T80" s="31">
        <v>1451</v>
      </c>
      <c r="U80" s="9">
        <v>-4.3209999999999997</v>
      </c>
      <c r="V80" s="9">
        <v>2</v>
      </c>
      <c r="W80" s="9">
        <v>6</v>
      </c>
    </row>
    <row r="81" spans="1:23">
      <c r="A81">
        <v>1075</v>
      </c>
      <c r="B81">
        <v>-0.71699999999999997</v>
      </c>
      <c r="D81" s="9">
        <v>-29.376999999999999</v>
      </c>
      <c r="E81" s="9">
        <v>11</v>
      </c>
      <c r="F81" s="9">
        <v>3</v>
      </c>
      <c r="G81" s="9">
        <v>1453</v>
      </c>
      <c r="H81" s="31">
        <v>1463</v>
      </c>
      <c r="I81" s="32"/>
      <c r="J81" s="32"/>
      <c r="K81" s="9">
        <v>-4.7089999999999996</v>
      </c>
      <c r="L81" s="9">
        <v>4</v>
      </c>
      <c r="M81" s="9">
        <v>1287</v>
      </c>
      <c r="O81" s="9">
        <v>2</v>
      </c>
      <c r="P81" s="9">
        <v>2</v>
      </c>
      <c r="Q81" s="9">
        <v>1901</v>
      </c>
      <c r="S81" s="9">
        <v>1453</v>
      </c>
      <c r="T81" s="31">
        <v>1463</v>
      </c>
      <c r="U81" s="9">
        <v>-29.376999999999999</v>
      </c>
      <c r="V81" s="9">
        <v>11</v>
      </c>
      <c r="W81" s="9">
        <v>3</v>
      </c>
    </row>
    <row r="82" spans="1:23">
      <c r="A82">
        <v>1076</v>
      </c>
      <c r="B82">
        <v>-0.254</v>
      </c>
      <c r="D82" s="9">
        <v>-11.721</v>
      </c>
      <c r="E82" s="9">
        <v>6</v>
      </c>
      <c r="F82" s="9">
        <v>15</v>
      </c>
      <c r="G82" s="9">
        <v>1468</v>
      </c>
      <c r="H82" s="31">
        <v>1473</v>
      </c>
      <c r="I82" s="32"/>
      <c r="J82" s="32"/>
      <c r="K82" s="9">
        <v>-4.6189999999999998</v>
      </c>
      <c r="L82" s="9">
        <v>5</v>
      </c>
      <c r="M82" s="9">
        <v>1560</v>
      </c>
      <c r="O82" s="9">
        <v>2</v>
      </c>
      <c r="P82" s="9">
        <v>3</v>
      </c>
      <c r="Q82" s="9">
        <v>1418</v>
      </c>
      <c r="S82" s="9">
        <v>1468</v>
      </c>
      <c r="T82" s="31">
        <v>1473</v>
      </c>
      <c r="U82" s="9">
        <v>-11.721</v>
      </c>
      <c r="V82" s="9">
        <v>6</v>
      </c>
      <c r="W82" s="9">
        <v>15</v>
      </c>
    </row>
    <row r="83" spans="1:23">
      <c r="A83">
        <v>1077</v>
      </c>
      <c r="B83">
        <v>-0.317</v>
      </c>
      <c r="D83" s="9">
        <v>-2.089</v>
      </c>
      <c r="E83" s="9">
        <v>1</v>
      </c>
      <c r="F83" s="9">
        <v>13</v>
      </c>
      <c r="G83" s="9">
        <v>1481</v>
      </c>
      <c r="H83" s="31">
        <v>1481</v>
      </c>
      <c r="I83" s="32"/>
      <c r="J83" s="32"/>
      <c r="K83" s="9">
        <v>-4.609</v>
      </c>
      <c r="L83" s="9">
        <v>2</v>
      </c>
      <c r="M83" s="9">
        <v>1963</v>
      </c>
      <c r="O83" s="9">
        <v>2</v>
      </c>
      <c r="P83" s="9">
        <v>4</v>
      </c>
      <c r="Q83" s="9">
        <v>1496</v>
      </c>
      <c r="S83" s="9">
        <v>1481</v>
      </c>
      <c r="T83" s="31">
        <v>1481</v>
      </c>
      <c r="U83" s="9">
        <v>-2.089</v>
      </c>
      <c r="V83" s="9">
        <v>1</v>
      </c>
      <c r="W83" s="9">
        <v>13</v>
      </c>
    </row>
    <row r="84" spans="1:23">
      <c r="A84">
        <v>1078</v>
      </c>
      <c r="B84">
        <v>-2.8319999999999999</v>
      </c>
      <c r="D84" s="9">
        <v>-7.0000000000000001E-3</v>
      </c>
      <c r="E84" s="9">
        <v>1</v>
      </c>
      <c r="F84" s="9">
        <v>2</v>
      </c>
      <c r="G84" s="9">
        <v>1483</v>
      </c>
      <c r="H84" s="31">
        <v>1483</v>
      </c>
      <c r="I84" s="32"/>
      <c r="J84" s="32"/>
      <c r="K84" s="9">
        <v>-4.5780000000000003</v>
      </c>
      <c r="L84" s="9">
        <v>3</v>
      </c>
      <c r="M84" s="9">
        <v>1684</v>
      </c>
      <c r="O84" s="9">
        <v>2</v>
      </c>
      <c r="P84" s="9">
        <v>3</v>
      </c>
      <c r="Q84" s="9">
        <v>1524</v>
      </c>
      <c r="S84" s="9">
        <v>1483</v>
      </c>
      <c r="T84" s="31">
        <v>1483</v>
      </c>
      <c r="U84" s="9">
        <v>-7.0000000000000001E-3</v>
      </c>
      <c r="V84" s="9">
        <v>1</v>
      </c>
      <c r="W84" s="9">
        <v>2</v>
      </c>
    </row>
    <row r="85" spans="1:23">
      <c r="A85">
        <v>1079</v>
      </c>
      <c r="B85">
        <v>-3.794</v>
      </c>
      <c r="D85" s="9">
        <v>-3.6629999999999998</v>
      </c>
      <c r="E85" s="9">
        <v>3</v>
      </c>
      <c r="F85" s="9">
        <v>5</v>
      </c>
      <c r="G85" s="9">
        <v>1488</v>
      </c>
      <c r="H85" s="31">
        <v>1490</v>
      </c>
      <c r="I85" s="32"/>
      <c r="J85" s="32"/>
      <c r="K85" s="9">
        <v>-4.5460000000000003</v>
      </c>
      <c r="L85" s="9">
        <v>9</v>
      </c>
      <c r="M85" s="9">
        <v>1192</v>
      </c>
      <c r="O85" s="9">
        <v>2</v>
      </c>
      <c r="P85" s="9">
        <v>2</v>
      </c>
      <c r="Q85" s="9">
        <v>1675</v>
      </c>
      <c r="S85" s="9">
        <v>1488</v>
      </c>
      <c r="T85" s="31">
        <v>1490</v>
      </c>
      <c r="U85" s="9">
        <v>-3.6629999999999998</v>
      </c>
      <c r="V85" s="9">
        <v>3</v>
      </c>
      <c r="W85" s="9">
        <v>5</v>
      </c>
    </row>
    <row r="86" spans="1:23">
      <c r="A86">
        <v>1080</v>
      </c>
      <c r="B86">
        <v>-3.782</v>
      </c>
      <c r="D86" s="9">
        <v>-8.9999999999999993E-3</v>
      </c>
      <c r="E86" s="9">
        <v>1</v>
      </c>
      <c r="F86" s="9">
        <v>4</v>
      </c>
      <c r="G86" s="9">
        <v>1492</v>
      </c>
      <c r="H86" s="31">
        <v>1492</v>
      </c>
      <c r="I86" s="32"/>
      <c r="J86" s="32"/>
      <c r="K86" s="9">
        <v>-4.4809999999999999</v>
      </c>
      <c r="L86" s="9">
        <v>16</v>
      </c>
      <c r="M86" s="9">
        <v>1085</v>
      </c>
      <c r="O86" s="9">
        <v>2</v>
      </c>
      <c r="P86" s="9">
        <v>6</v>
      </c>
      <c r="Q86" s="9">
        <v>1681</v>
      </c>
      <c r="S86" s="9">
        <v>1492</v>
      </c>
      <c r="T86" s="31">
        <v>1492</v>
      </c>
      <c r="U86" s="9">
        <v>-8.9999999999999993E-3</v>
      </c>
      <c r="V86" s="9">
        <v>1</v>
      </c>
      <c r="W86" s="9">
        <v>4</v>
      </c>
    </row>
    <row r="87" spans="1:23">
      <c r="A87">
        <v>1081</v>
      </c>
      <c r="B87">
        <v>-1.74</v>
      </c>
      <c r="D87" s="9">
        <v>-8.7859999999999996</v>
      </c>
      <c r="E87" s="9">
        <v>2</v>
      </c>
      <c r="F87" s="9">
        <v>4</v>
      </c>
      <c r="G87" s="9">
        <v>1496</v>
      </c>
      <c r="H87" s="31">
        <v>1497</v>
      </c>
      <c r="I87" s="32"/>
      <c r="J87" s="32"/>
      <c r="K87" s="9">
        <v>-4.476</v>
      </c>
      <c r="L87" s="9">
        <v>2</v>
      </c>
      <c r="M87" s="9">
        <v>1800</v>
      </c>
      <c r="O87" s="9">
        <v>2</v>
      </c>
      <c r="P87" s="9">
        <v>6</v>
      </c>
      <c r="Q87" s="9">
        <v>1450</v>
      </c>
      <c r="S87" s="9">
        <v>1496</v>
      </c>
      <c r="T87" s="31">
        <v>1497</v>
      </c>
      <c r="U87" s="9">
        <v>-8.7859999999999996</v>
      </c>
      <c r="V87" s="9">
        <v>2</v>
      </c>
      <c r="W87" s="9">
        <v>4</v>
      </c>
    </row>
    <row r="88" spans="1:23">
      <c r="A88">
        <v>1082</v>
      </c>
      <c r="B88">
        <v>-0.58699999999999997</v>
      </c>
      <c r="D88" s="9">
        <v>-12.855</v>
      </c>
      <c r="E88" s="9">
        <v>7</v>
      </c>
      <c r="F88" s="9">
        <v>5</v>
      </c>
      <c r="G88" s="9">
        <v>1501</v>
      </c>
      <c r="H88" s="31">
        <v>1507</v>
      </c>
      <c r="I88" s="32"/>
      <c r="J88" s="32"/>
      <c r="K88" s="9">
        <v>-4.4160000000000004</v>
      </c>
      <c r="L88" s="9">
        <v>3</v>
      </c>
      <c r="M88" s="9">
        <v>1909</v>
      </c>
      <c r="O88" s="9">
        <v>2</v>
      </c>
      <c r="P88" s="9">
        <v>5</v>
      </c>
      <c r="Q88" s="9">
        <v>1532</v>
      </c>
      <c r="S88" s="9">
        <v>1501</v>
      </c>
      <c r="T88" s="31">
        <v>1507</v>
      </c>
      <c r="U88" s="9">
        <v>-12.855</v>
      </c>
      <c r="V88" s="9">
        <v>7</v>
      </c>
      <c r="W88" s="9">
        <v>5</v>
      </c>
    </row>
    <row r="89" spans="1:23">
      <c r="A89">
        <v>1083</v>
      </c>
      <c r="B89">
        <v>1.5309999999999999</v>
      </c>
      <c r="D89" s="9">
        <v>-6.7930000000000001</v>
      </c>
      <c r="E89" s="9">
        <v>3</v>
      </c>
      <c r="F89" s="9">
        <v>9</v>
      </c>
      <c r="G89" s="9">
        <v>1510</v>
      </c>
      <c r="H89" s="31">
        <v>1512</v>
      </c>
      <c r="I89" s="32"/>
      <c r="J89" s="32"/>
      <c r="K89" s="9">
        <v>-4.3209999999999997</v>
      </c>
      <c r="L89" s="9">
        <v>6</v>
      </c>
      <c r="M89" s="9">
        <v>1450</v>
      </c>
      <c r="O89" s="9">
        <v>2</v>
      </c>
      <c r="P89" s="9">
        <v>2</v>
      </c>
      <c r="Q89" s="9">
        <v>1260</v>
      </c>
      <c r="S89" s="9">
        <v>1510</v>
      </c>
      <c r="T89" s="31">
        <v>1512</v>
      </c>
      <c r="U89" s="9">
        <v>-6.7930000000000001</v>
      </c>
      <c r="V89" s="9">
        <v>3</v>
      </c>
      <c r="W89" s="9">
        <v>9</v>
      </c>
    </row>
    <row r="90" spans="1:23">
      <c r="A90">
        <v>1084</v>
      </c>
      <c r="B90">
        <v>1.1539999999999999</v>
      </c>
      <c r="D90" s="9">
        <v>-1.2210000000000001</v>
      </c>
      <c r="E90" s="9">
        <v>3</v>
      </c>
      <c r="F90" s="9">
        <v>4</v>
      </c>
      <c r="G90" s="9">
        <v>1514</v>
      </c>
      <c r="H90" s="31">
        <v>1516</v>
      </c>
      <c r="I90" s="32"/>
      <c r="J90" s="32"/>
      <c r="K90" s="9">
        <v>-4.2449999999999992</v>
      </c>
      <c r="L90" s="9">
        <v>4</v>
      </c>
      <c r="M90" s="9">
        <v>1845</v>
      </c>
      <c r="O90" s="9">
        <v>2</v>
      </c>
      <c r="P90" s="9">
        <v>3</v>
      </c>
      <c r="Q90" s="9">
        <v>1421</v>
      </c>
      <c r="S90" s="9">
        <v>1514</v>
      </c>
      <c r="T90" s="31">
        <v>1516</v>
      </c>
      <c r="U90" s="9">
        <v>-1.2210000000000001</v>
      </c>
      <c r="V90" s="9">
        <v>3</v>
      </c>
      <c r="W90" s="9">
        <v>4</v>
      </c>
    </row>
    <row r="91" spans="1:23">
      <c r="A91">
        <v>1085</v>
      </c>
      <c r="B91">
        <v>-1.756</v>
      </c>
      <c r="D91" s="9">
        <v>-0.78500000000000003</v>
      </c>
      <c r="E91" s="9">
        <v>1</v>
      </c>
      <c r="F91" s="9">
        <v>4</v>
      </c>
      <c r="G91" s="9">
        <v>1518</v>
      </c>
      <c r="H91" s="31">
        <v>1518</v>
      </c>
      <c r="I91" s="32"/>
      <c r="J91" s="32"/>
      <c r="K91" s="9">
        <v>-4.101</v>
      </c>
      <c r="L91" s="9">
        <v>2</v>
      </c>
      <c r="M91" s="9">
        <v>1998</v>
      </c>
      <c r="O91" s="9">
        <v>2</v>
      </c>
      <c r="P91" s="9">
        <v>5</v>
      </c>
      <c r="Q91" s="9">
        <v>1386</v>
      </c>
      <c r="S91" s="9">
        <v>1518</v>
      </c>
      <c r="T91" s="31">
        <v>1518</v>
      </c>
      <c r="U91" s="9">
        <v>-0.78500000000000003</v>
      </c>
      <c r="V91" s="9">
        <v>1</v>
      </c>
      <c r="W91" s="9">
        <v>4</v>
      </c>
    </row>
    <row r="92" spans="1:23">
      <c r="A92">
        <v>1086</v>
      </c>
      <c r="B92">
        <v>-2.7250000000000001</v>
      </c>
      <c r="D92" s="9">
        <v>-0.42</v>
      </c>
      <c r="E92" s="9">
        <v>1</v>
      </c>
      <c r="F92" s="9">
        <v>3</v>
      </c>
      <c r="G92" s="9">
        <v>1521</v>
      </c>
      <c r="H92" s="31">
        <v>1521</v>
      </c>
      <c r="I92" s="32"/>
      <c r="J92" s="32"/>
      <c r="K92" s="9">
        <v>-4.0890000000000004</v>
      </c>
      <c r="L92" s="9">
        <v>2</v>
      </c>
      <c r="M92" s="9">
        <v>1654</v>
      </c>
      <c r="O92" s="9">
        <v>2</v>
      </c>
      <c r="P92" s="9">
        <v>5</v>
      </c>
      <c r="Q92" s="9">
        <v>1560</v>
      </c>
      <c r="S92" s="9">
        <v>1521</v>
      </c>
      <c r="T92" s="31">
        <v>1521</v>
      </c>
      <c r="U92" s="9">
        <v>-0.42</v>
      </c>
      <c r="V92" s="9">
        <v>1</v>
      </c>
      <c r="W92" s="9">
        <v>3</v>
      </c>
    </row>
    <row r="93" spans="1:23">
      <c r="A93">
        <v>1087</v>
      </c>
      <c r="B93">
        <v>0.95399999999999996</v>
      </c>
      <c r="D93" s="9">
        <v>-5.7210000000000001</v>
      </c>
      <c r="E93" s="9">
        <v>2</v>
      </c>
      <c r="F93" s="9">
        <v>3</v>
      </c>
      <c r="G93" s="9">
        <v>1524</v>
      </c>
      <c r="H93" s="31">
        <v>1525</v>
      </c>
      <c r="I93" s="32"/>
      <c r="J93" s="32"/>
      <c r="K93" s="9">
        <v>-4.0609999999999999</v>
      </c>
      <c r="L93" s="9">
        <v>4</v>
      </c>
      <c r="M93" s="9">
        <v>1319</v>
      </c>
      <c r="O93" s="9">
        <v>2</v>
      </c>
      <c r="P93" s="9">
        <v>8</v>
      </c>
      <c r="Q93" s="9">
        <v>1555</v>
      </c>
      <c r="S93" s="9">
        <v>1524</v>
      </c>
      <c r="T93" s="31">
        <v>1525</v>
      </c>
      <c r="U93" s="9">
        <v>-5.7210000000000001</v>
      </c>
      <c r="V93" s="9">
        <v>2</v>
      </c>
      <c r="W93" s="9">
        <v>3</v>
      </c>
    </row>
    <row r="94" spans="1:23">
      <c r="A94">
        <v>1088</v>
      </c>
      <c r="B94">
        <v>0.86199999999999999</v>
      </c>
      <c r="D94" s="9">
        <v>-7.4380000000000006</v>
      </c>
      <c r="E94" s="9">
        <v>4</v>
      </c>
      <c r="F94" s="9">
        <v>3</v>
      </c>
      <c r="G94" s="9">
        <v>1527</v>
      </c>
      <c r="H94" s="31">
        <v>1530</v>
      </c>
      <c r="I94" s="32"/>
      <c r="J94" s="32"/>
      <c r="K94" s="9">
        <v>-4.04</v>
      </c>
      <c r="L94" s="9">
        <v>3</v>
      </c>
      <c r="M94" s="9">
        <v>1436</v>
      </c>
      <c r="O94" s="9">
        <v>2</v>
      </c>
      <c r="P94" s="9">
        <v>4</v>
      </c>
      <c r="Q94" s="9">
        <v>1103</v>
      </c>
      <c r="S94" s="9">
        <v>1527</v>
      </c>
      <c r="T94" s="31">
        <v>1530</v>
      </c>
      <c r="U94" s="9">
        <v>-7.4380000000000006</v>
      </c>
      <c r="V94" s="9">
        <v>4</v>
      </c>
      <c r="W94" s="9">
        <v>3</v>
      </c>
    </row>
    <row r="95" spans="1:23">
      <c r="A95">
        <v>1089</v>
      </c>
      <c r="B95">
        <v>-2.9710000000000001</v>
      </c>
      <c r="D95" s="9">
        <v>-3.9689999999999999</v>
      </c>
      <c r="E95" s="9">
        <v>2</v>
      </c>
      <c r="F95" s="9">
        <v>5</v>
      </c>
      <c r="G95" s="9">
        <v>1532</v>
      </c>
      <c r="H95" s="31">
        <v>1533</v>
      </c>
      <c r="I95" s="32"/>
      <c r="J95" s="32"/>
      <c r="K95" s="9">
        <v>-3.9689999999999999</v>
      </c>
      <c r="L95" s="9">
        <v>5</v>
      </c>
      <c r="M95" s="9">
        <v>1532</v>
      </c>
      <c r="O95" s="9">
        <v>2</v>
      </c>
      <c r="P95" s="9">
        <v>3</v>
      </c>
      <c r="Q95" s="9">
        <v>1430</v>
      </c>
      <c r="S95" s="9">
        <v>1532</v>
      </c>
      <c r="T95" s="31">
        <v>1533</v>
      </c>
      <c r="U95" s="9">
        <v>-3.9689999999999999</v>
      </c>
      <c r="V95" s="9">
        <v>2</v>
      </c>
      <c r="W95" s="9">
        <v>5</v>
      </c>
    </row>
    <row r="96" spans="1:23">
      <c r="A96">
        <v>1090</v>
      </c>
      <c r="B96">
        <v>-2.734</v>
      </c>
      <c r="D96" s="9">
        <v>-1.7729999999999999</v>
      </c>
      <c r="E96" s="9">
        <v>1</v>
      </c>
      <c r="F96" s="9">
        <v>3</v>
      </c>
      <c r="G96" s="9">
        <v>1535</v>
      </c>
      <c r="H96" s="31">
        <v>1535</v>
      </c>
      <c r="I96" s="32"/>
      <c r="J96" s="32"/>
      <c r="K96" s="9">
        <v>-3.95</v>
      </c>
      <c r="L96" s="9">
        <v>2</v>
      </c>
      <c r="M96" s="9">
        <v>1824</v>
      </c>
      <c r="O96" s="9">
        <v>2</v>
      </c>
      <c r="P96" s="9">
        <v>2</v>
      </c>
      <c r="Q96" s="9">
        <v>1360</v>
      </c>
      <c r="S96" s="9">
        <v>1535</v>
      </c>
      <c r="T96" s="31">
        <v>1535</v>
      </c>
      <c r="U96" s="9">
        <v>-1.7729999999999999</v>
      </c>
      <c r="V96" s="9">
        <v>1</v>
      </c>
      <c r="W96" s="9">
        <v>3</v>
      </c>
    </row>
    <row r="97" spans="1:23">
      <c r="A97">
        <v>1091</v>
      </c>
      <c r="B97">
        <v>-0.56200000000000006</v>
      </c>
      <c r="D97" s="9">
        <v>-8.8390000000000004</v>
      </c>
      <c r="E97" s="9">
        <v>3</v>
      </c>
      <c r="F97" s="9">
        <v>7</v>
      </c>
      <c r="G97" s="9">
        <v>1542</v>
      </c>
      <c r="H97" s="31">
        <v>1544</v>
      </c>
      <c r="I97" s="32"/>
      <c r="J97" s="32"/>
      <c r="K97" s="9">
        <v>-3.948</v>
      </c>
      <c r="L97" s="9">
        <v>3</v>
      </c>
      <c r="M97" s="9">
        <v>1424</v>
      </c>
      <c r="O97" s="9">
        <v>2</v>
      </c>
      <c r="P97" s="9">
        <v>3</v>
      </c>
      <c r="Q97" s="9">
        <v>1424</v>
      </c>
      <c r="S97" s="9">
        <v>1542</v>
      </c>
      <c r="T97" s="31">
        <v>1544</v>
      </c>
      <c r="U97" s="9">
        <v>-8.8390000000000004</v>
      </c>
      <c r="V97" s="9">
        <v>3</v>
      </c>
      <c r="W97" s="9">
        <v>7</v>
      </c>
    </row>
    <row r="98" spans="1:23">
      <c r="A98">
        <v>1092</v>
      </c>
      <c r="B98">
        <v>-0.52500000000000002</v>
      </c>
      <c r="D98" s="9">
        <v>-0.375</v>
      </c>
      <c r="E98" s="9">
        <v>1</v>
      </c>
      <c r="F98" s="9">
        <v>5</v>
      </c>
      <c r="G98" s="9">
        <v>1547</v>
      </c>
      <c r="H98" s="31">
        <v>1547</v>
      </c>
      <c r="I98" s="32"/>
      <c r="J98" s="32"/>
      <c r="K98" s="9">
        <v>-3.8689999999999998</v>
      </c>
      <c r="L98" s="9">
        <v>5</v>
      </c>
      <c r="M98" s="9">
        <v>1741</v>
      </c>
      <c r="O98" s="9">
        <v>2</v>
      </c>
      <c r="P98" s="9">
        <v>2</v>
      </c>
      <c r="Q98" s="9">
        <v>1392</v>
      </c>
      <c r="S98" s="9">
        <v>1547</v>
      </c>
      <c r="T98" s="31">
        <v>1547</v>
      </c>
      <c r="U98" s="9">
        <v>-0.375</v>
      </c>
      <c r="V98" s="9">
        <v>1</v>
      </c>
      <c r="W98" s="9">
        <v>5</v>
      </c>
    </row>
    <row r="99" spans="1:23">
      <c r="A99">
        <v>1093</v>
      </c>
      <c r="B99">
        <v>0.32800000000000001</v>
      </c>
      <c r="D99" s="9">
        <v>-1.752</v>
      </c>
      <c r="E99" s="9">
        <v>2</v>
      </c>
      <c r="F99" s="9">
        <v>8</v>
      </c>
      <c r="G99" s="9">
        <v>1555</v>
      </c>
      <c r="H99" s="31">
        <v>1556</v>
      </c>
      <c r="I99" s="32"/>
      <c r="J99" s="32"/>
      <c r="K99" s="9">
        <v>-3.6629999999999998</v>
      </c>
      <c r="L99" s="9">
        <v>5</v>
      </c>
      <c r="M99" s="9">
        <v>1488</v>
      </c>
      <c r="O99" s="9">
        <v>2</v>
      </c>
      <c r="P99" s="9">
        <v>8</v>
      </c>
      <c r="Q99" s="9">
        <v>1028</v>
      </c>
      <c r="S99" s="9">
        <v>1555</v>
      </c>
      <c r="T99" s="31">
        <v>1556</v>
      </c>
      <c r="U99" s="9">
        <v>-1.752</v>
      </c>
      <c r="V99" s="9">
        <v>2</v>
      </c>
      <c r="W99" s="9">
        <v>8</v>
      </c>
    </row>
    <row r="100" spans="1:23">
      <c r="A100">
        <v>1094</v>
      </c>
      <c r="B100">
        <v>2.246</v>
      </c>
      <c r="D100" s="9">
        <v>-4.6189999999999998</v>
      </c>
      <c r="E100" s="9">
        <v>2</v>
      </c>
      <c r="F100" s="9">
        <v>5</v>
      </c>
      <c r="G100" s="9">
        <v>1560</v>
      </c>
      <c r="H100" s="31">
        <v>1561</v>
      </c>
      <c r="I100" s="32"/>
      <c r="J100" s="32"/>
      <c r="K100" s="9">
        <v>-3.6399999999999997</v>
      </c>
      <c r="L100" s="9">
        <v>5</v>
      </c>
      <c r="M100" s="9">
        <v>1296</v>
      </c>
      <c r="O100" s="9">
        <v>2</v>
      </c>
      <c r="P100" s="9">
        <v>4</v>
      </c>
      <c r="Q100" s="9">
        <v>1581</v>
      </c>
      <c r="S100" s="9">
        <v>1560</v>
      </c>
      <c r="T100" s="31">
        <v>1561</v>
      </c>
      <c r="U100" s="9">
        <v>-4.6189999999999998</v>
      </c>
      <c r="V100" s="9">
        <v>2</v>
      </c>
      <c r="W100" s="9">
        <v>5</v>
      </c>
    </row>
    <row r="101" spans="1:23">
      <c r="A101">
        <v>1095</v>
      </c>
      <c r="B101">
        <v>2.2709999999999999</v>
      </c>
      <c r="D101" s="9">
        <v>-0.56100000000000005</v>
      </c>
      <c r="E101" s="9">
        <v>1</v>
      </c>
      <c r="F101" s="9">
        <v>3</v>
      </c>
      <c r="G101" s="9">
        <v>1563</v>
      </c>
      <c r="H101" s="31">
        <v>1563</v>
      </c>
      <c r="I101" s="32"/>
      <c r="J101" s="32"/>
      <c r="K101" s="9">
        <v>-3.613</v>
      </c>
      <c r="L101" s="9">
        <v>4</v>
      </c>
      <c r="M101" s="9">
        <v>1670</v>
      </c>
      <c r="O101" s="9">
        <v>2</v>
      </c>
      <c r="P101" s="9">
        <v>2</v>
      </c>
      <c r="Q101" s="9">
        <v>1658</v>
      </c>
      <c r="S101" s="9">
        <v>1563</v>
      </c>
      <c r="T101" s="31">
        <v>1563</v>
      </c>
      <c r="U101" s="9">
        <v>-0.56100000000000005</v>
      </c>
      <c r="V101" s="9">
        <v>1</v>
      </c>
      <c r="W101" s="9">
        <v>3</v>
      </c>
    </row>
    <row r="102" spans="1:23">
      <c r="A102">
        <v>1096</v>
      </c>
      <c r="B102">
        <v>1.1479999999999999</v>
      </c>
      <c r="D102" s="9">
        <v>-15.485000000000001</v>
      </c>
      <c r="E102" s="9">
        <v>9</v>
      </c>
      <c r="F102" s="9">
        <v>3</v>
      </c>
      <c r="G102" s="9">
        <v>1566</v>
      </c>
      <c r="H102" s="31">
        <v>1574</v>
      </c>
      <c r="I102" s="32"/>
      <c r="J102" s="32"/>
      <c r="K102" s="9">
        <v>-3.5939999999999999</v>
      </c>
      <c r="L102" s="9">
        <v>5</v>
      </c>
      <c r="M102" s="9">
        <v>1708</v>
      </c>
      <c r="O102" s="9">
        <v>2</v>
      </c>
      <c r="P102" s="9">
        <v>5</v>
      </c>
      <c r="Q102" s="9">
        <v>1971</v>
      </c>
      <c r="S102" s="9">
        <v>1566</v>
      </c>
      <c r="T102" s="31">
        <v>1574</v>
      </c>
      <c r="U102" s="9">
        <v>-15.485000000000001</v>
      </c>
      <c r="V102" s="9">
        <v>9</v>
      </c>
      <c r="W102" s="9">
        <v>3</v>
      </c>
    </row>
    <row r="103" spans="1:23">
      <c r="A103">
        <v>1097</v>
      </c>
      <c r="B103">
        <v>2.9079999999999999</v>
      </c>
      <c r="D103" s="9">
        <v>-3.2069999999999999</v>
      </c>
      <c r="E103" s="9">
        <v>1</v>
      </c>
      <c r="F103" s="9">
        <v>11</v>
      </c>
      <c r="G103" s="9">
        <v>1577</v>
      </c>
      <c r="H103" s="31">
        <v>1577</v>
      </c>
      <c r="I103" s="32"/>
      <c r="J103" s="32"/>
      <c r="K103" s="9">
        <v>-3.556</v>
      </c>
      <c r="L103" s="9">
        <v>11</v>
      </c>
      <c r="M103" s="9">
        <v>1608</v>
      </c>
      <c r="O103" s="9">
        <v>2</v>
      </c>
      <c r="P103" s="9">
        <v>2</v>
      </c>
      <c r="Q103" s="9">
        <v>1618</v>
      </c>
      <c r="S103" s="9">
        <v>1577</v>
      </c>
      <c r="T103" s="31">
        <v>1577</v>
      </c>
      <c r="U103" s="9">
        <v>-3.2069999999999999</v>
      </c>
      <c r="V103" s="9">
        <v>1</v>
      </c>
      <c r="W103" s="9">
        <v>11</v>
      </c>
    </row>
    <row r="104" spans="1:23">
      <c r="A104">
        <v>1098</v>
      </c>
      <c r="B104">
        <v>1.079</v>
      </c>
      <c r="D104" s="9">
        <v>-1.4239999999999999</v>
      </c>
      <c r="E104" s="9">
        <v>2</v>
      </c>
      <c r="F104" s="9">
        <v>4</v>
      </c>
      <c r="G104" s="9">
        <v>1581</v>
      </c>
      <c r="H104" s="31">
        <v>1582</v>
      </c>
      <c r="I104" s="32"/>
      <c r="J104" s="32"/>
      <c r="K104" s="9">
        <v>-3.367</v>
      </c>
      <c r="L104" s="9">
        <v>3</v>
      </c>
      <c r="M104" s="9">
        <v>1819</v>
      </c>
      <c r="O104" s="9">
        <v>2</v>
      </c>
      <c r="P104" s="9">
        <v>5</v>
      </c>
      <c r="Q104" s="9">
        <v>1296</v>
      </c>
      <c r="S104" s="9">
        <v>1581</v>
      </c>
      <c r="T104" s="31">
        <v>1582</v>
      </c>
      <c r="U104" s="9">
        <v>-1.4239999999999999</v>
      </c>
      <c r="V104" s="9">
        <v>2</v>
      </c>
      <c r="W104" s="9">
        <v>4</v>
      </c>
    </row>
    <row r="105" spans="1:23">
      <c r="A105">
        <v>1099</v>
      </c>
      <c r="B105">
        <v>-2.423</v>
      </c>
      <c r="D105" s="9">
        <v>-0.36</v>
      </c>
      <c r="E105" s="9">
        <v>1</v>
      </c>
      <c r="F105" s="9">
        <v>4</v>
      </c>
      <c r="G105" s="9">
        <v>1585</v>
      </c>
      <c r="H105" s="31">
        <v>1585</v>
      </c>
      <c r="I105" s="32"/>
      <c r="J105" s="32"/>
      <c r="K105" s="9">
        <v>-3.3540000000000001</v>
      </c>
      <c r="L105" s="9">
        <v>3</v>
      </c>
      <c r="M105" s="9">
        <v>1966</v>
      </c>
      <c r="O105" s="9">
        <v>2</v>
      </c>
      <c r="P105" s="9">
        <v>3</v>
      </c>
      <c r="Q105" s="9">
        <v>1966</v>
      </c>
      <c r="S105" s="9">
        <v>1585</v>
      </c>
      <c r="T105" s="31">
        <v>1585</v>
      </c>
      <c r="U105" s="9">
        <v>-0.36</v>
      </c>
      <c r="V105" s="9">
        <v>1</v>
      </c>
      <c r="W105" s="9">
        <v>4</v>
      </c>
    </row>
    <row r="106" spans="1:23">
      <c r="A106">
        <v>1100</v>
      </c>
      <c r="B106">
        <v>-1.8149999999999999</v>
      </c>
      <c r="D106" s="9">
        <v>-2.6970000000000001</v>
      </c>
      <c r="E106" s="9">
        <v>3</v>
      </c>
      <c r="F106" s="9">
        <v>5</v>
      </c>
      <c r="G106" s="9">
        <v>1590</v>
      </c>
      <c r="H106" s="31">
        <v>1592</v>
      </c>
      <c r="I106" s="32"/>
      <c r="J106" s="32"/>
      <c r="K106" s="9">
        <v>-3.3260000000000001</v>
      </c>
      <c r="L106" s="9">
        <v>2</v>
      </c>
      <c r="M106" s="9">
        <v>1724</v>
      </c>
      <c r="O106" s="9">
        <v>2</v>
      </c>
      <c r="P106" s="9">
        <v>2</v>
      </c>
      <c r="Q106" s="9">
        <v>1963</v>
      </c>
      <c r="S106" s="9">
        <v>1590</v>
      </c>
      <c r="T106" s="31">
        <v>1592</v>
      </c>
      <c r="U106" s="9">
        <v>-2.6970000000000001</v>
      </c>
      <c r="V106" s="9">
        <v>3</v>
      </c>
      <c r="W106" s="9">
        <v>5</v>
      </c>
    </row>
    <row r="107" spans="1:23">
      <c r="A107">
        <v>1101</v>
      </c>
      <c r="B107">
        <v>-0.70199999999999996</v>
      </c>
      <c r="D107" s="9">
        <v>-1.6839999999999999</v>
      </c>
      <c r="E107" s="9">
        <v>1</v>
      </c>
      <c r="F107" s="9">
        <v>5</v>
      </c>
      <c r="G107" s="9">
        <v>1595</v>
      </c>
      <c r="H107" s="31">
        <v>1595</v>
      </c>
      <c r="I107" s="32"/>
      <c r="J107" s="32"/>
      <c r="K107" s="9">
        <v>-3.258</v>
      </c>
      <c r="L107" s="9">
        <v>3</v>
      </c>
      <c r="M107" s="9">
        <v>1822</v>
      </c>
      <c r="O107" s="9">
        <v>2</v>
      </c>
      <c r="P107" s="9">
        <v>4</v>
      </c>
      <c r="Q107" s="9">
        <v>1319</v>
      </c>
      <c r="S107" s="9">
        <v>1595</v>
      </c>
      <c r="T107" s="31">
        <v>1595</v>
      </c>
      <c r="U107" s="9">
        <v>-1.6839999999999999</v>
      </c>
      <c r="V107" s="9">
        <v>1</v>
      </c>
      <c r="W107" s="9">
        <v>5</v>
      </c>
    </row>
    <row r="108" spans="1:23">
      <c r="A108">
        <v>1102</v>
      </c>
      <c r="B108">
        <v>0.77800000000000002</v>
      </c>
      <c r="D108" s="9">
        <v>-9.7409999999999997</v>
      </c>
      <c r="E108" s="9">
        <v>5</v>
      </c>
      <c r="F108" s="9">
        <v>2</v>
      </c>
      <c r="G108" s="9">
        <v>1597</v>
      </c>
      <c r="H108" s="31">
        <v>1601</v>
      </c>
      <c r="I108" s="32"/>
      <c r="J108" s="32"/>
      <c r="K108" s="9">
        <v>-3.234</v>
      </c>
      <c r="L108" s="9">
        <v>9</v>
      </c>
      <c r="M108" s="9">
        <v>1269</v>
      </c>
      <c r="O108" s="9">
        <v>2</v>
      </c>
      <c r="P108" s="9">
        <v>9</v>
      </c>
      <c r="Q108" s="9">
        <v>1269</v>
      </c>
      <c r="S108" s="9">
        <v>1597</v>
      </c>
      <c r="T108" s="31">
        <v>1601</v>
      </c>
      <c r="U108" s="9">
        <v>-9.7409999999999997</v>
      </c>
      <c r="V108" s="9">
        <v>5</v>
      </c>
      <c r="W108" s="9">
        <v>2</v>
      </c>
    </row>
    <row r="109" spans="1:23">
      <c r="A109">
        <v>1103</v>
      </c>
      <c r="B109">
        <v>-1.2829999999999999</v>
      </c>
      <c r="D109" s="9">
        <v>-3.556</v>
      </c>
      <c r="E109" s="9">
        <v>1</v>
      </c>
      <c r="F109" s="9">
        <v>11</v>
      </c>
      <c r="G109" s="9">
        <v>1608</v>
      </c>
      <c r="H109" s="31">
        <v>1608</v>
      </c>
      <c r="I109" s="32"/>
      <c r="J109" s="32"/>
      <c r="K109" s="9">
        <v>-3.2069999999999999</v>
      </c>
      <c r="L109" s="9">
        <v>11</v>
      </c>
      <c r="M109" s="9">
        <v>1577</v>
      </c>
      <c r="O109" s="9">
        <v>2</v>
      </c>
      <c r="P109" s="9">
        <v>3</v>
      </c>
      <c r="Q109" s="9">
        <v>1819</v>
      </c>
      <c r="S109" s="9">
        <v>1608</v>
      </c>
      <c r="T109" s="31">
        <v>1608</v>
      </c>
      <c r="U109" s="9">
        <v>-3.556</v>
      </c>
      <c r="V109" s="9">
        <v>1</v>
      </c>
      <c r="W109" s="9">
        <v>11</v>
      </c>
    </row>
    <row r="110" spans="1:23">
      <c r="A110">
        <v>1104</v>
      </c>
      <c r="B110">
        <v>-4.72</v>
      </c>
      <c r="D110" s="9">
        <v>-0.61199999999999999</v>
      </c>
      <c r="E110" s="9">
        <v>1</v>
      </c>
      <c r="F110" s="9">
        <v>8</v>
      </c>
      <c r="G110" s="9">
        <v>1616</v>
      </c>
      <c r="H110" s="31">
        <v>1616</v>
      </c>
      <c r="I110" s="32"/>
      <c r="J110" s="32"/>
      <c r="K110" s="9">
        <v>-3.09</v>
      </c>
      <c r="L110" s="9">
        <v>2</v>
      </c>
      <c r="M110" s="9">
        <v>1618</v>
      </c>
      <c r="O110" s="9">
        <v>2</v>
      </c>
      <c r="P110" s="9">
        <v>7</v>
      </c>
      <c r="Q110" s="9">
        <v>1886</v>
      </c>
      <c r="S110" s="9">
        <v>1616</v>
      </c>
      <c r="T110" s="31">
        <v>1616</v>
      </c>
      <c r="U110" s="9">
        <v>-0.61199999999999999</v>
      </c>
      <c r="V110" s="9">
        <v>1</v>
      </c>
      <c r="W110" s="9">
        <v>8</v>
      </c>
    </row>
    <row r="111" spans="1:23">
      <c r="A111">
        <v>1105</v>
      </c>
      <c r="B111">
        <v>0.39500000000000002</v>
      </c>
      <c r="D111" s="9">
        <v>-3.09</v>
      </c>
      <c r="E111" s="9">
        <v>2</v>
      </c>
      <c r="F111" s="9">
        <v>2</v>
      </c>
      <c r="G111" s="9">
        <v>1618</v>
      </c>
      <c r="H111" s="31">
        <v>1619</v>
      </c>
      <c r="I111" s="32"/>
      <c r="J111" s="32"/>
      <c r="K111" s="9">
        <v>-2.992</v>
      </c>
      <c r="L111" s="9">
        <v>2</v>
      </c>
      <c r="M111" s="9">
        <v>1327</v>
      </c>
      <c r="O111" s="9">
        <v>2</v>
      </c>
      <c r="P111" s="9">
        <v>4</v>
      </c>
      <c r="Q111" s="9">
        <v>1841</v>
      </c>
      <c r="S111" s="9">
        <v>1618</v>
      </c>
      <c r="T111" s="31">
        <v>1619</v>
      </c>
      <c r="U111" s="9">
        <v>-3.09</v>
      </c>
      <c r="V111" s="9">
        <v>2</v>
      </c>
      <c r="W111" s="9">
        <v>2</v>
      </c>
    </row>
    <row r="112" spans="1:23">
      <c r="A112">
        <v>1106</v>
      </c>
      <c r="B112">
        <v>4.8899999999999997</v>
      </c>
      <c r="D112" s="9">
        <v>-1.859</v>
      </c>
      <c r="E112" s="9">
        <v>1</v>
      </c>
      <c r="F112" s="9">
        <v>5</v>
      </c>
      <c r="G112" s="9">
        <v>1623</v>
      </c>
      <c r="H112" s="31">
        <v>1623</v>
      </c>
      <c r="I112" s="32"/>
      <c r="J112" s="32"/>
      <c r="K112" s="9">
        <v>-2.8970000000000002</v>
      </c>
      <c r="L112" s="9">
        <v>3</v>
      </c>
      <c r="M112" s="9">
        <v>1430</v>
      </c>
      <c r="O112" s="9">
        <v>2</v>
      </c>
      <c r="P112" s="9">
        <v>4</v>
      </c>
      <c r="Q112" s="9">
        <v>1404</v>
      </c>
      <c r="S112" s="9">
        <v>1623</v>
      </c>
      <c r="T112" s="31">
        <v>1623</v>
      </c>
      <c r="U112" s="9">
        <v>-1.859</v>
      </c>
      <c r="V112" s="9">
        <v>1</v>
      </c>
      <c r="W112" s="9">
        <v>5</v>
      </c>
    </row>
    <row r="113" spans="1:23">
      <c r="A113">
        <v>1107</v>
      </c>
      <c r="B113">
        <v>-0.28299999999999997</v>
      </c>
      <c r="D113" s="9">
        <v>-8.8049999999999997</v>
      </c>
      <c r="E113" s="9">
        <v>3</v>
      </c>
      <c r="F113" s="9">
        <v>2</v>
      </c>
      <c r="G113" s="9">
        <v>1625</v>
      </c>
      <c r="H113" s="31">
        <v>1627</v>
      </c>
      <c r="I113" s="32"/>
      <c r="J113" s="32"/>
      <c r="K113" s="9">
        <v>-2.8530000000000002</v>
      </c>
      <c r="L113" s="9">
        <v>5</v>
      </c>
      <c r="M113" s="9">
        <v>1879</v>
      </c>
      <c r="O113" s="9">
        <v>2</v>
      </c>
      <c r="P113" s="9">
        <v>3</v>
      </c>
      <c r="Q113" s="9">
        <v>1684</v>
      </c>
      <c r="S113" s="9">
        <v>1625</v>
      </c>
      <c r="T113" s="31">
        <v>1627</v>
      </c>
      <c r="U113" s="9">
        <v>-8.8049999999999997</v>
      </c>
      <c r="V113" s="9">
        <v>3</v>
      </c>
      <c r="W113" s="9">
        <v>2</v>
      </c>
    </row>
    <row r="114" spans="1:23">
      <c r="A114">
        <v>1108</v>
      </c>
      <c r="B114">
        <v>-2.9470000000000001</v>
      </c>
      <c r="D114" s="9">
        <v>-6.2509999999999994</v>
      </c>
      <c r="E114" s="9">
        <v>3</v>
      </c>
      <c r="F114" s="9">
        <v>5</v>
      </c>
      <c r="G114" s="9">
        <v>1630</v>
      </c>
      <c r="H114" s="31">
        <v>1632</v>
      </c>
      <c r="I114" s="32"/>
      <c r="J114" s="32"/>
      <c r="K114" s="9">
        <v>-2.8179999999999996</v>
      </c>
      <c r="L114" s="9">
        <v>2</v>
      </c>
      <c r="M114" s="9">
        <v>1837</v>
      </c>
      <c r="O114" s="9">
        <v>2</v>
      </c>
      <c r="P114" s="9">
        <v>5</v>
      </c>
      <c r="Q114" s="9">
        <v>1805</v>
      </c>
      <c r="S114" s="9">
        <v>1630</v>
      </c>
      <c r="T114" s="31">
        <v>1632</v>
      </c>
      <c r="U114" s="9">
        <v>-6.2509999999999994</v>
      </c>
      <c r="V114" s="9">
        <v>3</v>
      </c>
      <c r="W114" s="9">
        <v>5</v>
      </c>
    </row>
    <row r="115" spans="1:23">
      <c r="A115">
        <v>1109</v>
      </c>
      <c r="B115">
        <v>-2.1539999999999999</v>
      </c>
      <c r="D115" s="9">
        <v>-1.4259999999999999</v>
      </c>
      <c r="E115" s="9">
        <v>1</v>
      </c>
      <c r="F115" s="9">
        <v>8</v>
      </c>
      <c r="G115" s="9">
        <v>1638</v>
      </c>
      <c r="H115" s="31">
        <v>1638</v>
      </c>
      <c r="I115" s="32"/>
      <c r="J115" s="32"/>
      <c r="K115" s="9">
        <v>-2.6970000000000001</v>
      </c>
      <c r="L115" s="9">
        <v>5</v>
      </c>
      <c r="M115" s="9">
        <v>1590</v>
      </c>
      <c r="O115" s="9">
        <v>2</v>
      </c>
      <c r="P115" s="9">
        <v>5</v>
      </c>
      <c r="Q115" s="9">
        <v>1879</v>
      </c>
      <c r="S115" s="9">
        <v>1638</v>
      </c>
      <c r="T115" s="31">
        <v>1638</v>
      </c>
      <c r="U115" s="9">
        <v>-1.4259999999999999</v>
      </c>
      <c r="V115" s="9">
        <v>1</v>
      </c>
      <c r="W115" s="9">
        <v>8</v>
      </c>
    </row>
    <row r="116" spans="1:23">
      <c r="A116">
        <v>1110</v>
      </c>
      <c r="B116">
        <v>-2.2210000000000001</v>
      </c>
      <c r="D116" s="9">
        <v>-14.693999999999999</v>
      </c>
      <c r="E116" s="9">
        <v>8</v>
      </c>
      <c r="F116" s="9">
        <v>3</v>
      </c>
      <c r="G116" s="9">
        <v>1641</v>
      </c>
      <c r="H116" s="31">
        <v>1648</v>
      </c>
      <c r="I116" s="32"/>
      <c r="J116" s="32"/>
      <c r="K116" s="9">
        <v>-2.673</v>
      </c>
      <c r="L116" s="9">
        <v>3</v>
      </c>
      <c r="M116" s="9">
        <v>1934</v>
      </c>
      <c r="O116" s="9">
        <v>2</v>
      </c>
      <c r="P116" s="9">
        <v>16</v>
      </c>
      <c r="Q116" s="9">
        <v>1085</v>
      </c>
      <c r="S116" s="9">
        <v>1641</v>
      </c>
      <c r="T116" s="31">
        <v>1648</v>
      </c>
      <c r="U116" s="9">
        <v>-14.693999999999999</v>
      </c>
      <c r="V116" s="9">
        <v>8</v>
      </c>
      <c r="W116" s="9">
        <v>3</v>
      </c>
    </row>
    <row r="117" spans="1:23">
      <c r="A117">
        <v>1111</v>
      </c>
      <c r="B117">
        <v>-2.843</v>
      </c>
      <c r="D117" s="9">
        <v>-0.91900000000000004</v>
      </c>
      <c r="E117" s="9">
        <v>1</v>
      </c>
      <c r="F117" s="9">
        <v>11</v>
      </c>
      <c r="G117" s="9">
        <v>1652</v>
      </c>
      <c r="H117" s="31">
        <v>1652</v>
      </c>
      <c r="I117" s="32"/>
      <c r="J117" s="32"/>
      <c r="K117" s="9">
        <v>-2.5219999999999998</v>
      </c>
      <c r="L117" s="9">
        <v>3</v>
      </c>
      <c r="M117" s="9">
        <v>1427</v>
      </c>
      <c r="O117" s="9">
        <v>2</v>
      </c>
      <c r="P117" s="9">
        <v>2</v>
      </c>
      <c r="Q117" s="9">
        <v>1724</v>
      </c>
      <c r="S117" s="9">
        <v>1652</v>
      </c>
      <c r="T117" s="31">
        <v>1652</v>
      </c>
      <c r="U117" s="9">
        <v>-0.91900000000000004</v>
      </c>
      <c r="V117" s="9">
        <v>1</v>
      </c>
      <c r="W117" s="9">
        <v>11</v>
      </c>
    </row>
    <row r="118" spans="1:23">
      <c r="A118">
        <v>1112</v>
      </c>
      <c r="B118">
        <v>-1.796</v>
      </c>
      <c r="D118" s="9">
        <v>-4.0890000000000004</v>
      </c>
      <c r="E118" s="9">
        <v>1</v>
      </c>
      <c r="F118" s="9">
        <v>2</v>
      </c>
      <c r="G118" s="9">
        <v>1654</v>
      </c>
      <c r="H118" s="31">
        <v>1654</v>
      </c>
      <c r="I118" s="32"/>
      <c r="J118" s="32"/>
      <c r="K118" s="9">
        <v>-2.4350000000000001</v>
      </c>
      <c r="L118" s="9">
        <v>4</v>
      </c>
      <c r="M118" s="9">
        <v>1978</v>
      </c>
      <c r="O118" s="9">
        <v>2</v>
      </c>
      <c r="P118" s="9">
        <v>2</v>
      </c>
      <c r="Q118" s="9">
        <v>1800</v>
      </c>
      <c r="S118" s="9">
        <v>1654</v>
      </c>
      <c r="T118" s="31">
        <v>1654</v>
      </c>
      <c r="U118" s="9">
        <v>-4.0890000000000004</v>
      </c>
      <c r="V118" s="9">
        <v>1</v>
      </c>
      <c r="W118" s="9">
        <v>2</v>
      </c>
    </row>
    <row r="119" spans="1:23">
      <c r="A119">
        <v>1113</v>
      </c>
      <c r="B119">
        <v>3.3879999999999999</v>
      </c>
      <c r="D119" s="9">
        <v>-0.74299999999999999</v>
      </c>
      <c r="E119" s="9">
        <v>1</v>
      </c>
      <c r="F119" s="9">
        <v>2</v>
      </c>
      <c r="G119" s="9">
        <v>1656</v>
      </c>
      <c r="H119" s="31">
        <v>1656</v>
      </c>
      <c r="I119" s="32"/>
      <c r="J119" s="32"/>
      <c r="K119" s="9">
        <v>-2.3149999999999999</v>
      </c>
      <c r="L119" s="9">
        <v>9</v>
      </c>
      <c r="M119" s="9">
        <v>1358</v>
      </c>
      <c r="O119" s="9">
        <v>2</v>
      </c>
      <c r="P119" s="9">
        <v>5</v>
      </c>
      <c r="Q119" s="9">
        <v>1785</v>
      </c>
      <c r="S119" s="9">
        <v>1656</v>
      </c>
      <c r="T119" s="31">
        <v>1656</v>
      </c>
      <c r="U119" s="9">
        <v>-0.74299999999999999</v>
      </c>
      <c r="V119" s="9">
        <v>1</v>
      </c>
      <c r="W119" s="9">
        <v>2</v>
      </c>
    </row>
    <row r="120" spans="1:23">
      <c r="A120">
        <v>1114</v>
      </c>
      <c r="B120">
        <v>1.613</v>
      </c>
      <c r="D120" s="9">
        <v>-2.1860000000000004</v>
      </c>
      <c r="E120" s="9">
        <v>2</v>
      </c>
      <c r="F120" s="9">
        <v>2</v>
      </c>
      <c r="G120" s="9">
        <v>1658</v>
      </c>
      <c r="H120" s="31">
        <v>1659</v>
      </c>
      <c r="I120" s="32"/>
      <c r="J120" s="32"/>
      <c r="K120" s="9">
        <v>-2.2959999999999998</v>
      </c>
      <c r="L120" s="9">
        <v>5</v>
      </c>
      <c r="M120" s="9">
        <v>1415</v>
      </c>
      <c r="O120" s="9">
        <v>1</v>
      </c>
      <c r="P120" s="9">
        <v>5</v>
      </c>
      <c r="Q120" s="9">
        <v>1623</v>
      </c>
      <c r="S120" s="9">
        <v>1658</v>
      </c>
      <c r="T120" s="31">
        <v>1659</v>
      </c>
      <c r="U120" s="9">
        <v>-2.1860000000000004</v>
      </c>
      <c r="V120" s="9">
        <v>2</v>
      </c>
      <c r="W120" s="9">
        <v>2</v>
      </c>
    </row>
    <row r="121" spans="1:23">
      <c r="A121">
        <v>1115</v>
      </c>
      <c r="B121">
        <v>-3.3740000000000001</v>
      </c>
      <c r="D121" s="9">
        <v>-0.312</v>
      </c>
      <c r="E121" s="9">
        <v>1</v>
      </c>
      <c r="F121" s="9">
        <v>3</v>
      </c>
      <c r="G121" s="9">
        <v>1661</v>
      </c>
      <c r="H121" s="31">
        <v>1661</v>
      </c>
      <c r="I121" s="32"/>
      <c r="J121" s="32"/>
      <c r="K121" s="9">
        <v>-2.2650000000000001</v>
      </c>
      <c r="L121" s="9">
        <v>15</v>
      </c>
      <c r="M121" s="9">
        <v>1874</v>
      </c>
      <c r="O121" s="9">
        <v>1</v>
      </c>
      <c r="P121" s="9">
        <v>6</v>
      </c>
      <c r="Q121" s="9">
        <v>1931</v>
      </c>
      <c r="S121" s="9">
        <v>1661</v>
      </c>
      <c r="T121" s="31">
        <v>1661</v>
      </c>
      <c r="U121" s="9">
        <v>-0.312</v>
      </c>
      <c r="V121" s="9">
        <v>1</v>
      </c>
      <c r="W121" s="9">
        <v>3</v>
      </c>
    </row>
    <row r="122" spans="1:23">
      <c r="A122">
        <v>1116</v>
      </c>
      <c r="B122">
        <v>-1.65</v>
      </c>
      <c r="D122" s="9">
        <v>-1.623</v>
      </c>
      <c r="E122" s="9">
        <v>1</v>
      </c>
      <c r="F122" s="9">
        <v>3</v>
      </c>
      <c r="G122" s="9">
        <v>1664</v>
      </c>
      <c r="H122" s="31">
        <v>1664</v>
      </c>
      <c r="I122" s="32"/>
      <c r="J122" s="32"/>
      <c r="K122" s="9">
        <v>-2.246</v>
      </c>
      <c r="L122" s="9">
        <v>3</v>
      </c>
      <c r="M122" s="9">
        <v>1400</v>
      </c>
      <c r="O122" s="9">
        <v>1</v>
      </c>
      <c r="P122" s="9">
        <v>4</v>
      </c>
      <c r="Q122" s="9">
        <v>1585</v>
      </c>
      <c r="S122" s="9">
        <v>1664</v>
      </c>
      <c r="T122" s="31">
        <v>1664</v>
      </c>
      <c r="U122" s="9">
        <v>-1.623</v>
      </c>
      <c r="V122" s="9">
        <v>1</v>
      </c>
      <c r="W122" s="9">
        <v>3</v>
      </c>
    </row>
    <row r="123" spans="1:23">
      <c r="A123">
        <v>1117</v>
      </c>
      <c r="B123">
        <v>-1.4319999999999999</v>
      </c>
      <c r="D123" s="9">
        <v>-0.629</v>
      </c>
      <c r="E123" s="9">
        <v>1</v>
      </c>
      <c r="F123" s="9">
        <v>2</v>
      </c>
      <c r="G123" s="9">
        <v>1666</v>
      </c>
      <c r="H123" s="31">
        <v>1666</v>
      </c>
      <c r="I123" s="32"/>
      <c r="J123" s="32"/>
      <c r="K123" s="9">
        <v>-2.1860000000000004</v>
      </c>
      <c r="L123" s="9">
        <v>2</v>
      </c>
      <c r="M123" s="9">
        <v>1658</v>
      </c>
      <c r="O123" s="9">
        <v>1</v>
      </c>
      <c r="P123" s="9">
        <v>11</v>
      </c>
      <c r="Q123" s="9">
        <v>1577</v>
      </c>
      <c r="S123" s="9">
        <v>1666</v>
      </c>
      <c r="T123" s="31">
        <v>1666</v>
      </c>
      <c r="U123" s="9">
        <v>-0.629</v>
      </c>
      <c r="V123" s="9">
        <v>1</v>
      </c>
      <c r="W123" s="9">
        <v>2</v>
      </c>
    </row>
    <row r="124" spans="1:23">
      <c r="A124">
        <v>1118</v>
      </c>
      <c r="B124">
        <v>-1.706</v>
      </c>
      <c r="D124" s="9">
        <v>-3.613</v>
      </c>
      <c r="E124" s="9">
        <v>1</v>
      </c>
      <c r="F124" s="9">
        <v>4</v>
      </c>
      <c r="G124" s="9">
        <v>1670</v>
      </c>
      <c r="H124" s="31">
        <v>1670</v>
      </c>
      <c r="I124" s="32"/>
      <c r="J124" s="32"/>
      <c r="K124" s="9">
        <v>-2.089</v>
      </c>
      <c r="L124" s="9">
        <v>13</v>
      </c>
      <c r="M124" s="9">
        <v>1481</v>
      </c>
      <c r="O124" s="9">
        <v>1</v>
      </c>
      <c r="P124" s="9">
        <v>4</v>
      </c>
      <c r="Q124" s="9">
        <v>1518</v>
      </c>
      <c r="S124" s="9">
        <v>1670</v>
      </c>
      <c r="T124" s="31">
        <v>1670</v>
      </c>
      <c r="U124" s="9">
        <v>-3.613</v>
      </c>
      <c r="V124" s="9">
        <v>1</v>
      </c>
      <c r="W124" s="9">
        <v>4</v>
      </c>
    </row>
    <row r="125" spans="1:23">
      <c r="A125">
        <v>1119</v>
      </c>
      <c r="B125">
        <v>-0.83899999999999997</v>
      </c>
      <c r="D125" s="9">
        <v>-0.59799999999999998</v>
      </c>
      <c r="E125" s="9">
        <v>1</v>
      </c>
      <c r="F125" s="9">
        <v>3</v>
      </c>
      <c r="G125" s="9">
        <v>1673</v>
      </c>
      <c r="H125" s="31">
        <v>1673</v>
      </c>
      <c r="I125" s="32"/>
      <c r="J125" s="32"/>
      <c r="K125" s="9">
        <v>-2.0619999999999998</v>
      </c>
      <c r="L125" s="9">
        <v>4</v>
      </c>
      <c r="M125" s="9">
        <v>1984</v>
      </c>
      <c r="O125" s="9">
        <v>1</v>
      </c>
      <c r="P125" s="9">
        <v>4</v>
      </c>
      <c r="Q125" s="9">
        <v>1492</v>
      </c>
      <c r="S125" s="9">
        <v>1673</v>
      </c>
      <c r="T125" s="31">
        <v>1673</v>
      </c>
      <c r="U125" s="9">
        <v>-0.59799999999999998</v>
      </c>
      <c r="V125" s="9">
        <v>1</v>
      </c>
      <c r="W125" s="9">
        <v>3</v>
      </c>
    </row>
    <row r="126" spans="1:23">
      <c r="A126">
        <v>1120</v>
      </c>
      <c r="B126">
        <v>6.4000000000000001E-2</v>
      </c>
      <c r="D126" s="9">
        <v>-5.8360000000000003</v>
      </c>
      <c r="E126" s="9">
        <v>2</v>
      </c>
      <c r="F126" s="9">
        <v>2</v>
      </c>
      <c r="G126" s="9">
        <v>1675</v>
      </c>
      <c r="H126" s="31">
        <v>1676</v>
      </c>
      <c r="I126" s="32"/>
      <c r="J126" s="32"/>
      <c r="K126" s="9">
        <v>-1.9140000000000001</v>
      </c>
      <c r="L126" s="9">
        <v>8</v>
      </c>
      <c r="M126" s="9">
        <v>1028</v>
      </c>
      <c r="O126" s="9">
        <v>1</v>
      </c>
      <c r="P126" s="9">
        <v>3</v>
      </c>
      <c r="Q126" s="9">
        <v>1563</v>
      </c>
      <c r="S126" s="9">
        <v>1675</v>
      </c>
      <c r="T126" s="31">
        <v>1676</v>
      </c>
      <c r="U126" s="9">
        <v>-5.8360000000000003</v>
      </c>
      <c r="V126" s="9">
        <v>2</v>
      </c>
      <c r="W126" s="9">
        <v>2</v>
      </c>
    </row>
    <row r="127" spans="1:23">
      <c r="A127">
        <v>1121</v>
      </c>
      <c r="B127">
        <v>-2.3420000000000001</v>
      </c>
      <c r="D127" s="9">
        <v>-5.76</v>
      </c>
      <c r="E127" s="9">
        <v>2</v>
      </c>
      <c r="F127" s="9">
        <v>6</v>
      </c>
      <c r="G127" s="9">
        <v>1681</v>
      </c>
      <c r="H127" s="31">
        <v>1682</v>
      </c>
      <c r="I127" s="32"/>
      <c r="J127" s="32"/>
      <c r="K127" s="9">
        <v>-1.911</v>
      </c>
      <c r="L127" s="9">
        <v>3</v>
      </c>
      <c r="M127" s="9">
        <v>1808</v>
      </c>
      <c r="O127" s="9">
        <v>1</v>
      </c>
      <c r="P127" s="9">
        <v>3</v>
      </c>
      <c r="Q127" s="9">
        <v>1427</v>
      </c>
      <c r="S127" s="9">
        <v>1681</v>
      </c>
      <c r="T127" s="31">
        <v>1682</v>
      </c>
      <c r="U127" s="9">
        <v>-5.76</v>
      </c>
      <c r="V127" s="9">
        <v>2</v>
      </c>
      <c r="W127" s="9">
        <v>6</v>
      </c>
    </row>
    <row r="128" spans="1:23">
      <c r="A128">
        <v>1122</v>
      </c>
      <c r="B128">
        <v>-1.024</v>
      </c>
      <c r="D128" s="9">
        <v>-4.5780000000000003</v>
      </c>
      <c r="E128" s="9">
        <v>2</v>
      </c>
      <c r="F128" s="9">
        <v>3</v>
      </c>
      <c r="G128" s="9">
        <v>1684</v>
      </c>
      <c r="H128" s="31">
        <v>1685</v>
      </c>
      <c r="I128" s="32"/>
      <c r="J128" s="32"/>
      <c r="K128" s="9">
        <v>-1.8660000000000001</v>
      </c>
      <c r="L128" s="9">
        <v>9</v>
      </c>
      <c r="M128" s="9">
        <v>1336</v>
      </c>
      <c r="O128" s="9">
        <v>1</v>
      </c>
      <c r="P128" s="9">
        <v>5</v>
      </c>
      <c r="Q128" s="9">
        <v>1415</v>
      </c>
      <c r="S128" s="9">
        <v>1684</v>
      </c>
      <c r="T128" s="31">
        <v>1685</v>
      </c>
      <c r="U128" s="9">
        <v>-4.5780000000000003</v>
      </c>
      <c r="V128" s="9">
        <v>2</v>
      </c>
      <c r="W128" s="9">
        <v>3</v>
      </c>
    </row>
    <row r="129" spans="1:23">
      <c r="A129">
        <v>1123</v>
      </c>
      <c r="B129">
        <v>-0.70899999999999996</v>
      </c>
      <c r="D129" s="9">
        <v>-5.6079999999999997</v>
      </c>
      <c r="E129" s="9">
        <v>5</v>
      </c>
      <c r="F129" s="9">
        <v>3</v>
      </c>
      <c r="G129" s="9">
        <v>1687</v>
      </c>
      <c r="H129" s="31">
        <v>1691</v>
      </c>
      <c r="I129" s="32"/>
      <c r="J129" s="32"/>
      <c r="K129" s="9">
        <v>-1.859</v>
      </c>
      <c r="L129" s="9">
        <v>5</v>
      </c>
      <c r="M129" s="9">
        <v>1623</v>
      </c>
      <c r="O129" s="9">
        <v>1</v>
      </c>
      <c r="P129" s="9">
        <v>5</v>
      </c>
      <c r="Q129" s="9">
        <v>1547</v>
      </c>
      <c r="S129" s="9">
        <v>1687</v>
      </c>
      <c r="T129" s="31">
        <v>1691</v>
      </c>
      <c r="U129" s="9">
        <v>-5.6079999999999997</v>
      </c>
      <c r="V129" s="9">
        <v>5</v>
      </c>
      <c r="W129" s="9">
        <v>3</v>
      </c>
    </row>
    <row r="130" spans="1:23">
      <c r="A130">
        <v>1124</v>
      </c>
      <c r="B130">
        <v>-3.516</v>
      </c>
      <c r="D130" s="9">
        <v>-0.14599999999999999</v>
      </c>
      <c r="E130" s="9">
        <v>1</v>
      </c>
      <c r="F130" s="9">
        <v>6</v>
      </c>
      <c r="G130" s="9">
        <v>1693</v>
      </c>
      <c r="H130" s="31">
        <v>1693</v>
      </c>
      <c r="I130" s="32"/>
      <c r="J130" s="32"/>
      <c r="K130" s="9">
        <v>-1.7729999999999999</v>
      </c>
      <c r="L130" s="9">
        <v>3</v>
      </c>
      <c r="M130" s="9">
        <v>1535</v>
      </c>
      <c r="O130" s="9">
        <v>1</v>
      </c>
      <c r="P130" s="9">
        <v>3</v>
      </c>
      <c r="Q130" s="9">
        <v>1433</v>
      </c>
      <c r="S130" s="9">
        <v>1693</v>
      </c>
      <c r="T130" s="31">
        <v>1693</v>
      </c>
      <c r="U130" s="9">
        <v>-0.14599999999999999</v>
      </c>
      <c r="V130" s="9">
        <v>1</v>
      </c>
      <c r="W130" s="9">
        <v>6</v>
      </c>
    </row>
    <row r="131" spans="1:23">
      <c r="A131">
        <v>1125</v>
      </c>
      <c r="B131">
        <v>-3.3410000000000002</v>
      </c>
      <c r="D131" s="9">
        <v>-7.0190000000000001</v>
      </c>
      <c r="E131" s="9">
        <v>4</v>
      </c>
      <c r="F131" s="9">
        <v>3</v>
      </c>
      <c r="G131" s="9">
        <v>1696</v>
      </c>
      <c r="H131" s="31">
        <v>1699</v>
      </c>
      <c r="I131" s="32"/>
      <c r="J131" s="32"/>
      <c r="K131" s="9">
        <v>-1.752</v>
      </c>
      <c r="L131" s="9">
        <v>8</v>
      </c>
      <c r="M131" s="9">
        <v>1555</v>
      </c>
      <c r="O131" s="9">
        <v>1</v>
      </c>
      <c r="P131" s="9">
        <v>2</v>
      </c>
      <c r="Q131" s="9">
        <v>1906</v>
      </c>
      <c r="S131" s="9">
        <v>1696</v>
      </c>
      <c r="T131" s="31">
        <v>1699</v>
      </c>
      <c r="U131" s="9">
        <v>-7.0190000000000001</v>
      </c>
      <c r="V131" s="9">
        <v>4</v>
      </c>
      <c r="W131" s="9">
        <v>3</v>
      </c>
    </row>
    <row r="132" spans="1:23">
      <c r="A132">
        <v>1126</v>
      </c>
      <c r="B132">
        <v>-2.2530000000000001</v>
      </c>
      <c r="D132" s="9">
        <v>-7.8360000000000003</v>
      </c>
      <c r="E132" s="9">
        <v>3</v>
      </c>
      <c r="F132" s="9">
        <v>7</v>
      </c>
      <c r="G132" s="9">
        <v>1703</v>
      </c>
      <c r="H132" s="31">
        <v>1705</v>
      </c>
      <c r="I132" s="32"/>
      <c r="J132" s="32"/>
      <c r="K132" s="9">
        <v>-1.7250000000000001</v>
      </c>
      <c r="L132" s="9">
        <v>5</v>
      </c>
      <c r="M132" s="9">
        <v>1279</v>
      </c>
      <c r="O132" s="9">
        <v>1</v>
      </c>
      <c r="P132" s="9">
        <v>8</v>
      </c>
      <c r="Q132" s="9">
        <v>1959</v>
      </c>
      <c r="S132" s="9">
        <v>1703</v>
      </c>
      <c r="T132" s="31">
        <v>1705</v>
      </c>
      <c r="U132" s="9">
        <v>-7.8360000000000003</v>
      </c>
      <c r="V132" s="9">
        <v>3</v>
      </c>
      <c r="W132" s="9">
        <v>7</v>
      </c>
    </row>
    <row r="133" spans="1:23">
      <c r="A133">
        <v>1127</v>
      </c>
      <c r="B133">
        <v>-1.917</v>
      </c>
      <c r="D133" s="9">
        <v>-3.5939999999999999</v>
      </c>
      <c r="E133" s="9">
        <v>3</v>
      </c>
      <c r="F133" s="9">
        <v>5</v>
      </c>
      <c r="G133" s="9">
        <v>1708</v>
      </c>
      <c r="H133" s="31">
        <v>1710</v>
      </c>
      <c r="I133" s="32"/>
      <c r="J133" s="32"/>
      <c r="K133" s="9">
        <v>-1.6839999999999999</v>
      </c>
      <c r="L133" s="9">
        <v>5</v>
      </c>
      <c r="M133" s="9">
        <v>1595</v>
      </c>
      <c r="O133" s="9">
        <v>1</v>
      </c>
      <c r="P133" s="9">
        <v>9</v>
      </c>
      <c r="Q133" s="9">
        <v>1925</v>
      </c>
      <c r="S133" s="9">
        <v>1708</v>
      </c>
      <c r="T133" s="31">
        <v>1710</v>
      </c>
      <c r="U133" s="9">
        <v>-3.5939999999999999</v>
      </c>
      <c r="V133" s="9">
        <v>3</v>
      </c>
      <c r="W133" s="9">
        <v>5</v>
      </c>
    </row>
    <row r="134" spans="1:23">
      <c r="A134">
        <v>1128</v>
      </c>
      <c r="B134">
        <v>-4.12</v>
      </c>
      <c r="D134" s="9">
        <v>-0.42699999999999999</v>
      </c>
      <c r="E134" s="9">
        <v>1</v>
      </c>
      <c r="F134" s="9">
        <v>4</v>
      </c>
      <c r="G134" s="9">
        <v>1712</v>
      </c>
      <c r="H134" s="31">
        <v>1712</v>
      </c>
      <c r="I134" s="32"/>
      <c r="J134" s="32"/>
      <c r="K134" s="9">
        <v>-1.657</v>
      </c>
      <c r="L134" s="9">
        <v>8</v>
      </c>
      <c r="M134" s="9">
        <v>1780</v>
      </c>
      <c r="O134" s="9">
        <v>1</v>
      </c>
      <c r="P134" s="9">
        <v>4</v>
      </c>
      <c r="Q134" s="9">
        <v>1913</v>
      </c>
      <c r="S134" s="9">
        <v>1712</v>
      </c>
      <c r="T134" s="31">
        <v>1712</v>
      </c>
      <c r="U134" s="9">
        <v>-0.42699999999999999</v>
      </c>
      <c r="V134" s="9">
        <v>1</v>
      </c>
      <c r="W134" s="9">
        <v>4</v>
      </c>
    </row>
    <row r="135" spans="1:23">
      <c r="A135">
        <v>1129</v>
      </c>
      <c r="B135">
        <v>-3.8439999999999999</v>
      </c>
      <c r="D135" s="9">
        <v>-7.6539999999999999</v>
      </c>
      <c r="E135" s="9">
        <v>4</v>
      </c>
      <c r="F135" s="9">
        <v>2</v>
      </c>
      <c r="G135" s="9">
        <v>1714</v>
      </c>
      <c r="H135" s="31">
        <v>1717</v>
      </c>
      <c r="I135" s="32"/>
      <c r="J135" s="32"/>
      <c r="K135" s="9">
        <v>-1.649</v>
      </c>
      <c r="L135" s="9">
        <v>8</v>
      </c>
      <c r="M135" s="9">
        <v>1722</v>
      </c>
      <c r="O135" s="9">
        <v>1</v>
      </c>
      <c r="P135" s="9">
        <v>5</v>
      </c>
      <c r="Q135" s="9">
        <v>1948</v>
      </c>
      <c r="S135" s="9">
        <v>1714</v>
      </c>
      <c r="T135" s="31">
        <v>1717</v>
      </c>
      <c r="U135" s="9">
        <v>-7.6539999999999999</v>
      </c>
      <c r="V135" s="9">
        <v>4</v>
      </c>
      <c r="W135" s="9">
        <v>2</v>
      </c>
    </row>
    <row r="136" spans="1:23">
      <c r="A136">
        <v>1130</v>
      </c>
      <c r="B136">
        <v>-2.4009999999999998</v>
      </c>
      <c r="D136" s="9">
        <v>-1.649</v>
      </c>
      <c r="E136" s="9">
        <v>1</v>
      </c>
      <c r="F136" s="9">
        <v>8</v>
      </c>
      <c r="G136" s="9">
        <v>1722</v>
      </c>
      <c r="H136" s="31">
        <v>1722</v>
      </c>
      <c r="I136" s="32"/>
      <c r="J136" s="32"/>
      <c r="K136" s="9">
        <v>-1.6459999999999999</v>
      </c>
      <c r="L136" s="9">
        <v>3</v>
      </c>
      <c r="M136" s="9">
        <v>1904</v>
      </c>
      <c r="O136" s="9">
        <v>1</v>
      </c>
      <c r="P136" s="9">
        <v>3</v>
      </c>
      <c r="Q136" s="9">
        <v>1535</v>
      </c>
      <c r="S136" s="9">
        <v>1722</v>
      </c>
      <c r="T136" s="31">
        <v>1722</v>
      </c>
      <c r="U136" s="9">
        <v>-1.649</v>
      </c>
      <c r="V136" s="9">
        <v>1</v>
      </c>
      <c r="W136" s="9">
        <v>8</v>
      </c>
    </row>
    <row r="137" spans="1:23">
      <c r="A137">
        <v>1131</v>
      </c>
      <c r="B137">
        <v>-2.0840000000000001</v>
      </c>
      <c r="D137" s="9">
        <v>-3.3260000000000001</v>
      </c>
      <c r="E137" s="9">
        <v>2</v>
      </c>
      <c r="F137" s="9">
        <v>2</v>
      </c>
      <c r="G137" s="9">
        <v>1724</v>
      </c>
      <c r="H137" s="31">
        <v>1725</v>
      </c>
      <c r="I137" s="32"/>
      <c r="J137" s="32"/>
      <c r="K137" s="9">
        <v>-1.623</v>
      </c>
      <c r="L137" s="9">
        <v>3</v>
      </c>
      <c r="M137" s="9">
        <v>1664</v>
      </c>
      <c r="O137" s="9">
        <v>1</v>
      </c>
      <c r="P137" s="9">
        <v>3</v>
      </c>
      <c r="Q137" s="9">
        <v>1521</v>
      </c>
      <c r="S137" s="9">
        <v>1724</v>
      </c>
      <c r="T137" s="31">
        <v>1725</v>
      </c>
      <c r="U137" s="9">
        <v>-3.3260000000000001</v>
      </c>
      <c r="V137" s="9">
        <v>2</v>
      </c>
      <c r="W137" s="9">
        <v>2</v>
      </c>
    </row>
    <row r="138" spans="1:23">
      <c r="A138">
        <v>1132</v>
      </c>
      <c r="B138">
        <v>-1.9950000000000001</v>
      </c>
      <c r="D138" s="9">
        <v>-11.206000000000001</v>
      </c>
      <c r="E138" s="9">
        <v>5</v>
      </c>
      <c r="F138" s="9">
        <v>3</v>
      </c>
      <c r="G138" s="9">
        <v>1727</v>
      </c>
      <c r="H138" s="31">
        <v>1731</v>
      </c>
      <c r="I138" s="32"/>
      <c r="J138" s="32"/>
      <c r="K138" s="9">
        <v>-1.619</v>
      </c>
      <c r="L138" s="9">
        <v>8</v>
      </c>
      <c r="M138" s="9">
        <v>1996</v>
      </c>
      <c r="O138" s="9">
        <v>1</v>
      </c>
      <c r="P138" s="9">
        <v>7</v>
      </c>
      <c r="Q138" s="9">
        <v>1943</v>
      </c>
      <c r="S138" s="9">
        <v>1727</v>
      </c>
      <c r="T138" s="31">
        <v>1731</v>
      </c>
      <c r="U138" s="9">
        <v>-11.206000000000001</v>
      </c>
      <c r="V138" s="9">
        <v>5</v>
      </c>
      <c r="W138" s="9">
        <v>3</v>
      </c>
    </row>
    <row r="139" spans="1:23">
      <c r="A139">
        <v>1133</v>
      </c>
      <c r="B139">
        <v>-2.9049999999999998</v>
      </c>
      <c r="D139" s="9">
        <v>-0.376</v>
      </c>
      <c r="E139" s="9">
        <v>1</v>
      </c>
      <c r="F139" s="9">
        <v>7</v>
      </c>
      <c r="G139" s="9">
        <v>1734</v>
      </c>
      <c r="H139" s="31">
        <v>1734</v>
      </c>
      <c r="I139" s="32"/>
      <c r="J139" s="32"/>
      <c r="K139" s="9">
        <v>-1.617</v>
      </c>
      <c r="L139" s="9">
        <v>2</v>
      </c>
      <c r="M139" s="9">
        <v>1980</v>
      </c>
      <c r="O139" s="9">
        <v>1</v>
      </c>
      <c r="P139" s="9">
        <v>3</v>
      </c>
      <c r="Q139" s="9">
        <v>1934</v>
      </c>
      <c r="S139" s="9">
        <v>1734</v>
      </c>
      <c r="T139" s="31">
        <v>1734</v>
      </c>
      <c r="U139" s="9">
        <v>-0.376</v>
      </c>
      <c r="V139" s="9">
        <v>1</v>
      </c>
      <c r="W139" s="9">
        <v>7</v>
      </c>
    </row>
    <row r="140" spans="1:23">
      <c r="A140">
        <v>1134</v>
      </c>
      <c r="B140">
        <v>-3.5670000000000002</v>
      </c>
      <c r="D140" s="9">
        <v>-6.5690000000000008</v>
      </c>
      <c r="E140" s="9">
        <v>3</v>
      </c>
      <c r="F140" s="9">
        <v>2</v>
      </c>
      <c r="G140" s="9">
        <v>1736</v>
      </c>
      <c r="H140" s="31">
        <v>1738</v>
      </c>
      <c r="I140" s="32"/>
      <c r="J140" s="32"/>
      <c r="K140" s="9">
        <v>-1.6</v>
      </c>
      <c r="L140" s="9">
        <v>4</v>
      </c>
      <c r="M140" s="9">
        <v>1404</v>
      </c>
      <c r="O140" s="9">
        <v>1</v>
      </c>
      <c r="P140" s="9">
        <v>5</v>
      </c>
      <c r="Q140" s="9">
        <v>1397</v>
      </c>
      <c r="S140" s="9">
        <v>1736</v>
      </c>
      <c r="T140" s="31">
        <v>1738</v>
      </c>
      <c r="U140" s="9">
        <v>-6.5690000000000008</v>
      </c>
      <c r="V140" s="9">
        <v>3</v>
      </c>
      <c r="W140" s="9">
        <v>2</v>
      </c>
    </row>
    <row r="141" spans="1:23">
      <c r="A141">
        <v>1135</v>
      </c>
      <c r="B141">
        <v>1.431</v>
      </c>
      <c r="D141" s="9">
        <v>-3.8689999999999998</v>
      </c>
      <c r="E141" s="9">
        <v>3</v>
      </c>
      <c r="F141" s="9">
        <v>5</v>
      </c>
      <c r="G141" s="9">
        <v>1741</v>
      </c>
      <c r="H141" s="31">
        <v>1743</v>
      </c>
      <c r="I141" s="32"/>
      <c r="J141" s="32"/>
      <c r="K141" s="9">
        <v>-1.583</v>
      </c>
      <c r="L141" s="9">
        <v>2</v>
      </c>
      <c r="M141" s="9">
        <v>1283</v>
      </c>
      <c r="O141" s="9">
        <v>1</v>
      </c>
      <c r="P141" s="9">
        <v>8</v>
      </c>
      <c r="Q141" s="9">
        <v>1616</v>
      </c>
      <c r="S141" s="9">
        <v>1741</v>
      </c>
      <c r="T141" s="31">
        <v>1743</v>
      </c>
      <c r="U141" s="9">
        <v>-3.8689999999999998</v>
      </c>
      <c r="V141" s="9">
        <v>3</v>
      </c>
      <c r="W141" s="9">
        <v>5</v>
      </c>
    </row>
    <row r="142" spans="1:23">
      <c r="A142">
        <v>1136</v>
      </c>
      <c r="B142">
        <v>2.1320000000000001</v>
      </c>
      <c r="D142" s="9">
        <v>-14.353</v>
      </c>
      <c r="E142" s="9">
        <v>8</v>
      </c>
      <c r="F142" s="9">
        <v>9</v>
      </c>
      <c r="G142" s="9">
        <v>1750</v>
      </c>
      <c r="H142" s="31">
        <v>1757</v>
      </c>
      <c r="I142" s="32"/>
      <c r="J142" s="32"/>
      <c r="K142" s="9">
        <v>-1.569</v>
      </c>
      <c r="L142" s="9">
        <v>4</v>
      </c>
      <c r="M142" s="9">
        <v>1913</v>
      </c>
      <c r="O142" s="9">
        <v>1</v>
      </c>
      <c r="P142" s="9">
        <v>11</v>
      </c>
      <c r="Q142" s="9">
        <v>1608</v>
      </c>
      <c r="S142" s="9">
        <v>1750</v>
      </c>
      <c r="T142" s="31">
        <v>1757</v>
      </c>
      <c r="U142" s="9">
        <v>-14.353</v>
      </c>
      <c r="V142" s="9">
        <v>8</v>
      </c>
      <c r="W142" s="9">
        <v>9</v>
      </c>
    </row>
    <row r="143" spans="1:23">
      <c r="A143">
        <v>1137</v>
      </c>
      <c r="B143">
        <v>-3.073</v>
      </c>
      <c r="D143" s="9">
        <v>-6.87</v>
      </c>
      <c r="E143" s="9">
        <v>7</v>
      </c>
      <c r="F143" s="9">
        <v>13</v>
      </c>
      <c r="G143" s="9">
        <v>1763</v>
      </c>
      <c r="H143" s="31">
        <v>1769</v>
      </c>
      <c r="I143" s="32"/>
      <c r="J143" s="32"/>
      <c r="K143" s="9">
        <v>-1.5640000000000001</v>
      </c>
      <c r="L143" s="9">
        <v>5</v>
      </c>
      <c r="M143" s="9">
        <v>1310</v>
      </c>
      <c r="O143" s="9">
        <v>1</v>
      </c>
      <c r="P143" s="9">
        <v>3</v>
      </c>
      <c r="Q143" s="9">
        <v>1673</v>
      </c>
      <c r="S143" s="9">
        <v>1763</v>
      </c>
      <c r="T143" s="31">
        <v>1769</v>
      </c>
      <c r="U143" s="9">
        <v>-6.87</v>
      </c>
      <c r="V143" s="9">
        <v>7</v>
      </c>
      <c r="W143" s="9">
        <v>13</v>
      </c>
    </row>
    <row r="144" spans="1:23">
      <c r="A144">
        <v>1138</v>
      </c>
      <c r="B144">
        <v>-3.133</v>
      </c>
      <c r="D144" s="9">
        <v>-14.530999999999999</v>
      </c>
      <c r="E144" s="9">
        <v>7</v>
      </c>
      <c r="F144" s="9">
        <v>9</v>
      </c>
      <c r="G144" s="9">
        <v>1772</v>
      </c>
      <c r="H144" s="31">
        <v>1778</v>
      </c>
      <c r="I144" s="32"/>
      <c r="J144" s="32"/>
      <c r="K144" s="9">
        <v>-1.5489999999999999</v>
      </c>
      <c r="L144" s="9">
        <v>2</v>
      </c>
      <c r="M144" s="9">
        <v>1392</v>
      </c>
      <c r="O144" s="9">
        <v>1</v>
      </c>
      <c r="P144" s="9">
        <v>4</v>
      </c>
      <c r="Q144" s="9">
        <v>1670</v>
      </c>
      <c r="S144" s="9">
        <v>1772</v>
      </c>
      <c r="T144" s="31">
        <v>1778</v>
      </c>
      <c r="U144" s="9">
        <v>-14.530999999999999</v>
      </c>
      <c r="V144" s="9">
        <v>7</v>
      </c>
      <c r="W144" s="9">
        <v>9</v>
      </c>
    </row>
    <row r="145" spans="1:23">
      <c r="A145">
        <v>1139</v>
      </c>
      <c r="B145">
        <v>-0.42399999999999999</v>
      </c>
      <c r="D145" s="9">
        <v>-1.657</v>
      </c>
      <c r="E145" s="9">
        <v>1</v>
      </c>
      <c r="F145" s="9">
        <v>8</v>
      </c>
      <c r="G145" s="9">
        <v>1780</v>
      </c>
      <c r="H145" s="31">
        <v>1780</v>
      </c>
      <c r="I145" s="32"/>
      <c r="J145" s="32"/>
      <c r="K145" s="9">
        <v>-1.544</v>
      </c>
      <c r="L145" s="9">
        <v>3</v>
      </c>
      <c r="M145" s="9">
        <v>1418</v>
      </c>
      <c r="O145" s="9">
        <v>1</v>
      </c>
      <c r="P145" s="9">
        <v>5</v>
      </c>
      <c r="Q145" s="9">
        <v>1595</v>
      </c>
      <c r="S145" s="9">
        <v>1780</v>
      </c>
      <c r="T145" s="31">
        <v>1780</v>
      </c>
      <c r="U145" s="9">
        <v>-1.657</v>
      </c>
      <c r="V145" s="9">
        <v>1</v>
      </c>
      <c r="W145" s="9">
        <v>8</v>
      </c>
    </row>
    <row r="146" spans="1:23">
      <c r="A146">
        <v>1140</v>
      </c>
      <c r="B146">
        <v>-1.5249999999999999</v>
      </c>
      <c r="D146" s="9">
        <v>-7</v>
      </c>
      <c r="E146" s="9">
        <v>2</v>
      </c>
      <c r="F146" s="9">
        <v>5</v>
      </c>
      <c r="G146" s="9">
        <v>1785</v>
      </c>
      <c r="H146" s="31">
        <v>1786</v>
      </c>
      <c r="I146" s="32"/>
      <c r="J146" s="32"/>
      <c r="K146" s="9">
        <v>-1.5349999999999999</v>
      </c>
      <c r="L146" s="9">
        <v>6</v>
      </c>
      <c r="M146" s="9">
        <v>1835</v>
      </c>
      <c r="O146" s="9">
        <v>1</v>
      </c>
      <c r="P146" s="9">
        <v>11</v>
      </c>
      <c r="Q146" s="9">
        <v>1652</v>
      </c>
      <c r="S146" s="9">
        <v>1785</v>
      </c>
      <c r="T146" s="31">
        <v>1786</v>
      </c>
      <c r="U146" s="9">
        <v>-7</v>
      </c>
      <c r="V146" s="9">
        <v>2</v>
      </c>
      <c r="W146" s="9">
        <v>5</v>
      </c>
    </row>
    <row r="147" spans="1:23">
      <c r="A147">
        <v>1141</v>
      </c>
      <c r="B147">
        <v>-0.77500000000000002</v>
      </c>
      <c r="D147" s="9">
        <v>-8.6590000000000007</v>
      </c>
      <c r="E147" s="9">
        <v>3</v>
      </c>
      <c r="F147" s="9">
        <v>4</v>
      </c>
      <c r="G147" s="9">
        <v>1789</v>
      </c>
      <c r="H147" s="31">
        <v>1791</v>
      </c>
      <c r="I147" s="32"/>
      <c r="J147" s="32"/>
      <c r="K147" s="9">
        <v>-1.4259999999999999</v>
      </c>
      <c r="L147" s="9">
        <v>8</v>
      </c>
      <c r="M147" s="9">
        <v>1638</v>
      </c>
      <c r="O147" s="9">
        <v>1</v>
      </c>
      <c r="P147" s="9">
        <v>8</v>
      </c>
      <c r="Q147" s="9">
        <v>1638</v>
      </c>
      <c r="S147" s="9">
        <v>1789</v>
      </c>
      <c r="T147" s="31">
        <v>1791</v>
      </c>
      <c r="U147" s="9">
        <v>-8.6590000000000007</v>
      </c>
      <c r="V147" s="9">
        <v>3</v>
      </c>
      <c r="W147" s="9">
        <v>4</v>
      </c>
    </row>
    <row r="148" spans="1:23">
      <c r="A148">
        <v>1142</v>
      </c>
      <c r="B148">
        <v>-1.976</v>
      </c>
      <c r="D148" s="9">
        <v>-0.80400000000000005</v>
      </c>
      <c r="E148" s="9">
        <v>1</v>
      </c>
      <c r="F148" s="9">
        <v>9</v>
      </c>
      <c r="G148" s="9">
        <v>1798</v>
      </c>
      <c r="H148" s="31">
        <v>1798</v>
      </c>
      <c r="I148" s="32"/>
      <c r="J148" s="32"/>
      <c r="K148" s="9">
        <v>-1.4239999999999999</v>
      </c>
      <c r="L148" s="9">
        <v>4</v>
      </c>
      <c r="M148" s="9">
        <v>1581</v>
      </c>
      <c r="O148" s="9">
        <v>1</v>
      </c>
      <c r="P148" s="9">
        <v>4</v>
      </c>
      <c r="Q148" s="9">
        <v>1440</v>
      </c>
      <c r="S148" s="9">
        <v>1798</v>
      </c>
      <c r="T148" s="31">
        <v>1798</v>
      </c>
      <c r="U148" s="9">
        <v>-0.80400000000000005</v>
      </c>
      <c r="V148" s="9">
        <v>1</v>
      </c>
      <c r="W148" s="9">
        <v>9</v>
      </c>
    </row>
    <row r="149" spans="1:23">
      <c r="A149">
        <v>1143</v>
      </c>
      <c r="B149">
        <v>-1.891</v>
      </c>
      <c r="D149" s="9">
        <v>-4.476</v>
      </c>
      <c r="E149" s="9">
        <v>2</v>
      </c>
      <c r="F149" s="9">
        <v>2</v>
      </c>
      <c r="G149" s="9">
        <v>1800</v>
      </c>
      <c r="H149" s="31">
        <v>1801</v>
      </c>
      <c r="I149" s="32"/>
      <c r="J149" s="32"/>
      <c r="K149" s="9">
        <v>-1.3220000000000001</v>
      </c>
      <c r="L149" s="9">
        <v>2</v>
      </c>
      <c r="M149" s="9">
        <v>1260</v>
      </c>
      <c r="O149" s="9">
        <v>1</v>
      </c>
      <c r="P149" s="9">
        <v>2</v>
      </c>
      <c r="Q149" s="9">
        <v>1654</v>
      </c>
      <c r="S149" s="9">
        <v>1800</v>
      </c>
      <c r="T149" s="31">
        <v>1801</v>
      </c>
      <c r="U149" s="9">
        <v>-4.476</v>
      </c>
      <c r="V149" s="9">
        <v>2</v>
      </c>
      <c r="W149" s="9">
        <v>2</v>
      </c>
    </row>
    <row r="150" spans="1:23">
      <c r="A150">
        <v>1144</v>
      </c>
      <c r="B150">
        <v>-1.788</v>
      </c>
      <c r="D150" s="9">
        <v>-6.6189999999999998</v>
      </c>
      <c r="E150" s="9">
        <v>2</v>
      </c>
      <c r="F150" s="9">
        <v>5</v>
      </c>
      <c r="G150" s="9">
        <v>1805</v>
      </c>
      <c r="H150" s="31">
        <v>1806</v>
      </c>
      <c r="I150" s="32"/>
      <c r="J150" s="32"/>
      <c r="K150" s="9">
        <v>-1.32</v>
      </c>
      <c r="L150" s="9">
        <v>3</v>
      </c>
      <c r="M150" s="9">
        <v>1322</v>
      </c>
      <c r="O150" s="9">
        <v>1</v>
      </c>
      <c r="P150" s="9">
        <v>2</v>
      </c>
      <c r="Q150" s="9">
        <v>1442</v>
      </c>
      <c r="S150" s="9">
        <v>1805</v>
      </c>
      <c r="T150" s="31">
        <v>1806</v>
      </c>
      <c r="U150" s="9">
        <v>-6.6189999999999998</v>
      </c>
      <c r="V150" s="9">
        <v>2</v>
      </c>
      <c r="W150" s="9">
        <v>5</v>
      </c>
    </row>
    <row r="151" spans="1:23">
      <c r="A151">
        <v>1145</v>
      </c>
      <c r="B151">
        <v>-0.121</v>
      </c>
      <c r="D151" s="9">
        <v>-1.911</v>
      </c>
      <c r="E151" s="9">
        <v>1</v>
      </c>
      <c r="F151" s="9">
        <v>3</v>
      </c>
      <c r="G151" s="9">
        <v>1808</v>
      </c>
      <c r="H151" s="31">
        <v>1808</v>
      </c>
      <c r="I151" s="32"/>
      <c r="J151" s="32"/>
      <c r="K151" s="9">
        <v>-1.306</v>
      </c>
      <c r="L151" s="9">
        <v>4</v>
      </c>
      <c r="M151" s="9">
        <v>1988</v>
      </c>
      <c r="O151" s="9">
        <v>1</v>
      </c>
      <c r="P151" s="9">
        <v>2</v>
      </c>
      <c r="Q151" s="9">
        <v>1666</v>
      </c>
      <c r="S151" s="9">
        <v>1808</v>
      </c>
      <c r="T151" s="31">
        <v>1808</v>
      </c>
      <c r="U151" s="9">
        <v>-1.911</v>
      </c>
      <c r="V151" s="9">
        <v>1</v>
      </c>
      <c r="W151" s="9">
        <v>3</v>
      </c>
    </row>
    <row r="152" spans="1:23">
      <c r="A152">
        <v>1146</v>
      </c>
      <c r="B152">
        <v>-1.677</v>
      </c>
      <c r="D152" s="9">
        <v>-0.9</v>
      </c>
      <c r="E152" s="9">
        <v>1</v>
      </c>
      <c r="F152" s="9">
        <v>4</v>
      </c>
      <c r="G152" s="9">
        <v>1812</v>
      </c>
      <c r="H152" s="31">
        <v>1812</v>
      </c>
      <c r="I152" s="32"/>
      <c r="J152" s="32"/>
      <c r="K152" s="9">
        <v>-1.2210000000000001</v>
      </c>
      <c r="L152" s="9">
        <v>4</v>
      </c>
      <c r="M152" s="9">
        <v>1514</v>
      </c>
      <c r="O152" s="9">
        <v>1</v>
      </c>
      <c r="P152" s="9">
        <v>2</v>
      </c>
      <c r="Q152" s="9">
        <v>1483</v>
      </c>
      <c r="S152" s="9">
        <v>1812</v>
      </c>
      <c r="T152" s="31">
        <v>1812</v>
      </c>
      <c r="U152" s="9">
        <v>-0.9</v>
      </c>
      <c r="V152" s="9">
        <v>1</v>
      </c>
      <c r="W152" s="9">
        <v>4</v>
      </c>
    </row>
    <row r="153" spans="1:23">
      <c r="A153">
        <v>1147</v>
      </c>
      <c r="B153">
        <v>0.113</v>
      </c>
      <c r="D153" s="9">
        <v>-0.373</v>
      </c>
      <c r="E153" s="9">
        <v>1</v>
      </c>
      <c r="F153" s="9">
        <v>4</v>
      </c>
      <c r="G153" s="9">
        <v>1816</v>
      </c>
      <c r="H153" s="31">
        <v>1816</v>
      </c>
      <c r="I153" s="32"/>
      <c r="J153" s="32"/>
      <c r="K153" s="9">
        <v>-1.1870000000000001</v>
      </c>
      <c r="L153" s="9">
        <v>4</v>
      </c>
      <c r="M153" s="9">
        <v>1378</v>
      </c>
      <c r="O153" s="9">
        <v>1</v>
      </c>
      <c r="P153" s="9">
        <v>13</v>
      </c>
      <c r="Q153" s="9">
        <v>1481</v>
      </c>
      <c r="S153" s="9">
        <v>1816</v>
      </c>
      <c r="T153" s="31">
        <v>1816</v>
      </c>
      <c r="U153" s="9">
        <v>-0.373</v>
      </c>
      <c r="V153" s="9">
        <v>1</v>
      </c>
      <c r="W153" s="9">
        <v>4</v>
      </c>
    </row>
    <row r="154" spans="1:23">
      <c r="A154">
        <v>1148</v>
      </c>
      <c r="B154">
        <v>-3.1890000000000001</v>
      </c>
      <c r="D154" s="9">
        <v>-3.367</v>
      </c>
      <c r="E154" s="9">
        <v>2</v>
      </c>
      <c r="F154" s="9">
        <v>3</v>
      </c>
      <c r="G154" s="9">
        <v>1819</v>
      </c>
      <c r="H154" s="31">
        <v>1820</v>
      </c>
      <c r="I154" s="32"/>
      <c r="J154" s="32"/>
      <c r="K154" s="9">
        <v>-1.018</v>
      </c>
      <c r="L154" s="9">
        <v>5</v>
      </c>
      <c r="M154" s="9">
        <v>1397</v>
      </c>
      <c r="O154" s="9">
        <v>1</v>
      </c>
      <c r="P154" s="9">
        <v>3</v>
      </c>
      <c r="Q154" s="9">
        <v>1664</v>
      </c>
      <c r="S154" s="9">
        <v>1819</v>
      </c>
      <c r="T154" s="31">
        <v>1820</v>
      </c>
      <c r="U154" s="9">
        <v>-3.367</v>
      </c>
      <c r="V154" s="9">
        <v>2</v>
      </c>
      <c r="W154" s="9">
        <v>3</v>
      </c>
    </row>
    <row r="155" spans="1:23">
      <c r="A155">
        <v>1149</v>
      </c>
      <c r="B155">
        <v>-4.319</v>
      </c>
      <c r="D155" s="9">
        <v>-3.258</v>
      </c>
      <c r="E155" s="9">
        <v>1</v>
      </c>
      <c r="F155" s="9">
        <v>3</v>
      </c>
      <c r="G155" s="9">
        <v>1822</v>
      </c>
      <c r="H155" s="31">
        <v>1822</v>
      </c>
      <c r="I155" s="32"/>
      <c r="J155" s="32"/>
      <c r="K155" s="9">
        <v>-1.0029999999999999</v>
      </c>
      <c r="L155" s="9">
        <v>4</v>
      </c>
      <c r="M155" s="9">
        <v>1390</v>
      </c>
      <c r="O155" s="9">
        <v>1</v>
      </c>
      <c r="P155" s="9">
        <v>4</v>
      </c>
      <c r="Q155" s="9">
        <v>1712</v>
      </c>
      <c r="S155" s="9">
        <v>1822</v>
      </c>
      <c r="T155" s="31">
        <v>1822</v>
      </c>
      <c r="U155" s="9">
        <v>-3.258</v>
      </c>
      <c r="V155" s="9">
        <v>1</v>
      </c>
      <c r="W155" s="9">
        <v>3</v>
      </c>
    </row>
    <row r="156" spans="1:23">
      <c r="A156">
        <v>1150</v>
      </c>
      <c r="B156">
        <v>-0.40500000000000003</v>
      </c>
      <c r="D156" s="9">
        <v>-3.95</v>
      </c>
      <c r="E156" s="9">
        <v>1</v>
      </c>
      <c r="F156" s="9">
        <v>2</v>
      </c>
      <c r="G156" s="9">
        <v>1824</v>
      </c>
      <c r="H156" s="31">
        <v>1824</v>
      </c>
      <c r="I156" s="32"/>
      <c r="J156" s="32"/>
      <c r="K156" s="9">
        <v>-0.91900000000000004</v>
      </c>
      <c r="L156" s="9">
        <v>11</v>
      </c>
      <c r="M156" s="9">
        <v>1652</v>
      </c>
      <c r="O156" s="9">
        <v>1</v>
      </c>
      <c r="P156" s="9">
        <v>6</v>
      </c>
      <c r="Q156" s="9">
        <v>1693</v>
      </c>
      <c r="S156" s="9">
        <v>1824</v>
      </c>
      <c r="T156" s="31">
        <v>1824</v>
      </c>
      <c r="U156" s="9">
        <v>-3.95</v>
      </c>
      <c r="V156" s="9">
        <v>1</v>
      </c>
      <c r="W156" s="9">
        <v>2</v>
      </c>
    </row>
    <row r="157" spans="1:23">
      <c r="A157">
        <v>1151</v>
      </c>
      <c r="B157">
        <v>-1.1719999999999999</v>
      </c>
      <c r="D157" s="9">
        <v>-5.176000000000001</v>
      </c>
      <c r="E157" s="9">
        <v>4</v>
      </c>
      <c r="F157" s="9">
        <v>5</v>
      </c>
      <c r="G157" s="9">
        <v>1829</v>
      </c>
      <c r="H157" s="31">
        <v>1832</v>
      </c>
      <c r="I157" s="32"/>
      <c r="J157" s="32"/>
      <c r="K157" s="9">
        <v>-0.9</v>
      </c>
      <c r="L157" s="9">
        <v>4</v>
      </c>
      <c r="M157" s="9">
        <v>1812</v>
      </c>
      <c r="O157" s="9">
        <v>1</v>
      </c>
      <c r="P157" s="9">
        <v>3</v>
      </c>
      <c r="Q157" s="9">
        <v>1661</v>
      </c>
      <c r="S157" s="9">
        <v>1829</v>
      </c>
      <c r="T157" s="31">
        <v>1832</v>
      </c>
      <c r="U157" s="9">
        <v>-5.176000000000001</v>
      </c>
      <c r="V157" s="9">
        <v>4</v>
      </c>
      <c r="W157" s="9">
        <v>5</v>
      </c>
    </row>
    <row r="158" spans="1:23">
      <c r="A158">
        <v>1152</v>
      </c>
      <c r="B158">
        <v>-2.8290000000000002</v>
      </c>
      <c r="D158" s="9">
        <v>-1.5349999999999999</v>
      </c>
      <c r="E158" s="9">
        <v>1</v>
      </c>
      <c r="F158" s="9">
        <v>6</v>
      </c>
      <c r="G158" s="9">
        <v>1835</v>
      </c>
      <c r="H158" s="31">
        <v>1835</v>
      </c>
      <c r="I158" s="32"/>
      <c r="J158" s="32"/>
      <c r="K158" s="9">
        <v>-0.9</v>
      </c>
      <c r="L158" s="9">
        <v>3</v>
      </c>
      <c r="M158" s="9">
        <v>1889</v>
      </c>
      <c r="O158" s="9">
        <v>1</v>
      </c>
      <c r="P158" s="9">
        <v>2</v>
      </c>
      <c r="Q158" s="9">
        <v>1656</v>
      </c>
      <c r="S158" s="9">
        <v>1835</v>
      </c>
      <c r="T158" s="31">
        <v>1835</v>
      </c>
      <c r="U158" s="9">
        <v>-1.5349999999999999</v>
      </c>
      <c r="V158" s="9">
        <v>1</v>
      </c>
      <c r="W158" s="9">
        <v>6</v>
      </c>
    </row>
    <row r="159" spans="1:23">
      <c r="A159">
        <v>1153</v>
      </c>
      <c r="B159">
        <v>-0.89500000000000002</v>
      </c>
      <c r="D159" s="9">
        <v>-2.8179999999999996</v>
      </c>
      <c r="E159" s="9">
        <v>3</v>
      </c>
      <c r="F159" s="9">
        <v>2</v>
      </c>
      <c r="G159" s="9">
        <v>1837</v>
      </c>
      <c r="H159" s="31">
        <v>1839</v>
      </c>
      <c r="I159" s="32"/>
      <c r="J159" s="32"/>
      <c r="K159" s="9">
        <v>-0.88600000000000001</v>
      </c>
      <c r="L159" s="9">
        <v>4</v>
      </c>
      <c r="M159" s="9">
        <v>1440</v>
      </c>
      <c r="O159" s="9">
        <v>1</v>
      </c>
      <c r="P159" s="9">
        <v>10</v>
      </c>
      <c r="Q159" s="9">
        <v>1057</v>
      </c>
      <c r="S159" s="9">
        <v>1837</v>
      </c>
      <c r="T159" s="31">
        <v>1839</v>
      </c>
      <c r="U159" s="9">
        <v>-2.8179999999999996</v>
      </c>
      <c r="V159" s="9">
        <v>3</v>
      </c>
      <c r="W159" s="9">
        <v>2</v>
      </c>
    </row>
    <row r="160" spans="1:23">
      <c r="A160">
        <v>1154</v>
      </c>
      <c r="B160">
        <v>-2.39</v>
      </c>
      <c r="D160" s="9">
        <v>-6.6619999999999999</v>
      </c>
      <c r="E160" s="9">
        <v>2</v>
      </c>
      <c r="F160" s="9">
        <v>4</v>
      </c>
      <c r="G160" s="9">
        <v>1841</v>
      </c>
      <c r="H160" s="31">
        <v>1842</v>
      </c>
      <c r="I160" s="32"/>
      <c r="J160" s="32"/>
      <c r="K160" s="9">
        <v>-0.80400000000000005</v>
      </c>
      <c r="L160" s="9">
        <v>9</v>
      </c>
      <c r="M160" s="9">
        <v>1798</v>
      </c>
      <c r="O160" s="9">
        <v>1</v>
      </c>
      <c r="P160" s="9">
        <v>5</v>
      </c>
      <c r="Q160" s="9">
        <v>1279</v>
      </c>
      <c r="S160" s="9">
        <v>1841</v>
      </c>
      <c r="T160" s="31">
        <v>1842</v>
      </c>
      <c r="U160" s="9">
        <v>-6.6619999999999999</v>
      </c>
      <c r="V160" s="9">
        <v>2</v>
      </c>
      <c r="W160" s="9">
        <v>4</v>
      </c>
    </row>
    <row r="161" spans="1:23">
      <c r="A161">
        <v>1155</v>
      </c>
      <c r="B161">
        <v>-2.0870000000000002</v>
      </c>
      <c r="D161" s="9">
        <v>-4.2449999999999992</v>
      </c>
      <c r="E161" s="9">
        <v>4</v>
      </c>
      <c r="F161" s="9">
        <v>4</v>
      </c>
      <c r="G161" s="9">
        <v>1845</v>
      </c>
      <c r="H161" s="31">
        <v>1848</v>
      </c>
      <c r="I161" s="32"/>
      <c r="J161" s="32"/>
      <c r="K161" s="9">
        <v>-0.78500000000000003</v>
      </c>
      <c r="L161" s="9">
        <v>4</v>
      </c>
      <c r="M161" s="9">
        <v>1518</v>
      </c>
      <c r="O161" s="9">
        <v>1</v>
      </c>
      <c r="P161" s="9">
        <v>3</v>
      </c>
      <c r="Q161" s="9">
        <v>1272</v>
      </c>
      <c r="S161" s="9">
        <v>1845</v>
      </c>
      <c r="T161" s="31">
        <v>1848</v>
      </c>
      <c r="U161" s="9">
        <v>-4.2449999999999992</v>
      </c>
      <c r="V161" s="9">
        <v>4</v>
      </c>
      <c r="W161" s="9">
        <v>4</v>
      </c>
    </row>
    <row r="162" spans="1:23">
      <c r="A162">
        <v>1156</v>
      </c>
      <c r="B162">
        <v>-1.5449999999999999</v>
      </c>
      <c r="D162" s="9">
        <v>-0.441</v>
      </c>
      <c r="E162" s="9">
        <v>1</v>
      </c>
      <c r="F162" s="9">
        <v>7</v>
      </c>
      <c r="G162" s="9">
        <v>1852</v>
      </c>
      <c r="H162" s="31">
        <v>1852</v>
      </c>
      <c r="I162" s="32"/>
      <c r="J162" s="32"/>
      <c r="K162" s="9">
        <v>-0.755</v>
      </c>
      <c r="L162" s="9">
        <v>19</v>
      </c>
      <c r="M162" s="9">
        <v>1167</v>
      </c>
      <c r="O162" s="9">
        <v>1</v>
      </c>
      <c r="P162" s="9">
        <v>14</v>
      </c>
      <c r="Q162" s="9">
        <v>1181</v>
      </c>
      <c r="S162" s="9">
        <v>1852</v>
      </c>
      <c r="T162" s="31">
        <v>1852</v>
      </c>
      <c r="U162" s="9">
        <v>-0.441</v>
      </c>
      <c r="V162" s="9">
        <v>1</v>
      </c>
      <c r="W162" s="9">
        <v>7</v>
      </c>
    </row>
    <row r="163" spans="1:23">
      <c r="A163">
        <v>1157</v>
      </c>
      <c r="B163">
        <v>-2.0089999999999999</v>
      </c>
      <c r="D163" s="9">
        <v>-10.876999999999999</v>
      </c>
      <c r="E163" s="9">
        <v>4</v>
      </c>
      <c r="F163" s="9">
        <v>2</v>
      </c>
      <c r="G163" s="9">
        <v>1854</v>
      </c>
      <c r="H163" s="31">
        <v>1857</v>
      </c>
      <c r="I163" s="32"/>
      <c r="J163" s="32"/>
      <c r="K163" s="9">
        <v>-0.753</v>
      </c>
      <c r="L163" s="9">
        <v>4</v>
      </c>
      <c r="M163" s="9">
        <v>1258</v>
      </c>
      <c r="O163" s="9">
        <v>1</v>
      </c>
      <c r="P163" s="9">
        <v>19</v>
      </c>
      <c r="Q163" s="9">
        <v>1167</v>
      </c>
      <c r="S163" s="9">
        <v>1854</v>
      </c>
      <c r="T163" s="31">
        <v>1857</v>
      </c>
      <c r="U163" s="9">
        <v>-10.876999999999999</v>
      </c>
      <c r="V163" s="9">
        <v>4</v>
      </c>
      <c r="W163" s="9">
        <v>2</v>
      </c>
    </row>
    <row r="164" spans="1:23">
      <c r="A164">
        <v>1158</v>
      </c>
      <c r="B164">
        <v>-3.68</v>
      </c>
      <c r="D164" s="9">
        <v>-17.239000000000001</v>
      </c>
      <c r="E164" s="9">
        <v>6</v>
      </c>
      <c r="F164" s="9">
        <v>5</v>
      </c>
      <c r="G164" s="9">
        <v>1859</v>
      </c>
      <c r="H164" s="31">
        <v>1864</v>
      </c>
      <c r="I164" s="32"/>
      <c r="J164" s="32"/>
      <c r="K164" s="9">
        <v>-0.74299999999999999</v>
      </c>
      <c r="L164" s="9">
        <v>2</v>
      </c>
      <c r="M164" s="9">
        <v>1656</v>
      </c>
      <c r="O164" s="9">
        <v>1</v>
      </c>
      <c r="P164" s="9">
        <v>9</v>
      </c>
      <c r="Q164" s="9">
        <v>1358</v>
      </c>
      <c r="S164" s="9">
        <v>1859</v>
      </c>
      <c r="T164" s="31">
        <v>1864</v>
      </c>
      <c r="U164" s="9">
        <v>-17.239000000000001</v>
      </c>
      <c r="V164" s="9">
        <v>6</v>
      </c>
      <c r="W164" s="9">
        <v>5</v>
      </c>
    </row>
    <row r="165" spans="1:23">
      <c r="A165">
        <v>1159</v>
      </c>
      <c r="B165">
        <v>-1.44</v>
      </c>
      <c r="D165" s="9">
        <v>-2.2650000000000001</v>
      </c>
      <c r="E165" s="9">
        <v>1</v>
      </c>
      <c r="F165" s="9">
        <v>15</v>
      </c>
      <c r="G165" s="9">
        <v>1874</v>
      </c>
      <c r="H165" s="31">
        <v>1874</v>
      </c>
      <c r="I165" s="32"/>
      <c r="J165" s="32"/>
      <c r="K165" s="9">
        <v>-0.74</v>
      </c>
      <c r="L165" s="9">
        <v>10</v>
      </c>
      <c r="M165" s="9">
        <v>1057</v>
      </c>
      <c r="O165" s="9">
        <v>1</v>
      </c>
      <c r="P165" s="9">
        <v>6</v>
      </c>
      <c r="Q165" s="9">
        <v>1835</v>
      </c>
      <c r="S165" s="9">
        <v>1874</v>
      </c>
      <c r="T165" s="31">
        <v>1874</v>
      </c>
      <c r="U165" s="9">
        <v>-2.2650000000000001</v>
      </c>
      <c r="V165" s="9">
        <v>1</v>
      </c>
      <c r="W165" s="9">
        <v>15</v>
      </c>
    </row>
    <row r="166" spans="1:23">
      <c r="A166">
        <v>1160</v>
      </c>
      <c r="B166">
        <v>-1.0629999999999999</v>
      </c>
      <c r="D166" s="9">
        <v>-2.8530000000000002</v>
      </c>
      <c r="E166" s="9">
        <v>2</v>
      </c>
      <c r="F166" s="9">
        <v>5</v>
      </c>
      <c r="G166" s="9">
        <v>1879</v>
      </c>
      <c r="H166" s="31">
        <v>1880</v>
      </c>
      <c r="I166" s="32"/>
      <c r="J166" s="32"/>
      <c r="K166" s="9">
        <v>-0.72599999999999998</v>
      </c>
      <c r="L166" s="9">
        <v>5</v>
      </c>
      <c r="M166" s="9">
        <v>2003</v>
      </c>
      <c r="O166" s="9">
        <v>1</v>
      </c>
      <c r="P166" s="9">
        <v>2</v>
      </c>
      <c r="Q166" s="9">
        <v>1824</v>
      </c>
      <c r="S166" s="9">
        <v>1879</v>
      </c>
      <c r="T166" s="31">
        <v>1880</v>
      </c>
      <c r="U166" s="9">
        <v>-2.8530000000000002</v>
      </c>
      <c r="V166" s="9">
        <v>2</v>
      </c>
      <c r="W166" s="9">
        <v>5</v>
      </c>
    </row>
    <row r="167" spans="1:23">
      <c r="A167">
        <v>1161</v>
      </c>
      <c r="B167">
        <v>-0.79400000000000004</v>
      </c>
      <c r="D167" s="9">
        <v>-7.5780000000000003</v>
      </c>
      <c r="E167" s="9">
        <v>2</v>
      </c>
      <c r="F167" s="9">
        <v>7</v>
      </c>
      <c r="G167" s="9">
        <v>1886</v>
      </c>
      <c r="H167" s="31">
        <v>1887</v>
      </c>
      <c r="I167" s="32"/>
      <c r="J167" s="32"/>
      <c r="K167" s="9">
        <v>-0.68600000000000005</v>
      </c>
      <c r="L167" s="9">
        <v>2</v>
      </c>
      <c r="M167" s="9">
        <v>1281</v>
      </c>
      <c r="O167" s="9">
        <v>1</v>
      </c>
      <c r="P167" s="9">
        <v>7</v>
      </c>
      <c r="Q167" s="9">
        <v>1852</v>
      </c>
      <c r="S167" s="9">
        <v>1886</v>
      </c>
      <c r="T167" s="31">
        <v>1887</v>
      </c>
      <c r="U167" s="9">
        <v>-7.5780000000000003</v>
      </c>
      <c r="V167" s="9">
        <v>2</v>
      </c>
      <c r="W167" s="9">
        <v>7</v>
      </c>
    </row>
    <row r="168" spans="1:23">
      <c r="A168">
        <v>1162</v>
      </c>
      <c r="B168">
        <v>-1.861</v>
      </c>
      <c r="D168" s="9">
        <v>-0.9</v>
      </c>
      <c r="E168" s="9">
        <v>1</v>
      </c>
      <c r="F168" s="9">
        <v>3</v>
      </c>
      <c r="G168" s="9">
        <v>1889</v>
      </c>
      <c r="H168" s="31">
        <v>1889</v>
      </c>
      <c r="I168" s="32"/>
      <c r="J168" s="32"/>
      <c r="K168" s="9">
        <v>-0.67600000000000005</v>
      </c>
      <c r="L168" s="9">
        <v>14</v>
      </c>
      <c r="M168" s="9">
        <v>1181</v>
      </c>
      <c r="O168" s="9">
        <v>1</v>
      </c>
      <c r="P168" s="9">
        <v>15</v>
      </c>
      <c r="Q168" s="9">
        <v>1874</v>
      </c>
      <c r="S168" s="9">
        <v>1889</v>
      </c>
      <c r="T168" s="31">
        <v>1889</v>
      </c>
      <c r="U168" s="9">
        <v>-0.9</v>
      </c>
      <c r="V168" s="9">
        <v>1</v>
      </c>
      <c r="W168" s="9">
        <v>3</v>
      </c>
    </row>
    <row r="169" spans="1:23">
      <c r="A169">
        <v>1163</v>
      </c>
      <c r="B169">
        <v>-2.5179999999999998</v>
      </c>
      <c r="D169" s="9">
        <v>-7.8369999999999997</v>
      </c>
      <c r="E169" s="9">
        <v>5</v>
      </c>
      <c r="F169" s="9">
        <v>4</v>
      </c>
      <c r="G169" s="9">
        <v>1893</v>
      </c>
      <c r="H169" s="31">
        <v>1897</v>
      </c>
      <c r="I169" s="32"/>
      <c r="J169" s="32"/>
      <c r="K169" s="9">
        <v>-0.629</v>
      </c>
      <c r="L169" s="9">
        <v>2</v>
      </c>
      <c r="M169" s="9">
        <v>1666</v>
      </c>
      <c r="O169" s="9">
        <v>1</v>
      </c>
      <c r="P169" s="9">
        <v>9</v>
      </c>
      <c r="Q169" s="9">
        <v>1336</v>
      </c>
      <c r="S169" s="9">
        <v>1893</v>
      </c>
      <c r="T169" s="31">
        <v>1897</v>
      </c>
      <c r="U169" s="9">
        <v>-7.8369999999999997</v>
      </c>
      <c r="V169" s="9">
        <v>5</v>
      </c>
      <c r="W169" s="9">
        <v>4</v>
      </c>
    </row>
    <row r="170" spans="1:23">
      <c r="A170">
        <v>1164</v>
      </c>
      <c r="B170">
        <v>-1.847</v>
      </c>
      <c r="D170" s="9">
        <v>-0.28499999999999998</v>
      </c>
      <c r="E170" s="9">
        <v>1</v>
      </c>
      <c r="F170" s="9">
        <v>6</v>
      </c>
      <c r="G170" s="9">
        <v>1899</v>
      </c>
      <c r="H170" s="31">
        <v>1899</v>
      </c>
      <c r="I170" s="32"/>
      <c r="J170" s="32"/>
      <c r="K170" s="9">
        <v>-0.61199999999999999</v>
      </c>
      <c r="L170" s="9">
        <v>8</v>
      </c>
      <c r="M170" s="9">
        <v>1616</v>
      </c>
      <c r="O170" s="9">
        <v>1</v>
      </c>
      <c r="P170" s="9">
        <v>2</v>
      </c>
      <c r="Q170" s="9">
        <v>1283</v>
      </c>
      <c r="S170" s="9">
        <v>1899</v>
      </c>
      <c r="T170" s="31">
        <v>1899</v>
      </c>
      <c r="U170" s="9">
        <v>-0.28499999999999998</v>
      </c>
      <c r="V170" s="9">
        <v>1</v>
      </c>
      <c r="W170" s="9">
        <v>6</v>
      </c>
    </row>
    <row r="171" spans="1:23">
      <c r="A171">
        <v>1165</v>
      </c>
      <c r="B171">
        <v>0.55700000000000005</v>
      </c>
      <c r="D171" s="9">
        <v>-5.0419999999999998</v>
      </c>
      <c r="E171" s="9">
        <v>2</v>
      </c>
      <c r="F171" s="9">
        <v>2</v>
      </c>
      <c r="G171" s="9">
        <v>1901</v>
      </c>
      <c r="H171" s="31">
        <v>1902</v>
      </c>
      <c r="I171" s="32"/>
      <c r="J171" s="32"/>
      <c r="K171" s="9">
        <v>-0.59799999999999998</v>
      </c>
      <c r="L171" s="9">
        <v>3</v>
      </c>
      <c r="M171" s="9">
        <v>1673</v>
      </c>
      <c r="O171" s="9">
        <v>1</v>
      </c>
      <c r="P171" s="9">
        <v>5</v>
      </c>
      <c r="Q171" s="9">
        <v>1066</v>
      </c>
      <c r="S171" s="9">
        <v>1901</v>
      </c>
      <c r="T171" s="31">
        <v>1902</v>
      </c>
      <c r="U171" s="9">
        <v>-5.0419999999999998</v>
      </c>
      <c r="V171" s="9">
        <v>2</v>
      </c>
      <c r="W171" s="9">
        <v>2</v>
      </c>
    </row>
    <row r="172" spans="1:23">
      <c r="A172">
        <v>1166</v>
      </c>
      <c r="B172">
        <v>0.27300000000000002</v>
      </c>
      <c r="D172" s="9">
        <v>-1.6459999999999999</v>
      </c>
      <c r="E172" s="9">
        <v>1</v>
      </c>
      <c r="F172" s="9">
        <v>3</v>
      </c>
      <c r="G172" s="9">
        <v>1904</v>
      </c>
      <c r="H172" s="31">
        <v>1904</v>
      </c>
      <c r="I172" s="32"/>
      <c r="J172" s="32"/>
      <c r="K172" s="9">
        <v>-0.56100000000000005</v>
      </c>
      <c r="L172" s="9">
        <v>3</v>
      </c>
      <c r="M172" s="9">
        <v>1563</v>
      </c>
      <c r="O172" s="9">
        <v>1</v>
      </c>
      <c r="P172" s="9">
        <v>4</v>
      </c>
      <c r="Q172" s="9">
        <v>1390</v>
      </c>
      <c r="S172" s="9">
        <v>1904</v>
      </c>
      <c r="T172" s="31">
        <v>1904</v>
      </c>
      <c r="U172" s="9">
        <v>-1.6459999999999999</v>
      </c>
      <c r="V172" s="9">
        <v>1</v>
      </c>
      <c r="W172" s="9">
        <v>3</v>
      </c>
    </row>
    <row r="173" spans="1:23">
      <c r="A173">
        <v>1167</v>
      </c>
      <c r="B173">
        <v>-0.755</v>
      </c>
      <c r="D173" s="9">
        <v>-0.51800000000000002</v>
      </c>
      <c r="E173" s="9">
        <v>1</v>
      </c>
      <c r="F173" s="9">
        <v>2</v>
      </c>
      <c r="G173" s="9">
        <v>1906</v>
      </c>
      <c r="H173" s="31">
        <v>1906</v>
      </c>
      <c r="I173" s="32"/>
      <c r="J173" s="32"/>
      <c r="K173" s="9">
        <v>-0.51800000000000002</v>
      </c>
      <c r="L173" s="9">
        <v>2</v>
      </c>
      <c r="M173" s="9">
        <v>1906</v>
      </c>
      <c r="O173" s="9">
        <v>1</v>
      </c>
      <c r="P173" s="9">
        <v>2</v>
      </c>
      <c r="Q173" s="9">
        <v>1281</v>
      </c>
      <c r="S173" s="9">
        <v>1906</v>
      </c>
      <c r="T173" s="31">
        <v>1906</v>
      </c>
      <c r="U173" s="9">
        <v>-0.51800000000000002</v>
      </c>
      <c r="V173" s="9">
        <v>1</v>
      </c>
      <c r="W173" s="9">
        <v>2</v>
      </c>
    </row>
    <row r="174" spans="1:23">
      <c r="A174">
        <v>1168</v>
      </c>
      <c r="B174">
        <v>3.13</v>
      </c>
      <c r="D174" s="9">
        <v>-4.4160000000000004</v>
      </c>
      <c r="E174" s="9">
        <v>3</v>
      </c>
      <c r="F174" s="9">
        <v>3</v>
      </c>
      <c r="G174" s="9">
        <v>1909</v>
      </c>
      <c r="H174" s="31">
        <v>1911</v>
      </c>
      <c r="I174" s="32"/>
      <c r="J174" s="32"/>
      <c r="K174" s="9">
        <v>-0.441</v>
      </c>
      <c r="L174" s="9">
        <v>7</v>
      </c>
      <c r="M174" s="9">
        <v>1852</v>
      </c>
      <c r="O174" s="9">
        <v>1</v>
      </c>
      <c r="P174" s="9">
        <v>5</v>
      </c>
      <c r="Q174" s="9">
        <v>1310</v>
      </c>
      <c r="S174" s="9">
        <v>1909</v>
      </c>
      <c r="T174" s="31">
        <v>1911</v>
      </c>
      <c r="U174" s="9">
        <v>-4.4160000000000004</v>
      </c>
      <c r="V174" s="9">
        <v>3</v>
      </c>
      <c r="W174" s="9">
        <v>3</v>
      </c>
    </row>
    <row r="175" spans="1:23">
      <c r="A175">
        <v>1169</v>
      </c>
      <c r="B175">
        <v>2.133</v>
      </c>
      <c r="D175" s="9">
        <v>-1.569</v>
      </c>
      <c r="E175" s="9">
        <v>1</v>
      </c>
      <c r="F175" s="9">
        <v>4</v>
      </c>
      <c r="G175" s="9">
        <v>1913</v>
      </c>
      <c r="H175" s="31">
        <v>1913</v>
      </c>
      <c r="I175" s="32"/>
      <c r="J175" s="32"/>
      <c r="K175" s="9">
        <v>-0.42699999999999999</v>
      </c>
      <c r="L175" s="9">
        <v>4</v>
      </c>
      <c r="M175" s="9">
        <v>1712</v>
      </c>
      <c r="O175" s="9">
        <v>1</v>
      </c>
      <c r="P175" s="9">
        <v>4</v>
      </c>
      <c r="Q175" s="9">
        <v>1258</v>
      </c>
      <c r="S175" s="9">
        <v>1913</v>
      </c>
      <c r="T175" s="31">
        <v>1913</v>
      </c>
      <c r="U175" s="9">
        <v>-1.569</v>
      </c>
      <c r="V175" s="9">
        <v>1</v>
      </c>
      <c r="W175" s="9">
        <v>4</v>
      </c>
    </row>
    <row r="176" spans="1:23">
      <c r="A176">
        <v>1170</v>
      </c>
      <c r="B176">
        <v>2.4009999999999998</v>
      </c>
      <c r="D176" s="9">
        <v>-7.9190000000000005</v>
      </c>
      <c r="E176" s="9">
        <v>3</v>
      </c>
      <c r="F176" s="9">
        <v>3</v>
      </c>
      <c r="G176" s="9">
        <v>1916</v>
      </c>
      <c r="H176" s="31">
        <v>1918</v>
      </c>
      <c r="I176" s="32"/>
      <c r="J176" s="32"/>
      <c r="K176" s="9">
        <v>-0.42</v>
      </c>
      <c r="L176" s="9">
        <v>3</v>
      </c>
      <c r="M176" s="9">
        <v>1521</v>
      </c>
      <c r="O176" s="9">
        <v>1</v>
      </c>
      <c r="P176" s="9">
        <v>3</v>
      </c>
      <c r="Q176" s="9">
        <v>1322</v>
      </c>
      <c r="S176" s="9">
        <v>1916</v>
      </c>
      <c r="T176" s="31">
        <v>1918</v>
      </c>
      <c r="U176" s="9">
        <v>-7.9190000000000005</v>
      </c>
      <c r="V176" s="9">
        <v>3</v>
      </c>
      <c r="W176" s="9">
        <v>3</v>
      </c>
    </row>
    <row r="177" spans="1:23">
      <c r="A177">
        <v>1171</v>
      </c>
      <c r="B177">
        <v>2.4119999999999999</v>
      </c>
      <c r="D177" s="9">
        <v>-6.444</v>
      </c>
      <c r="E177" s="9">
        <v>1</v>
      </c>
      <c r="F177" s="9">
        <v>9</v>
      </c>
      <c r="G177" s="9">
        <v>1925</v>
      </c>
      <c r="H177" s="31">
        <v>1925</v>
      </c>
      <c r="I177" s="32"/>
      <c r="J177" s="32"/>
      <c r="K177" s="9">
        <v>-0.41699999999999998</v>
      </c>
      <c r="L177" s="9">
        <v>8</v>
      </c>
      <c r="M177" s="9">
        <v>1959</v>
      </c>
      <c r="O177" s="9">
        <v>1</v>
      </c>
      <c r="P177" s="9">
        <v>3</v>
      </c>
      <c r="Q177" s="9">
        <v>1325</v>
      </c>
      <c r="S177" s="9">
        <v>1925</v>
      </c>
      <c r="T177" s="31">
        <v>1925</v>
      </c>
      <c r="U177" s="9">
        <v>-6.444</v>
      </c>
      <c r="V177" s="9">
        <v>1</v>
      </c>
      <c r="W177" s="9">
        <v>9</v>
      </c>
    </row>
    <row r="178" spans="1:23">
      <c r="A178">
        <v>1172</v>
      </c>
      <c r="B178">
        <v>2.4529999999999998</v>
      </c>
      <c r="D178" s="9">
        <v>-0.20899999999999999</v>
      </c>
      <c r="E178" s="9">
        <v>1</v>
      </c>
      <c r="F178" s="9">
        <v>6</v>
      </c>
      <c r="G178" s="9">
        <v>1931</v>
      </c>
      <c r="H178" s="31">
        <v>1931</v>
      </c>
      <c r="I178" s="32"/>
      <c r="J178" s="32"/>
      <c r="K178" s="9">
        <v>-0.376</v>
      </c>
      <c r="L178" s="9">
        <v>7</v>
      </c>
      <c r="M178" s="9">
        <v>1734</v>
      </c>
      <c r="O178" s="9">
        <v>1</v>
      </c>
      <c r="P178" s="9">
        <v>2</v>
      </c>
      <c r="Q178" s="9">
        <v>1980</v>
      </c>
      <c r="S178" s="9">
        <v>1931</v>
      </c>
      <c r="T178" s="31">
        <v>1931</v>
      </c>
      <c r="U178" s="9">
        <v>-0.20899999999999999</v>
      </c>
      <c r="V178" s="9">
        <v>1</v>
      </c>
      <c r="W178" s="9">
        <v>6</v>
      </c>
    </row>
    <row r="179" spans="1:23">
      <c r="A179">
        <v>1173</v>
      </c>
      <c r="B179">
        <v>3.5539999999999998</v>
      </c>
      <c r="D179" s="9">
        <v>-2.673</v>
      </c>
      <c r="E179" s="9">
        <v>1</v>
      </c>
      <c r="F179" s="9">
        <v>3</v>
      </c>
      <c r="G179" s="9">
        <v>1934</v>
      </c>
      <c r="H179" s="31">
        <v>1934</v>
      </c>
      <c r="I179" s="32"/>
      <c r="J179" s="32"/>
      <c r="K179" s="9">
        <v>-0.375</v>
      </c>
      <c r="L179" s="9">
        <v>5</v>
      </c>
      <c r="M179" s="9">
        <v>1547</v>
      </c>
      <c r="O179" s="9">
        <v>1</v>
      </c>
      <c r="P179" s="9">
        <v>4</v>
      </c>
      <c r="Q179" s="9">
        <v>1978</v>
      </c>
      <c r="S179" s="9">
        <v>1934</v>
      </c>
      <c r="T179" s="31">
        <v>1934</v>
      </c>
      <c r="U179" s="9">
        <v>-2.673</v>
      </c>
      <c r="V179" s="9">
        <v>1</v>
      </c>
      <c r="W179" s="9">
        <v>3</v>
      </c>
    </row>
    <row r="180" spans="1:23">
      <c r="A180">
        <v>1174</v>
      </c>
      <c r="B180">
        <v>5.2169999999999996</v>
      </c>
      <c r="D180" s="9">
        <v>-6.4750000000000005</v>
      </c>
      <c r="E180" s="9">
        <v>5</v>
      </c>
      <c r="F180" s="9">
        <v>2</v>
      </c>
      <c r="G180" s="9">
        <v>1936</v>
      </c>
      <c r="H180" s="31">
        <v>1940</v>
      </c>
      <c r="I180" s="32"/>
      <c r="J180" s="32"/>
      <c r="K180" s="9">
        <v>-0.373</v>
      </c>
      <c r="L180" s="9">
        <v>4</v>
      </c>
      <c r="M180" s="9">
        <v>1816</v>
      </c>
      <c r="O180" s="9">
        <v>1</v>
      </c>
      <c r="P180" s="9">
        <v>3</v>
      </c>
      <c r="Q180" s="9">
        <v>1974</v>
      </c>
      <c r="S180" s="9">
        <v>1936</v>
      </c>
      <c r="T180" s="31">
        <v>1940</v>
      </c>
      <c r="U180" s="9">
        <v>-6.4750000000000005</v>
      </c>
      <c r="V180" s="9">
        <v>5</v>
      </c>
      <c r="W180" s="9">
        <v>2</v>
      </c>
    </row>
    <row r="181" spans="1:23">
      <c r="A181">
        <v>1175</v>
      </c>
      <c r="B181">
        <v>4.8460000000000001</v>
      </c>
      <c r="D181" s="9">
        <v>-0.10199999999999999</v>
      </c>
      <c r="E181" s="9">
        <v>1</v>
      </c>
      <c r="F181" s="9">
        <v>7</v>
      </c>
      <c r="G181" s="9">
        <v>1943</v>
      </c>
      <c r="H181" s="31">
        <v>1943</v>
      </c>
      <c r="I181" s="32"/>
      <c r="J181" s="32"/>
      <c r="K181" s="9">
        <v>-0.371</v>
      </c>
      <c r="L181" s="9">
        <v>3</v>
      </c>
      <c r="M181" s="9">
        <v>1433</v>
      </c>
      <c r="O181" s="9">
        <v>1</v>
      </c>
      <c r="P181" s="9">
        <v>4</v>
      </c>
      <c r="Q181" s="9">
        <v>1812</v>
      </c>
      <c r="S181" s="9">
        <v>1943</v>
      </c>
      <c r="T181" s="31">
        <v>1943</v>
      </c>
      <c r="U181" s="9">
        <v>-0.10199999999999999</v>
      </c>
      <c r="V181" s="9">
        <v>1</v>
      </c>
      <c r="W181" s="9">
        <v>7</v>
      </c>
    </row>
    <row r="182" spans="1:23">
      <c r="A182">
        <v>1176</v>
      </c>
      <c r="B182">
        <v>1.022</v>
      </c>
      <c r="D182" s="9">
        <v>-0.246</v>
      </c>
      <c r="E182" s="9">
        <v>1</v>
      </c>
      <c r="F182" s="9">
        <v>5</v>
      </c>
      <c r="G182" s="9">
        <v>1948</v>
      </c>
      <c r="H182" s="31">
        <v>1948</v>
      </c>
      <c r="I182" s="32"/>
      <c r="J182" s="32"/>
      <c r="K182" s="9">
        <v>-0.36299999999999999</v>
      </c>
      <c r="L182" s="9">
        <v>2</v>
      </c>
      <c r="M182" s="9">
        <v>1961</v>
      </c>
      <c r="O182" s="9">
        <v>1</v>
      </c>
      <c r="P182" s="9">
        <v>3</v>
      </c>
      <c r="Q182" s="9">
        <v>1808</v>
      </c>
      <c r="S182" s="9">
        <v>1948</v>
      </c>
      <c r="T182" s="31">
        <v>1948</v>
      </c>
      <c r="U182" s="9">
        <v>-0.246</v>
      </c>
      <c r="V182" s="9">
        <v>1</v>
      </c>
      <c r="W182" s="9">
        <v>5</v>
      </c>
    </row>
    <row r="183" spans="1:23">
      <c r="A183">
        <v>1177</v>
      </c>
      <c r="B183">
        <v>0.72499999999999998</v>
      </c>
      <c r="D183" s="9">
        <v>-18.978000000000002</v>
      </c>
      <c r="E183" s="9">
        <v>6</v>
      </c>
      <c r="F183" s="9">
        <v>3</v>
      </c>
      <c r="G183" s="9">
        <v>1951</v>
      </c>
      <c r="H183" s="31">
        <v>1956</v>
      </c>
      <c r="I183" s="32"/>
      <c r="J183" s="32"/>
      <c r="K183" s="9">
        <v>-0.36</v>
      </c>
      <c r="L183" s="9">
        <v>4</v>
      </c>
      <c r="M183" s="9">
        <v>1585</v>
      </c>
      <c r="O183" s="9">
        <v>1</v>
      </c>
      <c r="P183" s="9">
        <v>2</v>
      </c>
      <c r="Q183" s="9">
        <v>1961</v>
      </c>
      <c r="S183" s="9">
        <v>1951</v>
      </c>
      <c r="T183" s="31">
        <v>1956</v>
      </c>
      <c r="U183" s="9">
        <v>-18.978000000000002</v>
      </c>
      <c r="V183" s="9">
        <v>6</v>
      </c>
      <c r="W183" s="9">
        <v>3</v>
      </c>
    </row>
    <row r="184" spans="1:23">
      <c r="A184">
        <v>1178</v>
      </c>
      <c r="B184">
        <v>2.0990000000000002</v>
      </c>
      <c r="D184" s="9">
        <v>-0.41699999999999998</v>
      </c>
      <c r="E184" s="9">
        <v>1</v>
      </c>
      <c r="F184" s="9">
        <v>8</v>
      </c>
      <c r="G184" s="9">
        <v>1959</v>
      </c>
      <c r="H184" s="31">
        <v>1959</v>
      </c>
      <c r="I184" s="32"/>
      <c r="J184" s="32"/>
      <c r="K184" s="9">
        <v>-0.34200000000000003</v>
      </c>
      <c r="L184" s="9">
        <v>3</v>
      </c>
      <c r="M184" s="9">
        <v>1974</v>
      </c>
      <c r="O184" s="9">
        <v>1</v>
      </c>
      <c r="P184" s="9">
        <v>4</v>
      </c>
      <c r="Q184" s="9">
        <v>1988</v>
      </c>
      <c r="S184" s="9">
        <v>1959</v>
      </c>
      <c r="T184" s="31">
        <v>1959</v>
      </c>
      <c r="U184" s="9">
        <v>-0.41699999999999998</v>
      </c>
      <c r="V184" s="9">
        <v>1</v>
      </c>
      <c r="W184" s="9">
        <v>8</v>
      </c>
    </row>
    <row r="185" spans="1:23">
      <c r="A185">
        <v>1179</v>
      </c>
      <c r="B185">
        <v>0.36499999999999999</v>
      </c>
      <c r="D185" s="9">
        <v>-0.36299999999999999</v>
      </c>
      <c r="E185" s="9">
        <v>1</v>
      </c>
      <c r="F185" s="9">
        <v>2</v>
      </c>
      <c r="G185" s="9">
        <v>1961</v>
      </c>
      <c r="H185" s="31">
        <v>1961</v>
      </c>
      <c r="I185" s="32"/>
      <c r="J185" s="32"/>
      <c r="K185" s="9">
        <v>-0.32400000000000001</v>
      </c>
      <c r="L185" s="9">
        <v>2</v>
      </c>
      <c r="M185" s="9">
        <v>1442</v>
      </c>
      <c r="O185" s="9">
        <v>1</v>
      </c>
      <c r="P185" s="9">
        <v>4</v>
      </c>
      <c r="Q185" s="9">
        <v>1984</v>
      </c>
      <c r="S185" s="9">
        <v>1961</v>
      </c>
      <c r="T185" s="31">
        <v>1961</v>
      </c>
      <c r="U185" s="9">
        <v>-0.36299999999999999</v>
      </c>
      <c r="V185" s="9">
        <v>1</v>
      </c>
      <c r="W185" s="9">
        <v>2</v>
      </c>
    </row>
    <row r="186" spans="1:23">
      <c r="A186">
        <v>1180</v>
      </c>
      <c r="B186">
        <v>0.13800000000000001</v>
      </c>
      <c r="D186" s="9">
        <v>-4.609</v>
      </c>
      <c r="E186" s="9">
        <v>2</v>
      </c>
      <c r="F186" s="9">
        <v>2</v>
      </c>
      <c r="G186" s="9">
        <v>1963</v>
      </c>
      <c r="H186" s="31">
        <v>1964</v>
      </c>
      <c r="I186" s="32"/>
      <c r="J186" s="32"/>
      <c r="K186" s="9">
        <v>-0.312</v>
      </c>
      <c r="L186" s="9">
        <v>3</v>
      </c>
      <c r="M186" s="9">
        <v>1661</v>
      </c>
      <c r="O186" s="9">
        <v>1</v>
      </c>
      <c r="P186" s="9">
        <v>5</v>
      </c>
      <c r="Q186" s="9">
        <v>2003</v>
      </c>
      <c r="S186" s="9">
        <v>1963</v>
      </c>
      <c r="T186" s="31">
        <v>1964</v>
      </c>
      <c r="U186" s="9">
        <v>-4.609</v>
      </c>
      <c r="V186" s="9">
        <v>2</v>
      </c>
      <c r="W186" s="9">
        <v>2</v>
      </c>
    </row>
    <row r="187" spans="1:23">
      <c r="A187">
        <v>1181</v>
      </c>
      <c r="B187">
        <v>-0.67600000000000005</v>
      </c>
      <c r="D187" s="9">
        <v>-3.3540000000000001</v>
      </c>
      <c r="E187" s="9">
        <v>2</v>
      </c>
      <c r="F187" s="9">
        <v>3</v>
      </c>
      <c r="G187" s="9">
        <v>1966</v>
      </c>
      <c r="H187" s="31">
        <v>1967</v>
      </c>
      <c r="I187" s="32"/>
      <c r="J187" s="32"/>
      <c r="K187" s="9">
        <v>-0.28499999999999998</v>
      </c>
      <c r="L187" s="9">
        <v>6</v>
      </c>
      <c r="M187" s="9">
        <v>1899</v>
      </c>
      <c r="O187" s="9">
        <v>1</v>
      </c>
      <c r="P187" s="9">
        <v>8</v>
      </c>
      <c r="Q187" s="9">
        <v>1996</v>
      </c>
      <c r="S187" s="9">
        <v>1966</v>
      </c>
      <c r="T187" s="31">
        <v>1967</v>
      </c>
      <c r="U187" s="9">
        <v>-3.3540000000000001</v>
      </c>
      <c r="V187" s="9">
        <v>2</v>
      </c>
      <c r="W187" s="9">
        <v>3</v>
      </c>
    </row>
    <row r="188" spans="1:23">
      <c r="A188">
        <v>1182</v>
      </c>
      <c r="B188">
        <v>0.84599999999999997</v>
      </c>
      <c r="D188" s="9">
        <v>-5.399</v>
      </c>
      <c r="E188" s="9">
        <v>2</v>
      </c>
      <c r="F188" s="9">
        <v>5</v>
      </c>
      <c r="G188" s="9">
        <v>1971</v>
      </c>
      <c r="H188" s="31">
        <v>1972</v>
      </c>
      <c r="I188" s="32"/>
      <c r="J188" s="32"/>
      <c r="K188" s="9">
        <v>-0.246</v>
      </c>
      <c r="L188" s="9">
        <v>5</v>
      </c>
      <c r="M188" s="9">
        <v>1948</v>
      </c>
      <c r="O188" s="9">
        <v>1</v>
      </c>
      <c r="P188" s="9">
        <v>3</v>
      </c>
      <c r="Q188" s="9">
        <v>1889</v>
      </c>
      <c r="S188" s="9">
        <v>1971</v>
      </c>
      <c r="T188" s="31">
        <v>1972</v>
      </c>
      <c r="U188" s="9">
        <v>-5.399</v>
      </c>
      <c r="V188" s="9">
        <v>2</v>
      </c>
      <c r="W188" s="9">
        <v>5</v>
      </c>
    </row>
    <row r="189" spans="1:23">
      <c r="A189">
        <v>1183</v>
      </c>
      <c r="B189">
        <v>-0.90600000000000003</v>
      </c>
      <c r="D189" s="9">
        <v>-0.34200000000000003</v>
      </c>
      <c r="E189" s="9">
        <v>1</v>
      </c>
      <c r="F189" s="9">
        <v>3</v>
      </c>
      <c r="G189" s="9">
        <v>1974</v>
      </c>
      <c r="H189" s="31">
        <v>1974</v>
      </c>
      <c r="I189" s="32"/>
      <c r="J189" s="32"/>
      <c r="K189" s="9">
        <v>-0.20899999999999999</v>
      </c>
      <c r="L189" s="9">
        <v>6</v>
      </c>
      <c r="M189" s="9">
        <v>1931</v>
      </c>
      <c r="O189" s="9">
        <v>1</v>
      </c>
      <c r="P189" s="9">
        <v>9</v>
      </c>
      <c r="Q189" s="9">
        <v>1798</v>
      </c>
      <c r="S189" s="9">
        <v>1974</v>
      </c>
      <c r="T189" s="31">
        <v>1974</v>
      </c>
      <c r="U189" s="9">
        <v>-0.34200000000000003</v>
      </c>
      <c r="V189" s="9">
        <v>1</v>
      </c>
      <c r="W189" s="9">
        <v>3</v>
      </c>
    </row>
    <row r="190" spans="1:23">
      <c r="A190">
        <v>1184</v>
      </c>
      <c r="B190">
        <v>-2.504</v>
      </c>
      <c r="D190" s="9">
        <v>-2.4350000000000001</v>
      </c>
      <c r="E190" s="9">
        <v>1</v>
      </c>
      <c r="F190" s="9">
        <v>4</v>
      </c>
      <c r="G190" s="9">
        <v>1978</v>
      </c>
      <c r="H190" s="31">
        <v>1978</v>
      </c>
      <c r="I190" s="32"/>
      <c r="J190" s="32"/>
      <c r="K190" s="9">
        <v>-0.192</v>
      </c>
      <c r="L190" s="9">
        <v>3</v>
      </c>
      <c r="M190" s="9">
        <v>1272</v>
      </c>
      <c r="O190" s="9">
        <v>1</v>
      </c>
      <c r="P190" s="9">
        <v>3</v>
      </c>
      <c r="Q190" s="9">
        <v>1904</v>
      </c>
      <c r="S190" s="9">
        <v>1978</v>
      </c>
      <c r="T190" s="31">
        <v>1978</v>
      </c>
      <c r="U190" s="9">
        <v>-2.4350000000000001</v>
      </c>
      <c r="V190" s="9">
        <v>1</v>
      </c>
      <c r="W190" s="9">
        <v>4</v>
      </c>
    </row>
    <row r="191" spans="1:23">
      <c r="A191">
        <v>1185</v>
      </c>
      <c r="B191">
        <v>-1.4970000000000001</v>
      </c>
      <c r="D191" s="9">
        <v>-1.617</v>
      </c>
      <c r="E191" s="9">
        <v>1</v>
      </c>
      <c r="F191" s="9">
        <v>2</v>
      </c>
      <c r="G191" s="9">
        <v>1980</v>
      </c>
      <c r="H191" s="31">
        <v>1980</v>
      </c>
      <c r="I191" s="32"/>
      <c r="J191" s="32"/>
      <c r="K191" s="9">
        <v>-0.14599999999999999</v>
      </c>
      <c r="L191" s="9">
        <v>6</v>
      </c>
      <c r="M191" s="9">
        <v>1693</v>
      </c>
      <c r="O191" s="9">
        <v>1</v>
      </c>
      <c r="P191" s="9">
        <v>6</v>
      </c>
      <c r="Q191" s="9">
        <v>1899</v>
      </c>
      <c r="S191" s="9">
        <v>1980</v>
      </c>
      <c r="T191" s="31">
        <v>1980</v>
      </c>
      <c r="U191" s="9">
        <v>-1.617</v>
      </c>
      <c r="V191" s="9">
        <v>1</v>
      </c>
      <c r="W191" s="9">
        <v>2</v>
      </c>
    </row>
    <row r="192" spans="1:23">
      <c r="A192">
        <v>1186</v>
      </c>
      <c r="B192">
        <v>-1.2070000000000001</v>
      </c>
      <c r="D192" s="9">
        <v>-2.0619999999999998</v>
      </c>
      <c r="E192" s="9">
        <v>1</v>
      </c>
      <c r="F192" s="9">
        <v>4</v>
      </c>
      <c r="G192" s="9">
        <v>1984</v>
      </c>
      <c r="H192" s="31">
        <v>1984</v>
      </c>
      <c r="I192" s="32"/>
      <c r="J192" s="32"/>
      <c r="K192" s="9">
        <v>-0.13800000000000001</v>
      </c>
      <c r="L192" s="9">
        <v>3</v>
      </c>
      <c r="M192" s="9">
        <v>1325</v>
      </c>
      <c r="O192" s="9">
        <v>1</v>
      </c>
      <c r="P192" s="9">
        <v>8</v>
      </c>
      <c r="Q192" s="9">
        <v>1780</v>
      </c>
      <c r="S192" s="9">
        <v>1984</v>
      </c>
      <c r="T192" s="31">
        <v>1984</v>
      </c>
      <c r="U192" s="9">
        <v>-2.0619999999999998</v>
      </c>
      <c r="V192" s="9">
        <v>1</v>
      </c>
      <c r="W192" s="9">
        <v>4</v>
      </c>
    </row>
    <row r="193" spans="1:23">
      <c r="A193">
        <v>1187</v>
      </c>
      <c r="B193">
        <v>-1.538</v>
      </c>
      <c r="D193" s="9">
        <v>-1.306</v>
      </c>
      <c r="E193" s="9">
        <v>1</v>
      </c>
      <c r="F193" s="9">
        <v>4</v>
      </c>
      <c r="G193" s="9">
        <v>1988</v>
      </c>
      <c r="H193" s="31">
        <v>1988</v>
      </c>
      <c r="I193" s="32"/>
      <c r="J193" s="32"/>
      <c r="K193" s="9">
        <v>-0.13200000000000001</v>
      </c>
      <c r="L193" s="9">
        <v>5</v>
      </c>
      <c r="M193" s="9">
        <v>1066</v>
      </c>
      <c r="O193" s="9">
        <v>1</v>
      </c>
      <c r="P193" s="9">
        <v>3</v>
      </c>
      <c r="Q193" s="9">
        <v>1822</v>
      </c>
      <c r="S193" s="9">
        <v>1988</v>
      </c>
      <c r="T193" s="31">
        <v>1988</v>
      </c>
      <c r="U193" s="9">
        <v>-1.306</v>
      </c>
      <c r="V193" s="9">
        <v>1</v>
      </c>
      <c r="W193" s="9">
        <v>4</v>
      </c>
    </row>
    <row r="194" spans="1:23">
      <c r="A194">
        <v>1188</v>
      </c>
      <c r="B194">
        <v>1.103</v>
      </c>
      <c r="D194" s="9">
        <v>-1.619</v>
      </c>
      <c r="E194" s="9">
        <v>1</v>
      </c>
      <c r="F194" s="9">
        <v>8</v>
      </c>
      <c r="G194" s="9">
        <v>1996</v>
      </c>
      <c r="H194" s="31">
        <v>1996</v>
      </c>
      <c r="I194" s="32"/>
      <c r="J194" s="32"/>
      <c r="K194" s="9">
        <v>-0.10199999999999999</v>
      </c>
      <c r="L194" s="9">
        <v>7</v>
      </c>
      <c r="M194" s="9">
        <v>1943</v>
      </c>
      <c r="O194" s="9">
        <v>1</v>
      </c>
      <c r="P194" s="9">
        <v>4</v>
      </c>
      <c r="Q194" s="9">
        <v>1816</v>
      </c>
      <c r="S194" s="9">
        <v>1996</v>
      </c>
      <c r="T194" s="31">
        <v>1996</v>
      </c>
      <c r="U194" s="9">
        <v>-1.619</v>
      </c>
      <c r="V194" s="9">
        <v>1</v>
      </c>
      <c r="W194" s="9">
        <v>8</v>
      </c>
    </row>
    <row r="195" spans="1:23">
      <c r="A195">
        <v>1189</v>
      </c>
      <c r="B195">
        <v>0.27</v>
      </c>
      <c r="D195" s="9">
        <v>-4.101</v>
      </c>
      <c r="E195" s="9">
        <v>3</v>
      </c>
      <c r="F195" s="9">
        <v>2</v>
      </c>
      <c r="G195" s="9">
        <v>1998</v>
      </c>
      <c r="H195" s="31">
        <v>2000</v>
      </c>
      <c r="I195" s="32"/>
      <c r="J195" s="32"/>
      <c r="K195" s="9">
        <v>-8.9999999999999993E-3</v>
      </c>
      <c r="L195" s="9">
        <v>4</v>
      </c>
      <c r="M195" s="9">
        <v>1492</v>
      </c>
      <c r="O195" s="9">
        <v>1</v>
      </c>
      <c r="P195" s="9">
        <v>7</v>
      </c>
      <c r="Q195" s="9">
        <v>1734</v>
      </c>
      <c r="S195" s="9">
        <v>1998</v>
      </c>
      <c r="T195" s="31">
        <v>2000</v>
      </c>
      <c r="U195" s="9">
        <v>-4.101</v>
      </c>
      <c r="V195" s="9">
        <v>3</v>
      </c>
      <c r="W195" s="9">
        <v>2</v>
      </c>
    </row>
    <row r="196" spans="1:23">
      <c r="A196">
        <v>1190</v>
      </c>
      <c r="B196">
        <v>2.0840000000000001</v>
      </c>
      <c r="D196" s="9">
        <v>-0.72599999999999998</v>
      </c>
      <c r="E196" s="9">
        <v>1</v>
      </c>
      <c r="F196" s="9">
        <v>5</v>
      </c>
      <c r="G196" s="9">
        <v>2003</v>
      </c>
      <c r="H196" s="31">
        <v>2003</v>
      </c>
      <c r="I196" s="32"/>
      <c r="J196" s="32"/>
      <c r="K196" s="9">
        <v>-7.0000000000000001E-3</v>
      </c>
      <c r="L196" s="9">
        <v>2</v>
      </c>
      <c r="M196" s="9">
        <v>1483</v>
      </c>
      <c r="O196" s="9">
        <v>1</v>
      </c>
      <c r="P196" s="9">
        <v>8</v>
      </c>
      <c r="Q196" s="9">
        <v>1722</v>
      </c>
      <c r="S196" s="9">
        <v>2003</v>
      </c>
      <c r="T196" s="31">
        <v>2003</v>
      </c>
      <c r="U196" s="9">
        <v>-0.72599999999999998</v>
      </c>
      <c r="V196" s="9">
        <v>1</v>
      </c>
      <c r="W196" s="9">
        <v>5</v>
      </c>
    </row>
    <row r="197" spans="1:23">
      <c r="A197">
        <v>1191</v>
      </c>
      <c r="B197">
        <v>0.80100000000000005</v>
      </c>
      <c r="H197" s="31"/>
      <c r="I197" s="32"/>
      <c r="J197" s="32"/>
      <c r="T197" s="31"/>
    </row>
    <row r="198" spans="1:23">
      <c r="A198">
        <v>1192</v>
      </c>
      <c r="B198">
        <v>-0.36899999999999999</v>
      </c>
      <c r="F198" s="9">
        <f>AVERAGE(F2:F196)</f>
        <v>5.1641025641025644</v>
      </c>
      <c r="W198" s="9">
        <f>AVERAGE(W2:W196)</f>
        <v>5.1641025641025644</v>
      </c>
    </row>
    <row r="199" spans="1:23">
      <c r="A199">
        <v>1193</v>
      </c>
      <c r="B199">
        <v>-2.6930000000000001</v>
      </c>
    </row>
    <row r="200" spans="1:23">
      <c r="A200">
        <v>1194</v>
      </c>
      <c r="B200">
        <v>-1.268</v>
      </c>
    </row>
    <row r="201" spans="1:23">
      <c r="A201">
        <v>1195</v>
      </c>
      <c r="B201">
        <v>-0.216</v>
      </c>
    </row>
    <row r="202" spans="1:23">
      <c r="A202">
        <v>1196</v>
      </c>
      <c r="B202">
        <v>2.98</v>
      </c>
    </row>
    <row r="203" spans="1:23">
      <c r="A203">
        <v>1197</v>
      </c>
      <c r="B203">
        <v>0.64300000000000002</v>
      </c>
    </row>
    <row r="204" spans="1:23">
      <c r="A204">
        <v>1198</v>
      </c>
      <c r="B204">
        <v>-4.0640000000000001</v>
      </c>
    </row>
    <row r="205" spans="1:23">
      <c r="A205">
        <v>1199</v>
      </c>
      <c r="B205">
        <v>-2.5299999999999998</v>
      </c>
    </row>
    <row r="206" spans="1:23">
      <c r="A206">
        <v>1200</v>
      </c>
      <c r="B206">
        <v>-2.3260000000000001</v>
      </c>
    </row>
    <row r="207" spans="1:23">
      <c r="A207">
        <v>1201</v>
      </c>
      <c r="B207">
        <v>-2.496</v>
      </c>
    </row>
    <row r="208" spans="1:23">
      <c r="A208">
        <v>1202</v>
      </c>
      <c r="B208">
        <v>-2.851</v>
      </c>
    </row>
    <row r="209" spans="1:2">
      <c r="A209">
        <v>1203</v>
      </c>
      <c r="B209">
        <v>-1.5529999999999999</v>
      </c>
    </row>
    <row r="210" spans="1:2">
      <c r="A210">
        <v>1204</v>
      </c>
      <c r="B210">
        <v>-0.65</v>
      </c>
    </row>
    <row r="211" spans="1:2">
      <c r="A211">
        <v>1205</v>
      </c>
      <c r="B211">
        <v>0.66900000000000004</v>
      </c>
    </row>
    <row r="212" spans="1:2">
      <c r="A212">
        <v>1206</v>
      </c>
      <c r="B212">
        <v>0.38500000000000001</v>
      </c>
    </row>
    <row r="213" spans="1:2">
      <c r="A213">
        <v>1207</v>
      </c>
      <c r="B213">
        <v>-2.95</v>
      </c>
    </row>
    <row r="214" spans="1:2">
      <c r="A214">
        <v>1208</v>
      </c>
      <c r="B214">
        <v>-1.9259999999999999</v>
      </c>
    </row>
    <row r="215" spans="1:2">
      <c r="A215">
        <v>1209</v>
      </c>
      <c r="B215">
        <v>-2.8450000000000002</v>
      </c>
    </row>
    <row r="216" spans="1:2">
      <c r="A216">
        <v>1210</v>
      </c>
      <c r="B216">
        <v>-3.9580000000000002</v>
      </c>
    </row>
    <row r="217" spans="1:2">
      <c r="A217">
        <v>1211</v>
      </c>
      <c r="B217">
        <v>-3.036</v>
      </c>
    </row>
    <row r="218" spans="1:2">
      <c r="A218">
        <v>1212</v>
      </c>
      <c r="B218">
        <v>-0.42899999999999999</v>
      </c>
    </row>
    <row r="219" spans="1:2">
      <c r="A219">
        <v>1213</v>
      </c>
      <c r="B219">
        <v>-0.879</v>
      </c>
    </row>
    <row r="220" spans="1:2">
      <c r="A220">
        <v>1214</v>
      </c>
      <c r="B220">
        <v>-1.7509999999999999</v>
      </c>
    </row>
    <row r="221" spans="1:2">
      <c r="A221">
        <v>1215</v>
      </c>
      <c r="B221">
        <v>-4.931</v>
      </c>
    </row>
    <row r="222" spans="1:2">
      <c r="A222">
        <v>1216</v>
      </c>
      <c r="B222">
        <v>-3.9329999999999998</v>
      </c>
    </row>
    <row r="223" spans="1:2">
      <c r="A223">
        <v>1217</v>
      </c>
      <c r="B223">
        <v>-1.1419999999999999</v>
      </c>
    </row>
    <row r="224" spans="1:2">
      <c r="A224">
        <v>1218</v>
      </c>
      <c r="B224">
        <v>0.76200000000000001</v>
      </c>
    </row>
    <row r="225" spans="1:2">
      <c r="A225">
        <v>1219</v>
      </c>
      <c r="B225">
        <v>1.5509999999999999</v>
      </c>
    </row>
    <row r="226" spans="1:2">
      <c r="A226">
        <v>1220</v>
      </c>
      <c r="B226">
        <v>3.5000000000000003E-2</v>
      </c>
    </row>
    <row r="227" spans="1:2">
      <c r="A227">
        <v>1221</v>
      </c>
      <c r="B227">
        <v>-2.6840000000000002</v>
      </c>
    </row>
    <row r="228" spans="1:2">
      <c r="A228">
        <v>1222</v>
      </c>
      <c r="B228">
        <v>-1.5649999999999999</v>
      </c>
    </row>
    <row r="229" spans="1:2">
      <c r="A229">
        <v>1223</v>
      </c>
      <c r="B229">
        <v>-2.6429999999999998</v>
      </c>
    </row>
    <row r="230" spans="1:2">
      <c r="A230">
        <v>1224</v>
      </c>
      <c r="B230">
        <v>-3.5619999999999998</v>
      </c>
    </row>
    <row r="231" spans="1:2">
      <c r="A231">
        <v>1225</v>
      </c>
      <c r="B231">
        <v>-2.4710000000000001</v>
      </c>
    </row>
    <row r="232" spans="1:2">
      <c r="A232">
        <v>1226</v>
      </c>
      <c r="B232">
        <v>-0.71199999999999997</v>
      </c>
    </row>
    <row r="233" spans="1:2">
      <c r="A233">
        <v>1227</v>
      </c>
      <c r="B233">
        <v>1.2669999999999999</v>
      </c>
    </row>
    <row r="234" spans="1:2">
      <c r="A234">
        <v>1228</v>
      </c>
      <c r="B234">
        <v>1.181</v>
      </c>
    </row>
    <row r="235" spans="1:2">
      <c r="A235">
        <v>1229</v>
      </c>
      <c r="B235">
        <v>-2.81</v>
      </c>
    </row>
    <row r="236" spans="1:2">
      <c r="A236">
        <v>1230</v>
      </c>
      <c r="B236">
        <v>-2.6669999999999998</v>
      </c>
    </row>
    <row r="237" spans="1:2">
      <c r="A237">
        <v>1231</v>
      </c>
      <c r="B237">
        <v>-2.9860000000000002</v>
      </c>
    </row>
    <row r="238" spans="1:2">
      <c r="A238">
        <v>1232</v>
      </c>
      <c r="B238">
        <v>-3.58</v>
      </c>
    </row>
    <row r="239" spans="1:2">
      <c r="A239">
        <v>1233</v>
      </c>
      <c r="B239">
        <v>-3.7349999999999999</v>
      </c>
    </row>
    <row r="240" spans="1:2">
      <c r="A240">
        <v>1234</v>
      </c>
      <c r="B240">
        <v>-1.534</v>
      </c>
    </row>
    <row r="241" spans="1:2">
      <c r="A241">
        <v>1235</v>
      </c>
      <c r="B241">
        <v>0.51800000000000002</v>
      </c>
    </row>
    <row r="242" spans="1:2">
      <c r="A242">
        <v>1236</v>
      </c>
      <c r="B242">
        <v>-4.0709999999999997</v>
      </c>
    </row>
    <row r="243" spans="1:2">
      <c r="A243">
        <v>1237</v>
      </c>
      <c r="B243">
        <v>-0.85199999999999998</v>
      </c>
    </row>
    <row r="244" spans="1:2">
      <c r="A244">
        <v>1238</v>
      </c>
      <c r="B244">
        <v>-1.7170000000000001</v>
      </c>
    </row>
    <row r="245" spans="1:2">
      <c r="A245">
        <v>1239</v>
      </c>
      <c r="B245">
        <v>-2.9420000000000002</v>
      </c>
    </row>
    <row r="246" spans="1:2">
      <c r="A246">
        <v>1240</v>
      </c>
      <c r="B246">
        <v>-5.7539999999999996</v>
      </c>
    </row>
    <row r="247" spans="1:2">
      <c r="A247">
        <v>1241</v>
      </c>
      <c r="B247">
        <v>-3.6459999999999999</v>
      </c>
    </row>
    <row r="248" spans="1:2">
      <c r="A248">
        <v>1242</v>
      </c>
      <c r="B248">
        <v>-0.77500000000000002</v>
      </c>
    </row>
    <row r="249" spans="1:2">
      <c r="A249">
        <v>1243</v>
      </c>
      <c r="B249">
        <v>0.55200000000000005</v>
      </c>
    </row>
    <row r="250" spans="1:2">
      <c r="A250">
        <v>1244</v>
      </c>
      <c r="B250">
        <v>-1.079</v>
      </c>
    </row>
    <row r="251" spans="1:2">
      <c r="A251">
        <v>1245</v>
      </c>
      <c r="B251">
        <v>-2.0760000000000001</v>
      </c>
    </row>
    <row r="252" spans="1:2">
      <c r="A252">
        <v>1246</v>
      </c>
      <c r="B252">
        <v>-2.9580000000000002</v>
      </c>
    </row>
    <row r="253" spans="1:2">
      <c r="A253">
        <v>1247</v>
      </c>
      <c r="B253">
        <v>-2.2080000000000002</v>
      </c>
    </row>
    <row r="254" spans="1:2">
      <c r="A254">
        <v>1248</v>
      </c>
      <c r="B254">
        <v>-1.7689999999999999</v>
      </c>
    </row>
    <row r="255" spans="1:2">
      <c r="A255">
        <v>1249</v>
      </c>
      <c r="B255">
        <v>-1.1659999999999999</v>
      </c>
    </row>
    <row r="256" spans="1:2">
      <c r="A256">
        <v>1250</v>
      </c>
      <c r="B256">
        <v>-0.12</v>
      </c>
    </row>
    <row r="257" spans="1:2">
      <c r="A257">
        <v>1251</v>
      </c>
      <c r="B257">
        <v>-1.0660000000000001</v>
      </c>
    </row>
    <row r="258" spans="1:2">
      <c r="A258">
        <v>1252</v>
      </c>
      <c r="B258">
        <v>0.92200000000000004</v>
      </c>
    </row>
    <row r="259" spans="1:2">
      <c r="A259">
        <v>1253</v>
      </c>
      <c r="B259">
        <v>4.8000000000000001E-2</v>
      </c>
    </row>
    <row r="260" spans="1:2">
      <c r="A260">
        <v>1254</v>
      </c>
      <c r="B260">
        <v>-2.274</v>
      </c>
    </row>
    <row r="261" spans="1:2">
      <c r="A261">
        <v>1255</v>
      </c>
      <c r="B261">
        <v>-4.4550000000000001</v>
      </c>
    </row>
    <row r="262" spans="1:2">
      <c r="A262">
        <v>1256</v>
      </c>
      <c r="B262">
        <v>-3.512</v>
      </c>
    </row>
    <row r="263" spans="1:2">
      <c r="A263">
        <v>1257</v>
      </c>
      <c r="B263">
        <v>4.0000000000000001E-3</v>
      </c>
    </row>
    <row r="264" spans="1:2">
      <c r="A264">
        <v>1258</v>
      </c>
      <c r="B264">
        <v>-0.753</v>
      </c>
    </row>
    <row r="265" spans="1:2">
      <c r="A265">
        <v>1259</v>
      </c>
      <c r="B265">
        <v>0.90300000000000002</v>
      </c>
    </row>
    <row r="266" spans="1:2">
      <c r="A266">
        <v>1260</v>
      </c>
      <c r="B266">
        <v>-0.54600000000000004</v>
      </c>
    </row>
    <row r="267" spans="1:2">
      <c r="A267">
        <v>1261</v>
      </c>
      <c r="B267">
        <v>-0.77600000000000002</v>
      </c>
    </row>
    <row r="268" spans="1:2">
      <c r="A268">
        <v>1262</v>
      </c>
      <c r="B268">
        <v>0.47399999999999998</v>
      </c>
    </row>
    <row r="269" spans="1:2">
      <c r="A269">
        <v>1263</v>
      </c>
      <c r="B269">
        <v>1.478</v>
      </c>
    </row>
    <row r="270" spans="1:2">
      <c r="A270">
        <v>1264</v>
      </c>
      <c r="B270">
        <v>0.76300000000000001</v>
      </c>
    </row>
    <row r="271" spans="1:2">
      <c r="A271">
        <v>1265</v>
      </c>
      <c r="B271">
        <v>3.4449999999999998</v>
      </c>
    </row>
    <row r="272" spans="1:2">
      <c r="A272">
        <v>1266</v>
      </c>
      <c r="B272">
        <v>2.4889999999999999</v>
      </c>
    </row>
    <row r="273" spans="1:2">
      <c r="A273">
        <v>1267</v>
      </c>
      <c r="B273">
        <v>2.6469999999999998</v>
      </c>
    </row>
    <row r="274" spans="1:2">
      <c r="A274">
        <v>1268</v>
      </c>
      <c r="B274">
        <v>1.9039999999999999</v>
      </c>
    </row>
    <row r="275" spans="1:2">
      <c r="A275">
        <v>1269</v>
      </c>
      <c r="B275">
        <v>-3.1930000000000001</v>
      </c>
    </row>
    <row r="276" spans="1:2">
      <c r="A276">
        <v>1270</v>
      </c>
      <c r="B276">
        <v>-4.1000000000000002E-2</v>
      </c>
    </row>
    <row r="277" spans="1:2">
      <c r="A277">
        <v>1271</v>
      </c>
      <c r="B277">
        <v>3.87</v>
      </c>
    </row>
    <row r="278" spans="1:2">
      <c r="A278">
        <v>1272</v>
      </c>
      <c r="B278">
        <v>-0.192</v>
      </c>
    </row>
    <row r="279" spans="1:2">
      <c r="A279">
        <v>1273</v>
      </c>
      <c r="B279">
        <v>3.9750000000000001</v>
      </c>
    </row>
    <row r="280" spans="1:2">
      <c r="A280">
        <v>1274</v>
      </c>
      <c r="B280">
        <v>-1.825</v>
      </c>
    </row>
    <row r="281" spans="1:2">
      <c r="A281">
        <v>1275</v>
      </c>
      <c r="B281">
        <v>-3.9369999999999998</v>
      </c>
    </row>
    <row r="282" spans="1:2">
      <c r="A282">
        <v>1276</v>
      </c>
      <c r="B282">
        <v>-2.798</v>
      </c>
    </row>
    <row r="283" spans="1:2">
      <c r="A283">
        <v>1277</v>
      </c>
      <c r="B283">
        <v>-7.3999999999999996E-2</v>
      </c>
    </row>
    <row r="284" spans="1:2">
      <c r="A284">
        <v>1278</v>
      </c>
      <c r="B284">
        <v>1.0529999999999999</v>
      </c>
    </row>
    <row r="285" spans="1:2">
      <c r="A285">
        <v>1279</v>
      </c>
      <c r="B285">
        <v>-1.7250000000000001</v>
      </c>
    </row>
    <row r="286" spans="1:2">
      <c r="A286">
        <v>1280</v>
      </c>
      <c r="B286">
        <v>1.804</v>
      </c>
    </row>
    <row r="287" spans="1:2">
      <c r="A287">
        <v>1281</v>
      </c>
      <c r="B287">
        <v>-0.68600000000000005</v>
      </c>
    </row>
    <row r="288" spans="1:2">
      <c r="A288">
        <v>1282</v>
      </c>
      <c r="B288">
        <v>0.40300000000000002</v>
      </c>
    </row>
    <row r="289" spans="1:2">
      <c r="A289">
        <v>1283</v>
      </c>
      <c r="B289">
        <v>-1.583</v>
      </c>
    </row>
    <row r="290" spans="1:2">
      <c r="A290">
        <v>1284</v>
      </c>
      <c r="B290">
        <v>0.13800000000000001</v>
      </c>
    </row>
    <row r="291" spans="1:2">
      <c r="A291">
        <v>1285</v>
      </c>
      <c r="B291">
        <v>0.68500000000000005</v>
      </c>
    </row>
    <row r="292" spans="1:2">
      <c r="A292">
        <v>1286</v>
      </c>
      <c r="B292">
        <v>1.026</v>
      </c>
    </row>
    <row r="293" spans="1:2">
      <c r="A293">
        <v>1287</v>
      </c>
      <c r="B293">
        <v>-1.625</v>
      </c>
    </row>
    <row r="294" spans="1:2">
      <c r="A294">
        <v>1288</v>
      </c>
      <c r="B294">
        <v>-0.751</v>
      </c>
    </row>
    <row r="295" spans="1:2">
      <c r="A295">
        <v>1289</v>
      </c>
      <c r="B295">
        <v>-2.3330000000000002</v>
      </c>
    </row>
    <row r="296" spans="1:2">
      <c r="A296">
        <v>1290</v>
      </c>
      <c r="B296">
        <v>1.53</v>
      </c>
    </row>
    <row r="297" spans="1:2">
      <c r="A297">
        <v>1291</v>
      </c>
      <c r="B297">
        <v>-3.609</v>
      </c>
    </row>
    <row r="298" spans="1:2">
      <c r="A298">
        <v>1292</v>
      </c>
      <c r="B298">
        <v>-3.6749999999999998</v>
      </c>
    </row>
    <row r="299" spans="1:2">
      <c r="A299">
        <v>1293</v>
      </c>
      <c r="B299">
        <v>-2.698</v>
      </c>
    </row>
    <row r="300" spans="1:2">
      <c r="A300">
        <v>1294</v>
      </c>
      <c r="B300">
        <v>-1.089</v>
      </c>
    </row>
    <row r="301" spans="1:2">
      <c r="A301">
        <v>1295</v>
      </c>
      <c r="B301">
        <v>4.4450000000000003</v>
      </c>
    </row>
    <row r="302" spans="1:2">
      <c r="A302">
        <v>1296</v>
      </c>
      <c r="B302">
        <v>-0.48499999999999999</v>
      </c>
    </row>
    <row r="303" spans="1:2">
      <c r="A303">
        <v>1297</v>
      </c>
      <c r="B303">
        <v>-3.1549999999999998</v>
      </c>
    </row>
    <row r="304" spans="1:2">
      <c r="A304">
        <v>1298</v>
      </c>
      <c r="B304">
        <v>2.3769999999999998</v>
      </c>
    </row>
    <row r="305" spans="1:2">
      <c r="A305">
        <v>1299</v>
      </c>
      <c r="B305">
        <v>-0.72699999999999998</v>
      </c>
    </row>
    <row r="306" spans="1:2">
      <c r="A306">
        <v>1300</v>
      </c>
      <c r="B306">
        <v>-1.278</v>
      </c>
    </row>
    <row r="307" spans="1:2">
      <c r="A307">
        <v>1301</v>
      </c>
      <c r="B307">
        <v>-0.84199999999999997</v>
      </c>
    </row>
    <row r="308" spans="1:2">
      <c r="A308">
        <v>1302</v>
      </c>
      <c r="B308">
        <v>-2.8519999999999999</v>
      </c>
    </row>
    <row r="309" spans="1:2">
      <c r="A309">
        <v>1303</v>
      </c>
      <c r="B309">
        <v>-1.5549999999999999</v>
      </c>
    </row>
    <row r="310" spans="1:2">
      <c r="A310">
        <v>1304</v>
      </c>
      <c r="B310">
        <v>0.59699999999999998</v>
      </c>
    </row>
    <row r="311" spans="1:2">
      <c r="A311">
        <v>1305</v>
      </c>
      <c r="B311">
        <v>-2.16</v>
      </c>
    </row>
    <row r="312" spans="1:2">
      <c r="A312">
        <v>1306</v>
      </c>
      <c r="B312">
        <v>-0.16200000000000001</v>
      </c>
    </row>
    <row r="313" spans="1:2">
      <c r="A313">
        <v>1307</v>
      </c>
      <c r="B313">
        <v>-4.8760000000000003</v>
      </c>
    </row>
    <row r="314" spans="1:2">
      <c r="A314">
        <v>1308</v>
      </c>
      <c r="B314">
        <v>-1.6859999999999999</v>
      </c>
    </row>
    <row r="315" spans="1:2">
      <c r="A315">
        <v>1309</v>
      </c>
      <c r="B315">
        <v>0.78900000000000003</v>
      </c>
    </row>
    <row r="316" spans="1:2">
      <c r="A316">
        <v>1310</v>
      </c>
      <c r="B316">
        <v>-1.5640000000000001</v>
      </c>
    </row>
    <row r="317" spans="1:2">
      <c r="A317">
        <v>1311</v>
      </c>
      <c r="B317">
        <v>0.98399999999999999</v>
      </c>
    </row>
    <row r="318" spans="1:2">
      <c r="A318">
        <v>1312</v>
      </c>
      <c r="B318">
        <v>1.1180000000000001</v>
      </c>
    </row>
    <row r="319" spans="1:2">
      <c r="A319">
        <v>1313</v>
      </c>
      <c r="B319">
        <v>1.7270000000000001</v>
      </c>
    </row>
    <row r="320" spans="1:2">
      <c r="A320">
        <v>1314</v>
      </c>
      <c r="B320">
        <v>4.1500000000000004</v>
      </c>
    </row>
    <row r="321" spans="1:2">
      <c r="A321">
        <v>1315</v>
      </c>
      <c r="B321">
        <v>-4.0659999999999998</v>
      </c>
    </row>
    <row r="322" spans="1:2">
      <c r="A322">
        <v>1316</v>
      </c>
      <c r="B322">
        <v>-2.1819999999999999</v>
      </c>
    </row>
    <row r="323" spans="1:2">
      <c r="A323">
        <v>1317</v>
      </c>
      <c r="B323">
        <v>-1.863</v>
      </c>
    </row>
    <row r="324" spans="1:2">
      <c r="A324">
        <v>1318</v>
      </c>
      <c r="B324">
        <v>1.9990000000000001</v>
      </c>
    </row>
    <row r="325" spans="1:2">
      <c r="A325">
        <v>1319</v>
      </c>
      <c r="B325">
        <v>-2.601</v>
      </c>
    </row>
    <row r="326" spans="1:2">
      <c r="A326">
        <v>1320</v>
      </c>
      <c r="B326">
        <v>-1.46</v>
      </c>
    </row>
    <row r="327" spans="1:2">
      <c r="A327">
        <v>1321</v>
      </c>
      <c r="B327">
        <v>3.819</v>
      </c>
    </row>
    <row r="328" spans="1:2">
      <c r="A328">
        <v>1322</v>
      </c>
      <c r="B328">
        <v>-1.32</v>
      </c>
    </row>
    <row r="329" spans="1:2">
      <c r="A329">
        <v>1323</v>
      </c>
      <c r="B329">
        <v>2.1309999999999998</v>
      </c>
    </row>
    <row r="330" spans="1:2">
      <c r="A330">
        <v>1324</v>
      </c>
      <c r="B330">
        <v>1.163</v>
      </c>
    </row>
    <row r="331" spans="1:2">
      <c r="A331">
        <v>1325</v>
      </c>
      <c r="B331">
        <v>-0.13800000000000001</v>
      </c>
    </row>
    <row r="332" spans="1:2">
      <c r="A332">
        <v>1326</v>
      </c>
      <c r="B332">
        <v>3.2349999999999999</v>
      </c>
    </row>
    <row r="333" spans="1:2">
      <c r="A333">
        <v>1327</v>
      </c>
      <c r="B333">
        <v>-0.183</v>
      </c>
    </row>
    <row r="334" spans="1:2">
      <c r="A334">
        <v>1328</v>
      </c>
      <c r="B334">
        <v>-0.55400000000000005</v>
      </c>
    </row>
    <row r="335" spans="1:2">
      <c r="A335">
        <v>1329</v>
      </c>
      <c r="B335">
        <v>-2.2549999999999999</v>
      </c>
    </row>
    <row r="336" spans="1:2">
      <c r="A336">
        <v>1330</v>
      </c>
      <c r="B336">
        <v>0.56100000000000005</v>
      </c>
    </row>
    <row r="337" spans="1:2">
      <c r="A337">
        <v>1331</v>
      </c>
      <c r="B337">
        <v>0.93300000000000005</v>
      </c>
    </row>
    <row r="338" spans="1:2">
      <c r="A338">
        <v>1332</v>
      </c>
      <c r="B338">
        <v>2.0350000000000001</v>
      </c>
    </row>
    <row r="339" spans="1:2">
      <c r="A339">
        <v>1333</v>
      </c>
      <c r="B339">
        <v>2.6619999999999999</v>
      </c>
    </row>
    <row r="340" spans="1:2">
      <c r="A340">
        <v>1334</v>
      </c>
      <c r="B340">
        <v>2.3969999999999998</v>
      </c>
    </row>
    <row r="341" spans="1:2">
      <c r="A341">
        <v>1335</v>
      </c>
      <c r="B341">
        <v>0.91800000000000004</v>
      </c>
    </row>
    <row r="342" spans="1:2">
      <c r="A342">
        <v>1336</v>
      </c>
      <c r="B342">
        <v>-1.8660000000000001</v>
      </c>
    </row>
    <row r="343" spans="1:2">
      <c r="A343">
        <v>1337</v>
      </c>
      <c r="B343">
        <v>0.55300000000000005</v>
      </c>
    </row>
    <row r="344" spans="1:2">
      <c r="A344">
        <v>1338</v>
      </c>
      <c r="B344">
        <v>1.385</v>
      </c>
    </row>
    <row r="345" spans="1:2">
      <c r="A345">
        <v>1339</v>
      </c>
      <c r="B345">
        <v>0.83799999999999997</v>
      </c>
    </row>
    <row r="346" spans="1:2">
      <c r="A346">
        <v>1340</v>
      </c>
      <c r="B346">
        <v>2.9929999999999999</v>
      </c>
    </row>
    <row r="347" spans="1:2">
      <c r="A347">
        <v>1341</v>
      </c>
      <c r="B347">
        <v>4.976</v>
      </c>
    </row>
    <row r="348" spans="1:2">
      <c r="A348">
        <v>1342</v>
      </c>
      <c r="B348">
        <v>1.36</v>
      </c>
    </row>
    <row r="349" spans="1:2">
      <c r="A349">
        <v>1343</v>
      </c>
      <c r="B349">
        <v>0.53100000000000003</v>
      </c>
    </row>
    <row r="350" spans="1:2">
      <c r="A350">
        <v>1344</v>
      </c>
      <c r="B350">
        <v>0.26800000000000002</v>
      </c>
    </row>
    <row r="351" spans="1:2">
      <c r="A351">
        <v>1345</v>
      </c>
      <c r="B351">
        <v>-0.13800000000000001</v>
      </c>
    </row>
    <row r="352" spans="1:2">
      <c r="A352">
        <v>1346</v>
      </c>
      <c r="B352">
        <v>-5.2149999999999999</v>
      </c>
    </row>
    <row r="353" spans="1:2">
      <c r="A353">
        <v>1347</v>
      </c>
      <c r="B353">
        <v>-1.7749999999999999</v>
      </c>
    </row>
    <row r="354" spans="1:2">
      <c r="A354">
        <v>1348</v>
      </c>
      <c r="B354">
        <v>0.30199999999999999</v>
      </c>
    </row>
    <row r="355" spans="1:2">
      <c r="A355">
        <v>1349</v>
      </c>
      <c r="B355">
        <v>-4.0039999999999996</v>
      </c>
    </row>
    <row r="356" spans="1:2">
      <c r="A356">
        <v>1350</v>
      </c>
      <c r="B356">
        <v>-0.52300000000000002</v>
      </c>
    </row>
    <row r="357" spans="1:2">
      <c r="A357">
        <v>1351</v>
      </c>
      <c r="B357">
        <v>-0.46</v>
      </c>
    </row>
    <row r="358" spans="1:2">
      <c r="A358">
        <v>1352</v>
      </c>
      <c r="B358">
        <v>-4.0860000000000003</v>
      </c>
    </row>
    <row r="359" spans="1:2">
      <c r="A359">
        <v>1353</v>
      </c>
      <c r="B359">
        <v>-1.292</v>
      </c>
    </row>
    <row r="360" spans="1:2">
      <c r="A360">
        <v>1354</v>
      </c>
      <c r="B360">
        <v>-0.26800000000000002</v>
      </c>
    </row>
    <row r="361" spans="1:2">
      <c r="A361">
        <v>1355</v>
      </c>
      <c r="B361">
        <v>-0.32700000000000001</v>
      </c>
    </row>
    <row r="362" spans="1:2">
      <c r="A362">
        <v>1356</v>
      </c>
      <c r="B362">
        <v>0.94699999999999995</v>
      </c>
    </row>
    <row r="363" spans="1:2">
      <c r="A363">
        <v>1357</v>
      </c>
      <c r="B363">
        <v>3.0110000000000001</v>
      </c>
    </row>
    <row r="364" spans="1:2">
      <c r="A364">
        <v>1358</v>
      </c>
      <c r="B364">
        <v>-2.3149999999999999</v>
      </c>
    </row>
    <row r="365" spans="1:2">
      <c r="A365">
        <v>1359</v>
      </c>
      <c r="B365">
        <v>0.245</v>
      </c>
    </row>
    <row r="366" spans="1:2">
      <c r="A366">
        <v>1360</v>
      </c>
      <c r="B366">
        <v>-3.806</v>
      </c>
    </row>
    <row r="367" spans="1:2">
      <c r="A367">
        <v>1361</v>
      </c>
      <c r="B367">
        <v>-1.002</v>
      </c>
    </row>
    <row r="368" spans="1:2">
      <c r="A368">
        <v>1362</v>
      </c>
      <c r="B368">
        <v>1.2490000000000001</v>
      </c>
    </row>
    <row r="369" spans="1:2">
      <c r="A369">
        <v>1363</v>
      </c>
      <c r="B369">
        <v>1.0589999999999999</v>
      </c>
    </row>
    <row r="370" spans="1:2">
      <c r="A370">
        <v>1364</v>
      </c>
      <c r="B370">
        <v>-0.83599999999999997</v>
      </c>
    </row>
    <row r="371" spans="1:2">
      <c r="A371">
        <v>1365</v>
      </c>
      <c r="B371">
        <v>-2.6760000000000002</v>
      </c>
    </row>
    <row r="372" spans="1:2">
      <c r="A372">
        <v>1366</v>
      </c>
      <c r="B372">
        <v>-2.714</v>
      </c>
    </row>
    <row r="373" spans="1:2">
      <c r="A373">
        <v>1367</v>
      </c>
      <c r="B373">
        <v>-2.1869999999999998</v>
      </c>
    </row>
    <row r="374" spans="1:2">
      <c r="A374">
        <v>1368</v>
      </c>
      <c r="B374">
        <v>3.0289999999999999</v>
      </c>
    </row>
    <row r="375" spans="1:2">
      <c r="A375">
        <v>1369</v>
      </c>
      <c r="B375">
        <v>-4.0309999999999997</v>
      </c>
    </row>
    <row r="376" spans="1:2">
      <c r="A376">
        <v>1370</v>
      </c>
      <c r="B376">
        <v>-4.8499999999999996</v>
      </c>
    </row>
    <row r="377" spans="1:2">
      <c r="A377">
        <v>1371</v>
      </c>
      <c r="B377">
        <v>-1.78</v>
      </c>
    </row>
    <row r="378" spans="1:2">
      <c r="A378">
        <v>1372</v>
      </c>
      <c r="B378">
        <v>-0.441</v>
      </c>
    </row>
    <row r="379" spans="1:2">
      <c r="A379">
        <v>1373</v>
      </c>
      <c r="B379">
        <v>3.3450000000000002</v>
      </c>
    </row>
    <row r="380" spans="1:2">
      <c r="A380">
        <v>1374</v>
      </c>
      <c r="B380">
        <v>-5.26</v>
      </c>
    </row>
    <row r="381" spans="1:2">
      <c r="A381">
        <v>1375</v>
      </c>
      <c r="B381">
        <v>-0.48699999999999999</v>
      </c>
    </row>
    <row r="382" spans="1:2">
      <c r="A382">
        <v>1376</v>
      </c>
      <c r="B382">
        <v>-0.57499999999999996</v>
      </c>
    </row>
    <row r="383" spans="1:2">
      <c r="A383">
        <v>1377</v>
      </c>
      <c r="B383">
        <v>1.181</v>
      </c>
    </row>
    <row r="384" spans="1:2">
      <c r="A384">
        <v>1378</v>
      </c>
      <c r="B384">
        <v>-0.54</v>
      </c>
    </row>
    <row r="385" spans="1:2">
      <c r="A385">
        <v>1379</v>
      </c>
      <c r="B385">
        <v>-0.64700000000000002</v>
      </c>
    </row>
    <row r="386" spans="1:2">
      <c r="A386">
        <v>1380</v>
      </c>
      <c r="B386">
        <v>1.528</v>
      </c>
    </row>
    <row r="387" spans="1:2">
      <c r="A387">
        <v>1381</v>
      </c>
      <c r="B387">
        <v>-1.857</v>
      </c>
    </row>
    <row r="388" spans="1:2">
      <c r="A388">
        <v>1382</v>
      </c>
      <c r="B388">
        <v>-2.1379999999999999</v>
      </c>
    </row>
    <row r="389" spans="1:2">
      <c r="A389">
        <v>1383</v>
      </c>
      <c r="B389">
        <v>-1.8069999999999999</v>
      </c>
    </row>
    <row r="390" spans="1:2">
      <c r="A390">
        <v>1384</v>
      </c>
      <c r="B390">
        <v>-0.999</v>
      </c>
    </row>
    <row r="391" spans="1:2">
      <c r="A391">
        <v>1385</v>
      </c>
      <c r="B391">
        <v>4.8000000000000001E-2</v>
      </c>
    </row>
    <row r="392" spans="1:2">
      <c r="A392">
        <v>1386</v>
      </c>
      <c r="B392">
        <v>-2.8540000000000001</v>
      </c>
    </row>
    <row r="393" spans="1:2">
      <c r="A393">
        <v>1387</v>
      </c>
      <c r="B393">
        <v>-3.1019999999999999</v>
      </c>
    </row>
    <row r="394" spans="1:2">
      <c r="A394">
        <v>1388</v>
      </c>
      <c r="B394">
        <v>1.2589999999999999</v>
      </c>
    </row>
    <row r="395" spans="1:2">
      <c r="A395">
        <v>1389</v>
      </c>
      <c r="B395">
        <v>2.9329999999999998</v>
      </c>
    </row>
    <row r="396" spans="1:2">
      <c r="A396">
        <v>1390</v>
      </c>
      <c r="B396">
        <v>-1.0029999999999999</v>
      </c>
    </row>
    <row r="397" spans="1:2">
      <c r="A397">
        <v>1391</v>
      </c>
      <c r="B397">
        <v>2.4020000000000001</v>
      </c>
    </row>
    <row r="398" spans="1:2">
      <c r="A398">
        <v>1392</v>
      </c>
      <c r="B398">
        <v>-0.96499999999999997</v>
      </c>
    </row>
    <row r="399" spans="1:2">
      <c r="A399">
        <v>1393</v>
      </c>
      <c r="B399">
        <v>-0.58399999999999996</v>
      </c>
    </row>
    <row r="400" spans="1:2">
      <c r="A400">
        <v>1394</v>
      </c>
      <c r="B400">
        <v>3.7429999999999999</v>
      </c>
    </row>
    <row r="401" spans="1:2">
      <c r="A401">
        <v>1395</v>
      </c>
      <c r="B401">
        <v>2.54</v>
      </c>
    </row>
    <row r="402" spans="1:2">
      <c r="A402">
        <v>1396</v>
      </c>
      <c r="B402">
        <v>4.1289999999999996</v>
      </c>
    </row>
    <row r="403" spans="1:2">
      <c r="A403">
        <v>1397</v>
      </c>
      <c r="B403">
        <v>-1.018</v>
      </c>
    </row>
    <row r="404" spans="1:2">
      <c r="A404">
        <v>1398</v>
      </c>
      <c r="B404">
        <v>2.1520000000000001</v>
      </c>
    </row>
    <row r="405" spans="1:2">
      <c r="A405">
        <v>1399</v>
      </c>
      <c r="B405">
        <v>0.157</v>
      </c>
    </row>
    <row r="406" spans="1:2">
      <c r="A406">
        <v>1400</v>
      </c>
      <c r="B406">
        <v>-0.125</v>
      </c>
    </row>
    <row r="407" spans="1:2">
      <c r="A407">
        <v>1401</v>
      </c>
      <c r="B407">
        <v>-0.59499999999999997</v>
      </c>
    </row>
    <row r="408" spans="1:2">
      <c r="A408">
        <v>1402</v>
      </c>
      <c r="B408">
        <v>-1.526</v>
      </c>
    </row>
    <row r="409" spans="1:2">
      <c r="A409">
        <v>1403</v>
      </c>
      <c r="B409">
        <v>2.7909999999999999</v>
      </c>
    </row>
    <row r="410" spans="1:2">
      <c r="A410">
        <v>1404</v>
      </c>
      <c r="B410">
        <v>-5.0999999999999997E-2</v>
      </c>
    </row>
    <row r="411" spans="1:2">
      <c r="A411">
        <v>1405</v>
      </c>
      <c r="B411">
        <v>-1.5489999999999999</v>
      </c>
    </row>
    <row r="412" spans="1:2">
      <c r="A412">
        <v>1406</v>
      </c>
      <c r="B412">
        <v>0.219</v>
      </c>
    </row>
    <row r="413" spans="1:2">
      <c r="A413">
        <v>1407</v>
      </c>
      <c r="B413">
        <v>0.78500000000000003</v>
      </c>
    </row>
    <row r="414" spans="1:2">
      <c r="A414">
        <v>1408</v>
      </c>
      <c r="B414">
        <v>3.4750000000000001</v>
      </c>
    </row>
    <row r="415" spans="1:2">
      <c r="A415">
        <v>1409</v>
      </c>
      <c r="B415">
        <v>1.274</v>
      </c>
    </row>
    <row r="416" spans="1:2">
      <c r="A416">
        <v>1410</v>
      </c>
      <c r="B416">
        <v>-1.986</v>
      </c>
    </row>
    <row r="417" spans="1:2">
      <c r="A417">
        <v>1411</v>
      </c>
      <c r="B417">
        <v>-1.4319999999999999</v>
      </c>
    </row>
    <row r="418" spans="1:2">
      <c r="A418">
        <v>1412</v>
      </c>
      <c r="B418">
        <v>-3.0590000000000002</v>
      </c>
    </row>
    <row r="419" spans="1:2">
      <c r="A419">
        <v>1413</v>
      </c>
      <c r="B419">
        <v>0.64100000000000001</v>
      </c>
    </row>
    <row r="420" spans="1:2">
      <c r="A420">
        <v>1414</v>
      </c>
      <c r="B420">
        <v>3.5870000000000002</v>
      </c>
    </row>
    <row r="421" spans="1:2">
      <c r="A421">
        <v>1415</v>
      </c>
      <c r="B421">
        <v>-2.2959999999999998</v>
      </c>
    </row>
    <row r="422" spans="1:2">
      <c r="A422">
        <v>1416</v>
      </c>
      <c r="B422">
        <v>1.0680000000000001</v>
      </c>
    </row>
    <row r="423" spans="1:2">
      <c r="A423">
        <v>1417</v>
      </c>
      <c r="B423">
        <v>4.6710000000000003</v>
      </c>
    </row>
    <row r="424" spans="1:2">
      <c r="A424">
        <v>1418</v>
      </c>
      <c r="B424">
        <v>-1.353</v>
      </c>
    </row>
    <row r="425" spans="1:2">
      <c r="A425">
        <v>1419</v>
      </c>
      <c r="B425">
        <v>-0.191</v>
      </c>
    </row>
    <row r="426" spans="1:2">
      <c r="A426">
        <v>1420</v>
      </c>
      <c r="B426">
        <v>1.3939999999999999</v>
      </c>
    </row>
    <row r="427" spans="1:2">
      <c r="A427">
        <v>1421</v>
      </c>
      <c r="B427">
        <v>-5.8630000000000004</v>
      </c>
    </row>
    <row r="428" spans="1:2">
      <c r="A428">
        <v>1422</v>
      </c>
      <c r="B428">
        <v>-1.3240000000000001</v>
      </c>
    </row>
    <row r="429" spans="1:2">
      <c r="A429">
        <v>1423</v>
      </c>
      <c r="B429">
        <v>1.556</v>
      </c>
    </row>
    <row r="430" spans="1:2">
      <c r="A430">
        <v>1424</v>
      </c>
      <c r="B430">
        <v>-2.161</v>
      </c>
    </row>
    <row r="431" spans="1:2">
      <c r="A431">
        <v>1425</v>
      </c>
      <c r="B431">
        <v>-1.7869999999999999</v>
      </c>
    </row>
    <row r="432" spans="1:2">
      <c r="A432">
        <v>1426</v>
      </c>
      <c r="B432">
        <v>3.298</v>
      </c>
    </row>
    <row r="433" spans="1:2">
      <c r="A433">
        <v>1427</v>
      </c>
      <c r="B433">
        <v>-2.5219999999999998</v>
      </c>
    </row>
    <row r="434" spans="1:2">
      <c r="A434">
        <v>1428</v>
      </c>
      <c r="B434">
        <v>0.55500000000000005</v>
      </c>
    </row>
    <row r="435" spans="1:2">
      <c r="A435">
        <v>1429</v>
      </c>
      <c r="B435">
        <v>1.32</v>
      </c>
    </row>
    <row r="436" spans="1:2">
      <c r="A436">
        <v>1430</v>
      </c>
      <c r="B436">
        <v>-2.665</v>
      </c>
    </row>
    <row r="437" spans="1:2">
      <c r="A437">
        <v>1431</v>
      </c>
      <c r="B437">
        <v>-0.23200000000000001</v>
      </c>
    </row>
    <row r="438" spans="1:2">
      <c r="A438">
        <v>1432</v>
      </c>
      <c r="B438">
        <v>2.8540000000000001</v>
      </c>
    </row>
    <row r="439" spans="1:2">
      <c r="A439">
        <v>1433</v>
      </c>
      <c r="B439">
        <v>-0.371</v>
      </c>
    </row>
    <row r="440" spans="1:2">
      <c r="A440">
        <v>1434</v>
      </c>
      <c r="B440">
        <v>0.64100000000000001</v>
      </c>
    </row>
    <row r="441" spans="1:2">
      <c r="A441">
        <v>1435</v>
      </c>
      <c r="B441">
        <v>0.85099999999999998</v>
      </c>
    </row>
    <row r="442" spans="1:2">
      <c r="A442">
        <v>1436</v>
      </c>
      <c r="B442">
        <v>-2.8359999999999999</v>
      </c>
    </row>
    <row r="443" spans="1:2">
      <c r="A443">
        <v>1437</v>
      </c>
      <c r="B443">
        <v>-1.204</v>
      </c>
    </row>
    <row r="444" spans="1:2">
      <c r="A444">
        <v>1438</v>
      </c>
      <c r="B444">
        <v>3.4569999999999999</v>
      </c>
    </row>
    <row r="445" spans="1:2">
      <c r="A445">
        <v>1439</v>
      </c>
      <c r="B445">
        <v>0.82</v>
      </c>
    </row>
    <row r="446" spans="1:2">
      <c r="A446">
        <v>1440</v>
      </c>
      <c r="B446">
        <v>-0.88600000000000001</v>
      </c>
    </row>
    <row r="447" spans="1:2">
      <c r="A447">
        <v>1441</v>
      </c>
      <c r="B447">
        <v>0.78600000000000003</v>
      </c>
    </row>
    <row r="448" spans="1:2">
      <c r="A448">
        <v>1442</v>
      </c>
      <c r="B448">
        <v>-0.32400000000000001</v>
      </c>
    </row>
    <row r="449" spans="1:2">
      <c r="A449">
        <v>1443</v>
      </c>
      <c r="B449">
        <v>0.86399999999999999</v>
      </c>
    </row>
    <row r="450" spans="1:2">
      <c r="A450">
        <v>1444</v>
      </c>
      <c r="B450">
        <v>-3.5859999999999999</v>
      </c>
    </row>
    <row r="451" spans="1:2">
      <c r="A451">
        <v>1445</v>
      </c>
      <c r="B451">
        <v>-2.2999999999999998</v>
      </c>
    </row>
    <row r="452" spans="1:2">
      <c r="A452">
        <v>1446</v>
      </c>
      <c r="B452">
        <v>-3.9039999999999999</v>
      </c>
    </row>
    <row r="453" spans="1:2">
      <c r="A453">
        <v>1447</v>
      </c>
      <c r="B453">
        <v>-1.351</v>
      </c>
    </row>
    <row r="454" spans="1:2">
      <c r="A454">
        <v>1448</v>
      </c>
      <c r="B454">
        <v>1.3009999999999999</v>
      </c>
    </row>
    <row r="455" spans="1:2">
      <c r="A455">
        <v>1449</v>
      </c>
      <c r="B455">
        <v>0.50900000000000001</v>
      </c>
    </row>
    <row r="456" spans="1:2">
      <c r="A456">
        <v>1450</v>
      </c>
      <c r="B456">
        <v>-3.601</v>
      </c>
    </row>
    <row r="457" spans="1:2">
      <c r="A457">
        <v>1451</v>
      </c>
      <c r="B457">
        <v>-0.72</v>
      </c>
    </row>
    <row r="458" spans="1:2">
      <c r="A458">
        <v>1452</v>
      </c>
      <c r="B458">
        <v>9.6000000000000002E-2</v>
      </c>
    </row>
    <row r="459" spans="1:2">
      <c r="A459">
        <v>1453</v>
      </c>
      <c r="B459">
        <v>-1.786</v>
      </c>
    </row>
    <row r="460" spans="1:2">
      <c r="A460">
        <v>1454</v>
      </c>
      <c r="B460">
        <v>-3.899</v>
      </c>
    </row>
    <row r="461" spans="1:2">
      <c r="A461">
        <v>1455</v>
      </c>
      <c r="B461">
        <v>-6.7220000000000004</v>
      </c>
    </row>
    <row r="462" spans="1:2">
      <c r="A462">
        <v>1456</v>
      </c>
      <c r="B462">
        <v>-2.9260000000000002</v>
      </c>
    </row>
    <row r="463" spans="1:2">
      <c r="A463">
        <v>1457</v>
      </c>
      <c r="B463">
        <v>-2.4769999999999999</v>
      </c>
    </row>
    <row r="464" spans="1:2">
      <c r="A464">
        <v>1458</v>
      </c>
      <c r="B464">
        <v>-4.1589999999999998</v>
      </c>
    </row>
    <row r="465" spans="1:2">
      <c r="A465">
        <v>1459</v>
      </c>
      <c r="B465">
        <v>-1.137</v>
      </c>
    </row>
    <row r="466" spans="1:2">
      <c r="A466">
        <v>1460</v>
      </c>
      <c r="B466">
        <v>-2.3809999999999998</v>
      </c>
    </row>
    <row r="467" spans="1:2">
      <c r="A467">
        <v>1461</v>
      </c>
      <c r="B467">
        <v>-0.72499999999999998</v>
      </c>
    </row>
    <row r="468" spans="1:2">
      <c r="A468">
        <v>1462</v>
      </c>
      <c r="B468">
        <v>-1.1220000000000001</v>
      </c>
    </row>
    <row r="469" spans="1:2">
      <c r="A469">
        <v>1463</v>
      </c>
      <c r="B469">
        <v>-2.0430000000000001</v>
      </c>
    </row>
    <row r="470" spans="1:2">
      <c r="A470">
        <v>1464</v>
      </c>
      <c r="B470">
        <v>0.40600000000000003</v>
      </c>
    </row>
    <row r="471" spans="1:2">
      <c r="A471">
        <v>1465</v>
      </c>
      <c r="B471">
        <v>0.52900000000000003</v>
      </c>
    </row>
    <row r="472" spans="1:2">
      <c r="A472">
        <v>1466</v>
      </c>
      <c r="B472">
        <v>1.012</v>
      </c>
    </row>
    <row r="473" spans="1:2">
      <c r="A473">
        <v>1467</v>
      </c>
      <c r="B473">
        <v>1.8580000000000001</v>
      </c>
    </row>
    <row r="474" spans="1:2">
      <c r="A474">
        <v>1468</v>
      </c>
      <c r="B474">
        <v>-2.2250000000000001</v>
      </c>
    </row>
    <row r="475" spans="1:2">
      <c r="A475">
        <v>1469</v>
      </c>
      <c r="B475">
        <v>-2.3650000000000002</v>
      </c>
    </row>
    <row r="476" spans="1:2">
      <c r="A476">
        <v>1470</v>
      </c>
      <c r="B476">
        <v>-1.2330000000000001</v>
      </c>
    </row>
    <row r="477" spans="1:2">
      <c r="A477">
        <v>1471</v>
      </c>
      <c r="B477">
        <v>-0.40100000000000002</v>
      </c>
    </row>
    <row r="478" spans="1:2">
      <c r="A478">
        <v>1472</v>
      </c>
      <c r="B478">
        <v>-2.6120000000000001</v>
      </c>
    </row>
    <row r="479" spans="1:2">
      <c r="A479">
        <v>1473</v>
      </c>
      <c r="B479">
        <v>-2.8849999999999998</v>
      </c>
    </row>
    <row r="480" spans="1:2">
      <c r="A480">
        <v>1474</v>
      </c>
      <c r="B480">
        <v>0.52400000000000002</v>
      </c>
    </row>
    <row r="481" spans="1:2">
      <c r="A481">
        <v>1475</v>
      </c>
      <c r="B481">
        <v>1.331</v>
      </c>
    </row>
    <row r="482" spans="1:2">
      <c r="A482">
        <v>1476</v>
      </c>
      <c r="B482">
        <v>0.41699999999999998</v>
      </c>
    </row>
    <row r="483" spans="1:2">
      <c r="A483">
        <v>1477</v>
      </c>
      <c r="B483">
        <v>0.32300000000000001</v>
      </c>
    </row>
    <row r="484" spans="1:2">
      <c r="A484">
        <v>1478</v>
      </c>
      <c r="B484">
        <v>1.167</v>
      </c>
    </row>
    <row r="485" spans="1:2">
      <c r="A485">
        <v>1479</v>
      </c>
      <c r="B485">
        <v>6.1529999999999996</v>
      </c>
    </row>
    <row r="486" spans="1:2">
      <c r="A486">
        <v>1480</v>
      </c>
      <c r="B486">
        <v>0.67</v>
      </c>
    </row>
    <row r="487" spans="1:2">
      <c r="A487">
        <v>1481</v>
      </c>
      <c r="B487">
        <v>-2.089</v>
      </c>
    </row>
    <row r="488" spans="1:2">
      <c r="A488">
        <v>1482</v>
      </c>
      <c r="B488">
        <v>2.0459999999999998</v>
      </c>
    </row>
    <row r="489" spans="1:2">
      <c r="A489">
        <v>1483</v>
      </c>
      <c r="B489">
        <v>-7.0000000000000001E-3</v>
      </c>
    </row>
    <row r="490" spans="1:2">
      <c r="A490">
        <v>1484</v>
      </c>
      <c r="B490">
        <v>3.4060000000000001</v>
      </c>
    </row>
    <row r="491" spans="1:2">
      <c r="A491">
        <v>1485</v>
      </c>
      <c r="B491">
        <v>2.7810000000000001</v>
      </c>
    </row>
    <row r="492" spans="1:2">
      <c r="A492">
        <v>1486</v>
      </c>
      <c r="B492">
        <v>0.27500000000000002</v>
      </c>
    </row>
    <row r="493" spans="1:2">
      <c r="A493">
        <v>1487</v>
      </c>
      <c r="B493">
        <v>0.89300000000000002</v>
      </c>
    </row>
    <row r="494" spans="1:2">
      <c r="A494">
        <v>1488</v>
      </c>
      <c r="B494">
        <v>-1.4810000000000001</v>
      </c>
    </row>
    <row r="495" spans="1:2">
      <c r="A495">
        <v>1489</v>
      </c>
      <c r="B495">
        <v>-1.774</v>
      </c>
    </row>
    <row r="496" spans="1:2">
      <c r="A496">
        <v>1490</v>
      </c>
      <c r="B496">
        <v>-0.40799999999999997</v>
      </c>
    </row>
    <row r="497" spans="1:2">
      <c r="A497">
        <v>1491</v>
      </c>
      <c r="B497">
        <v>0.23100000000000001</v>
      </c>
    </row>
    <row r="498" spans="1:2">
      <c r="A498">
        <v>1492</v>
      </c>
      <c r="B498">
        <v>-8.9999999999999993E-3</v>
      </c>
    </row>
    <row r="499" spans="1:2">
      <c r="A499">
        <v>1493</v>
      </c>
      <c r="B499">
        <v>2.0859999999999999</v>
      </c>
    </row>
    <row r="500" spans="1:2">
      <c r="A500">
        <v>1494</v>
      </c>
      <c r="B500">
        <v>4.9710000000000001</v>
      </c>
    </row>
    <row r="501" spans="1:2">
      <c r="A501">
        <v>1495</v>
      </c>
      <c r="B501">
        <v>0.58399999999999996</v>
      </c>
    </row>
    <row r="502" spans="1:2">
      <c r="A502">
        <v>1496</v>
      </c>
      <c r="B502">
        <v>-3.84</v>
      </c>
    </row>
    <row r="503" spans="1:2">
      <c r="A503">
        <v>1497</v>
      </c>
      <c r="B503">
        <v>-4.9459999999999997</v>
      </c>
    </row>
    <row r="504" spans="1:2">
      <c r="A504">
        <v>1498</v>
      </c>
      <c r="B504">
        <v>2.7879999999999998</v>
      </c>
    </row>
    <row r="505" spans="1:2">
      <c r="A505">
        <v>1499</v>
      </c>
      <c r="B505">
        <v>1.635</v>
      </c>
    </row>
    <row r="506" spans="1:2">
      <c r="A506">
        <v>1500</v>
      </c>
      <c r="B506">
        <v>1.639</v>
      </c>
    </row>
    <row r="507" spans="1:2">
      <c r="A507">
        <v>1501</v>
      </c>
      <c r="B507">
        <v>-1.0149999999999999</v>
      </c>
    </row>
    <row r="508" spans="1:2">
      <c r="A508">
        <v>1502</v>
      </c>
      <c r="B508">
        <v>-3.786</v>
      </c>
    </row>
    <row r="509" spans="1:2">
      <c r="A509">
        <v>1503</v>
      </c>
      <c r="B509">
        <v>-3.4969999999999999</v>
      </c>
    </row>
    <row r="510" spans="1:2">
      <c r="A510">
        <v>1504</v>
      </c>
      <c r="B510">
        <v>-0.54100000000000004</v>
      </c>
    </row>
    <row r="511" spans="1:2">
      <c r="A511">
        <v>1505</v>
      </c>
      <c r="B511">
        <v>-1.905</v>
      </c>
    </row>
    <row r="512" spans="1:2">
      <c r="A512">
        <v>1506</v>
      </c>
      <c r="B512">
        <v>-0.95699999999999996</v>
      </c>
    </row>
    <row r="513" spans="1:2">
      <c r="A513">
        <v>1507</v>
      </c>
      <c r="B513">
        <v>-1.1539999999999999</v>
      </c>
    </row>
    <row r="514" spans="1:2">
      <c r="A514">
        <v>1508</v>
      </c>
      <c r="B514">
        <v>1.51</v>
      </c>
    </row>
    <row r="515" spans="1:2">
      <c r="A515">
        <v>1509</v>
      </c>
      <c r="B515">
        <v>0.98599999999999999</v>
      </c>
    </row>
    <row r="516" spans="1:2">
      <c r="A516">
        <v>1510</v>
      </c>
      <c r="B516">
        <v>-0.66700000000000004</v>
      </c>
    </row>
    <row r="517" spans="1:2">
      <c r="A517">
        <v>1511</v>
      </c>
      <c r="B517">
        <v>-3.081</v>
      </c>
    </row>
    <row r="518" spans="1:2">
      <c r="A518">
        <v>1512</v>
      </c>
      <c r="B518">
        <v>-3.0449999999999999</v>
      </c>
    </row>
    <row r="519" spans="1:2">
      <c r="A519">
        <v>1513</v>
      </c>
      <c r="B519">
        <v>0.82699999999999996</v>
      </c>
    </row>
    <row r="520" spans="1:2">
      <c r="A520">
        <v>1514</v>
      </c>
      <c r="B520">
        <v>-0.247</v>
      </c>
    </row>
    <row r="521" spans="1:2">
      <c r="A521">
        <v>1515</v>
      </c>
      <c r="B521">
        <v>-0.72599999999999998</v>
      </c>
    </row>
    <row r="522" spans="1:2">
      <c r="A522">
        <v>1516</v>
      </c>
      <c r="B522">
        <v>-0.248</v>
      </c>
    </row>
    <row r="523" spans="1:2">
      <c r="A523">
        <v>1517</v>
      </c>
      <c r="B523">
        <v>3.7349999999999999</v>
      </c>
    </row>
    <row r="524" spans="1:2">
      <c r="A524">
        <v>1518</v>
      </c>
      <c r="B524">
        <v>-0.78500000000000003</v>
      </c>
    </row>
    <row r="525" spans="1:2">
      <c r="A525">
        <v>1519</v>
      </c>
      <c r="B525">
        <v>3.2530000000000001</v>
      </c>
    </row>
    <row r="526" spans="1:2">
      <c r="A526">
        <v>1520</v>
      </c>
      <c r="B526">
        <v>0.23</v>
      </c>
    </row>
    <row r="527" spans="1:2">
      <c r="A527">
        <v>1521</v>
      </c>
      <c r="B527">
        <v>-0.42</v>
      </c>
    </row>
    <row r="528" spans="1:2">
      <c r="A528">
        <v>1522</v>
      </c>
      <c r="B528">
        <v>0.996</v>
      </c>
    </row>
    <row r="529" spans="1:2">
      <c r="A529">
        <v>1523</v>
      </c>
      <c r="B529">
        <v>3.4089999999999998</v>
      </c>
    </row>
    <row r="530" spans="1:2">
      <c r="A530">
        <v>1524</v>
      </c>
      <c r="B530">
        <v>-2.1520000000000001</v>
      </c>
    </row>
    <row r="531" spans="1:2">
      <c r="A531">
        <v>1525</v>
      </c>
      <c r="B531">
        <v>-3.569</v>
      </c>
    </row>
    <row r="532" spans="1:2">
      <c r="A532">
        <v>1526</v>
      </c>
      <c r="B532">
        <v>1.161</v>
      </c>
    </row>
    <row r="533" spans="1:2">
      <c r="A533">
        <v>1527</v>
      </c>
      <c r="B533">
        <v>-0.80800000000000005</v>
      </c>
    </row>
    <row r="534" spans="1:2">
      <c r="A534">
        <v>1528</v>
      </c>
      <c r="B534">
        <v>-1.98</v>
      </c>
    </row>
    <row r="535" spans="1:2">
      <c r="A535">
        <v>1529</v>
      </c>
      <c r="B535">
        <v>-2.0379999999999998</v>
      </c>
    </row>
    <row r="536" spans="1:2">
      <c r="A536">
        <v>1530</v>
      </c>
      <c r="B536">
        <v>-2.6120000000000001</v>
      </c>
    </row>
    <row r="537" spans="1:2">
      <c r="A537">
        <v>1531</v>
      </c>
      <c r="B537">
        <v>3.9E-2</v>
      </c>
    </row>
    <row r="538" spans="1:2">
      <c r="A538">
        <v>1532</v>
      </c>
      <c r="B538">
        <v>-3.1619999999999999</v>
      </c>
    </row>
    <row r="539" spans="1:2">
      <c r="A539">
        <v>1533</v>
      </c>
      <c r="B539">
        <v>-0.80700000000000005</v>
      </c>
    </row>
    <row r="540" spans="1:2">
      <c r="A540">
        <v>1534</v>
      </c>
      <c r="B540">
        <v>1.63</v>
      </c>
    </row>
    <row r="541" spans="1:2">
      <c r="A541">
        <v>1535</v>
      </c>
      <c r="B541">
        <v>-1.7729999999999999</v>
      </c>
    </row>
    <row r="542" spans="1:2">
      <c r="A542">
        <v>1536</v>
      </c>
      <c r="B542">
        <v>0.30399999999999999</v>
      </c>
    </row>
    <row r="543" spans="1:2">
      <c r="A543">
        <v>1537</v>
      </c>
      <c r="B543">
        <v>0.22800000000000001</v>
      </c>
    </row>
    <row r="544" spans="1:2">
      <c r="A544">
        <v>1538</v>
      </c>
      <c r="B544">
        <v>1.66</v>
      </c>
    </row>
    <row r="545" spans="1:2">
      <c r="A545">
        <v>1539</v>
      </c>
      <c r="B545">
        <v>0.80400000000000005</v>
      </c>
    </row>
    <row r="546" spans="1:2">
      <c r="A546">
        <v>1540</v>
      </c>
      <c r="B546">
        <v>6.9279999999999999</v>
      </c>
    </row>
    <row r="547" spans="1:2">
      <c r="A547">
        <v>1541</v>
      </c>
      <c r="B547">
        <v>2.57</v>
      </c>
    </row>
    <row r="548" spans="1:2">
      <c r="A548">
        <v>1542</v>
      </c>
      <c r="B548">
        <v>-2.6419999999999999</v>
      </c>
    </row>
    <row r="549" spans="1:2">
      <c r="A549">
        <v>1543</v>
      </c>
      <c r="B549">
        <v>-0.19400000000000001</v>
      </c>
    </row>
    <row r="550" spans="1:2">
      <c r="A550">
        <v>1544</v>
      </c>
      <c r="B550">
        <v>-6.0030000000000001</v>
      </c>
    </row>
    <row r="551" spans="1:2">
      <c r="A551">
        <v>1545</v>
      </c>
      <c r="B551">
        <v>0.23200000000000001</v>
      </c>
    </row>
    <row r="552" spans="1:2">
      <c r="A552">
        <v>1546</v>
      </c>
      <c r="B552">
        <v>0.13800000000000001</v>
      </c>
    </row>
    <row r="553" spans="1:2">
      <c r="A553">
        <v>1547</v>
      </c>
      <c r="B553">
        <v>-0.375</v>
      </c>
    </row>
    <row r="554" spans="1:2">
      <c r="A554">
        <v>1548</v>
      </c>
      <c r="B554">
        <v>3</v>
      </c>
    </row>
    <row r="555" spans="1:2">
      <c r="A555">
        <v>1549</v>
      </c>
      <c r="B555">
        <v>1.276</v>
      </c>
    </row>
    <row r="556" spans="1:2">
      <c r="A556">
        <v>1550</v>
      </c>
      <c r="B556">
        <v>2.76</v>
      </c>
    </row>
    <row r="557" spans="1:2">
      <c r="A557">
        <v>1551</v>
      </c>
      <c r="B557">
        <v>1.44</v>
      </c>
    </row>
    <row r="558" spans="1:2">
      <c r="A558">
        <v>1552</v>
      </c>
      <c r="B558">
        <v>1.173</v>
      </c>
    </row>
    <row r="559" spans="1:2">
      <c r="A559">
        <v>1553</v>
      </c>
      <c r="B559">
        <v>3.3570000000000002</v>
      </c>
    </row>
    <row r="560" spans="1:2">
      <c r="A560">
        <v>1554</v>
      </c>
      <c r="B560">
        <v>5.6689999999999996</v>
      </c>
    </row>
    <row r="561" spans="1:2">
      <c r="A561">
        <v>1555</v>
      </c>
      <c r="B561">
        <v>-1.321</v>
      </c>
    </row>
    <row r="562" spans="1:2">
      <c r="A562">
        <v>1556</v>
      </c>
      <c r="B562">
        <v>-0.43099999999999999</v>
      </c>
    </row>
    <row r="563" spans="1:2">
      <c r="A563">
        <v>1557</v>
      </c>
      <c r="B563">
        <v>0.997</v>
      </c>
    </row>
    <row r="564" spans="1:2">
      <c r="A564">
        <v>1558</v>
      </c>
      <c r="B564">
        <v>2.27</v>
      </c>
    </row>
    <row r="565" spans="1:2">
      <c r="A565">
        <v>1559</v>
      </c>
      <c r="B565">
        <v>2.0049999999999999</v>
      </c>
    </row>
    <row r="566" spans="1:2">
      <c r="A566">
        <v>1560</v>
      </c>
      <c r="B566">
        <v>-3.67</v>
      </c>
    </row>
    <row r="567" spans="1:2">
      <c r="A567">
        <v>1561</v>
      </c>
      <c r="B567">
        <v>-0.94899999999999995</v>
      </c>
    </row>
    <row r="568" spans="1:2">
      <c r="A568">
        <v>1562</v>
      </c>
      <c r="B568">
        <v>0.10299999999999999</v>
      </c>
    </row>
    <row r="569" spans="1:2">
      <c r="A569">
        <v>1563</v>
      </c>
      <c r="B569">
        <v>-0.56100000000000005</v>
      </c>
    </row>
    <row r="570" spans="1:2">
      <c r="A570">
        <v>1564</v>
      </c>
      <c r="B570">
        <v>0.16</v>
      </c>
    </row>
    <row r="571" spans="1:2">
      <c r="A571">
        <v>1565</v>
      </c>
      <c r="B571">
        <v>1.7000000000000001E-2</v>
      </c>
    </row>
    <row r="572" spans="1:2">
      <c r="A572">
        <v>1566</v>
      </c>
      <c r="B572">
        <v>-1.3420000000000001</v>
      </c>
    </row>
    <row r="573" spans="1:2">
      <c r="A573">
        <v>1567</v>
      </c>
      <c r="B573">
        <v>-2.2440000000000002</v>
      </c>
    </row>
    <row r="574" spans="1:2">
      <c r="A574">
        <v>1568</v>
      </c>
      <c r="B574">
        <v>-1.772</v>
      </c>
    </row>
    <row r="575" spans="1:2">
      <c r="A575">
        <v>1569</v>
      </c>
      <c r="B575">
        <v>-0.78900000000000003</v>
      </c>
    </row>
    <row r="576" spans="1:2">
      <c r="A576">
        <v>1570</v>
      </c>
      <c r="B576">
        <v>-2.0760000000000001</v>
      </c>
    </row>
    <row r="577" spans="1:2">
      <c r="A577">
        <v>1571</v>
      </c>
      <c r="B577">
        <v>-2.1760000000000002</v>
      </c>
    </row>
    <row r="578" spans="1:2">
      <c r="A578">
        <v>1572</v>
      </c>
      <c r="B578">
        <v>-1.3959999999999999</v>
      </c>
    </row>
    <row r="579" spans="1:2">
      <c r="A579">
        <v>1573</v>
      </c>
      <c r="B579">
        <v>-3.069</v>
      </c>
    </row>
    <row r="580" spans="1:2">
      <c r="A580">
        <v>1574</v>
      </c>
      <c r="B580">
        <v>-0.621</v>
      </c>
    </row>
    <row r="581" spans="1:2">
      <c r="A581">
        <v>1575</v>
      </c>
      <c r="B581">
        <v>3.641</v>
      </c>
    </row>
    <row r="582" spans="1:2">
      <c r="A582">
        <v>1576</v>
      </c>
      <c r="B582">
        <v>1.7529999999999999</v>
      </c>
    </row>
    <row r="583" spans="1:2">
      <c r="A583">
        <v>1577</v>
      </c>
      <c r="B583">
        <v>-3.2069999999999999</v>
      </c>
    </row>
    <row r="584" spans="1:2">
      <c r="A584">
        <v>1578</v>
      </c>
      <c r="B584">
        <v>2.6669999999999998</v>
      </c>
    </row>
    <row r="585" spans="1:2">
      <c r="A585">
        <v>1579</v>
      </c>
      <c r="B585">
        <v>1.288</v>
      </c>
    </row>
    <row r="586" spans="1:2">
      <c r="A586">
        <v>1580</v>
      </c>
      <c r="B586">
        <v>0.72899999999999998</v>
      </c>
    </row>
    <row r="587" spans="1:2">
      <c r="A587">
        <v>1581</v>
      </c>
      <c r="B587">
        <v>-0.38500000000000001</v>
      </c>
    </row>
    <row r="588" spans="1:2">
      <c r="A588">
        <v>1582</v>
      </c>
      <c r="B588">
        <v>-1.0389999999999999</v>
      </c>
    </row>
    <row r="589" spans="1:2">
      <c r="A589">
        <v>1583</v>
      </c>
      <c r="B589">
        <v>0.14699999999999999</v>
      </c>
    </row>
    <row r="590" spans="1:2">
      <c r="A590">
        <v>1584</v>
      </c>
      <c r="B590">
        <v>2.2690000000000001</v>
      </c>
    </row>
    <row r="591" spans="1:2">
      <c r="A591">
        <v>1585</v>
      </c>
      <c r="B591">
        <v>-0.36</v>
      </c>
    </row>
    <row r="592" spans="1:2">
      <c r="A592">
        <v>1586</v>
      </c>
      <c r="B592">
        <v>4.5339999999999998</v>
      </c>
    </row>
    <row r="593" spans="1:2">
      <c r="A593">
        <v>1587</v>
      </c>
      <c r="B593">
        <v>0.498</v>
      </c>
    </row>
    <row r="594" spans="1:2">
      <c r="A594">
        <v>1588</v>
      </c>
      <c r="B594">
        <v>4.7690000000000001</v>
      </c>
    </row>
    <row r="595" spans="1:2">
      <c r="A595">
        <v>1589</v>
      </c>
      <c r="B595">
        <v>0.63</v>
      </c>
    </row>
    <row r="596" spans="1:2">
      <c r="A596">
        <v>1590</v>
      </c>
      <c r="B596">
        <v>-1.482</v>
      </c>
    </row>
    <row r="597" spans="1:2">
      <c r="A597">
        <v>1591</v>
      </c>
      <c r="B597">
        <v>-0.99399999999999999</v>
      </c>
    </row>
    <row r="598" spans="1:2">
      <c r="A598">
        <v>1592</v>
      </c>
      <c r="B598">
        <v>-0.221</v>
      </c>
    </row>
    <row r="599" spans="1:2">
      <c r="A599">
        <v>1593</v>
      </c>
      <c r="B599">
        <v>3.9740000000000002</v>
      </c>
    </row>
    <row r="600" spans="1:2">
      <c r="A600">
        <v>1594</v>
      </c>
      <c r="B600">
        <v>2.1160000000000001</v>
      </c>
    </row>
    <row r="601" spans="1:2">
      <c r="A601">
        <v>1595</v>
      </c>
      <c r="B601">
        <v>-1.6839999999999999</v>
      </c>
    </row>
    <row r="602" spans="1:2">
      <c r="A602">
        <v>1596</v>
      </c>
      <c r="B602">
        <v>0.44700000000000001</v>
      </c>
    </row>
    <row r="603" spans="1:2">
      <c r="A603">
        <v>1597</v>
      </c>
      <c r="B603">
        <v>-3.2429999999999999</v>
      </c>
    </row>
    <row r="604" spans="1:2">
      <c r="A604">
        <v>1598</v>
      </c>
      <c r="B604">
        <v>-3.0590000000000002</v>
      </c>
    </row>
    <row r="605" spans="1:2">
      <c r="A605">
        <v>1599</v>
      </c>
      <c r="B605">
        <v>-0.33100000000000002</v>
      </c>
    </row>
    <row r="606" spans="1:2">
      <c r="A606">
        <v>1600</v>
      </c>
      <c r="B606">
        <v>-0.85699999999999998</v>
      </c>
    </row>
    <row r="607" spans="1:2">
      <c r="A607">
        <v>1601</v>
      </c>
      <c r="B607">
        <v>-2.2509999999999999</v>
      </c>
    </row>
    <row r="608" spans="1:2">
      <c r="A608">
        <v>1602</v>
      </c>
      <c r="B608">
        <v>0.55300000000000005</v>
      </c>
    </row>
    <row r="609" spans="1:2">
      <c r="A609">
        <v>1603</v>
      </c>
      <c r="B609">
        <v>2.2370000000000001</v>
      </c>
    </row>
    <row r="610" spans="1:2">
      <c r="A610">
        <v>1604</v>
      </c>
      <c r="B610">
        <v>2.2559999999999998</v>
      </c>
    </row>
    <row r="611" spans="1:2">
      <c r="A611">
        <v>1605</v>
      </c>
      <c r="B611">
        <v>2.3460000000000001</v>
      </c>
    </row>
    <row r="612" spans="1:2">
      <c r="A612">
        <v>1606</v>
      </c>
      <c r="B612">
        <v>2.6829999999999998</v>
      </c>
    </row>
    <row r="613" spans="1:2">
      <c r="A613">
        <v>1607</v>
      </c>
      <c r="B613">
        <v>4.1000000000000002E-2</v>
      </c>
    </row>
    <row r="614" spans="1:2">
      <c r="A614">
        <v>1608</v>
      </c>
      <c r="B614">
        <v>-3.556</v>
      </c>
    </row>
    <row r="615" spans="1:2">
      <c r="A615">
        <v>1609</v>
      </c>
      <c r="B615">
        <v>1.6459999999999999</v>
      </c>
    </row>
    <row r="616" spans="1:2">
      <c r="A616">
        <v>1610</v>
      </c>
      <c r="B616">
        <v>1.9690000000000001</v>
      </c>
    </row>
    <row r="617" spans="1:2">
      <c r="A617">
        <v>1611</v>
      </c>
      <c r="B617">
        <v>1.105</v>
      </c>
    </row>
    <row r="618" spans="1:2">
      <c r="A618">
        <v>1612</v>
      </c>
      <c r="B618">
        <v>2.5449999999999999</v>
      </c>
    </row>
    <row r="619" spans="1:2">
      <c r="A619">
        <v>1613</v>
      </c>
      <c r="B619">
        <v>1.0549999999999999</v>
      </c>
    </row>
    <row r="620" spans="1:2">
      <c r="A620">
        <v>1614</v>
      </c>
      <c r="B620">
        <v>0.73499999999999999</v>
      </c>
    </row>
    <row r="621" spans="1:2">
      <c r="A621">
        <v>1615</v>
      </c>
      <c r="B621">
        <v>1.778</v>
      </c>
    </row>
    <row r="622" spans="1:2">
      <c r="A622">
        <v>1616</v>
      </c>
      <c r="B622">
        <v>-0.61199999999999999</v>
      </c>
    </row>
    <row r="623" spans="1:2">
      <c r="A623">
        <v>1617</v>
      </c>
      <c r="B623">
        <v>0.41199999999999998</v>
      </c>
    </row>
    <row r="624" spans="1:2">
      <c r="A624">
        <v>1618</v>
      </c>
      <c r="B624">
        <v>-1.5920000000000001</v>
      </c>
    </row>
    <row r="625" spans="1:2">
      <c r="A625">
        <v>1619</v>
      </c>
      <c r="B625">
        <v>-1.498</v>
      </c>
    </row>
    <row r="626" spans="1:2">
      <c r="A626">
        <v>1620</v>
      </c>
      <c r="B626">
        <v>2.56</v>
      </c>
    </row>
    <row r="627" spans="1:2">
      <c r="A627">
        <v>1621</v>
      </c>
      <c r="B627">
        <v>2.6059999999999999</v>
      </c>
    </row>
    <row r="628" spans="1:2">
      <c r="A628">
        <v>1622</v>
      </c>
      <c r="B628">
        <v>2.907</v>
      </c>
    </row>
    <row r="629" spans="1:2">
      <c r="A629">
        <v>1623</v>
      </c>
      <c r="B629">
        <v>-1.859</v>
      </c>
    </row>
    <row r="630" spans="1:2">
      <c r="A630">
        <v>1624</v>
      </c>
      <c r="B630">
        <v>1.7529999999999999</v>
      </c>
    </row>
    <row r="631" spans="1:2">
      <c r="A631">
        <v>1625</v>
      </c>
      <c r="B631">
        <v>-2.7829999999999999</v>
      </c>
    </row>
    <row r="632" spans="1:2">
      <c r="A632">
        <v>1626</v>
      </c>
      <c r="B632">
        <v>-2.7389999999999999</v>
      </c>
    </row>
    <row r="633" spans="1:2">
      <c r="A633">
        <v>1627</v>
      </c>
      <c r="B633">
        <v>-3.2829999999999999</v>
      </c>
    </row>
    <row r="634" spans="1:2">
      <c r="A634">
        <v>1628</v>
      </c>
      <c r="B634">
        <v>0.49399999999999999</v>
      </c>
    </row>
    <row r="635" spans="1:2">
      <c r="A635">
        <v>1629</v>
      </c>
      <c r="B635">
        <v>2.85</v>
      </c>
    </row>
    <row r="636" spans="1:2">
      <c r="A636">
        <v>1630</v>
      </c>
      <c r="B636">
        <v>-0.224</v>
      </c>
    </row>
    <row r="637" spans="1:2">
      <c r="A637">
        <v>1631</v>
      </c>
      <c r="B637">
        <v>-2.38</v>
      </c>
    </row>
    <row r="638" spans="1:2">
      <c r="A638">
        <v>1632</v>
      </c>
      <c r="B638">
        <v>-3.6469999999999998</v>
      </c>
    </row>
    <row r="639" spans="1:2">
      <c r="A639">
        <v>1633</v>
      </c>
      <c r="B639">
        <v>1.8220000000000001</v>
      </c>
    </row>
    <row r="640" spans="1:2">
      <c r="A640">
        <v>1634</v>
      </c>
      <c r="B640">
        <v>0.28799999999999998</v>
      </c>
    </row>
    <row r="641" spans="1:2">
      <c r="A641">
        <v>1635</v>
      </c>
      <c r="B641">
        <v>1.2889999999999999</v>
      </c>
    </row>
    <row r="642" spans="1:2">
      <c r="A642">
        <v>1636</v>
      </c>
      <c r="B642">
        <v>0.89200000000000002</v>
      </c>
    </row>
    <row r="643" spans="1:2">
      <c r="A643">
        <v>1637</v>
      </c>
      <c r="B643">
        <v>1.038</v>
      </c>
    </row>
    <row r="644" spans="1:2">
      <c r="A644">
        <v>1638</v>
      </c>
      <c r="B644">
        <v>-1.4259999999999999</v>
      </c>
    </row>
    <row r="645" spans="1:2">
      <c r="A645">
        <v>1639</v>
      </c>
      <c r="B645">
        <v>2.556</v>
      </c>
    </row>
    <row r="646" spans="1:2">
      <c r="A646">
        <v>1640</v>
      </c>
      <c r="B646">
        <v>0.40200000000000002</v>
      </c>
    </row>
    <row r="647" spans="1:2">
      <c r="A647">
        <v>1641</v>
      </c>
      <c r="B647">
        <v>-2.7250000000000001</v>
      </c>
    </row>
    <row r="648" spans="1:2">
      <c r="A648">
        <v>1642</v>
      </c>
      <c r="B648">
        <v>-0.7</v>
      </c>
    </row>
    <row r="649" spans="1:2">
      <c r="A649">
        <v>1643</v>
      </c>
      <c r="B649">
        <v>-1.641</v>
      </c>
    </row>
    <row r="650" spans="1:2">
      <c r="A650">
        <v>1644</v>
      </c>
      <c r="B650">
        <v>-2.5369999999999999</v>
      </c>
    </row>
    <row r="651" spans="1:2">
      <c r="A651">
        <v>1645</v>
      </c>
      <c r="B651">
        <v>-1.234</v>
      </c>
    </row>
    <row r="652" spans="1:2">
      <c r="A652">
        <v>1646</v>
      </c>
      <c r="B652">
        <v>-0.45900000000000002</v>
      </c>
    </row>
    <row r="653" spans="1:2">
      <c r="A653">
        <v>1647</v>
      </c>
      <c r="B653">
        <v>-2.2949999999999999</v>
      </c>
    </row>
    <row r="654" spans="1:2">
      <c r="A654">
        <v>1648</v>
      </c>
      <c r="B654">
        <v>-3.1030000000000002</v>
      </c>
    </row>
    <row r="655" spans="1:2">
      <c r="A655">
        <v>1649</v>
      </c>
      <c r="B655">
        <v>3.5550000000000002</v>
      </c>
    </row>
    <row r="656" spans="1:2">
      <c r="A656">
        <v>1650</v>
      </c>
      <c r="B656">
        <v>1.53</v>
      </c>
    </row>
    <row r="657" spans="1:2">
      <c r="A657">
        <v>1651</v>
      </c>
      <c r="B657">
        <v>0.51500000000000001</v>
      </c>
    </row>
    <row r="658" spans="1:2">
      <c r="A658">
        <v>1652</v>
      </c>
      <c r="B658">
        <v>-0.91900000000000004</v>
      </c>
    </row>
    <row r="659" spans="1:2">
      <c r="A659">
        <v>1653</v>
      </c>
      <c r="B659">
        <v>1.681</v>
      </c>
    </row>
    <row r="660" spans="1:2">
      <c r="A660">
        <v>1654</v>
      </c>
      <c r="B660">
        <v>-4.0890000000000004</v>
      </c>
    </row>
    <row r="661" spans="1:2">
      <c r="A661">
        <v>1655</v>
      </c>
      <c r="B661">
        <v>0.12</v>
      </c>
    </row>
    <row r="662" spans="1:2">
      <c r="A662">
        <v>1656</v>
      </c>
      <c r="B662">
        <v>-0.74299999999999999</v>
      </c>
    </row>
    <row r="663" spans="1:2">
      <c r="A663">
        <v>1657</v>
      </c>
      <c r="B663">
        <v>0.89400000000000002</v>
      </c>
    </row>
    <row r="664" spans="1:2">
      <c r="A664">
        <v>1658</v>
      </c>
      <c r="B664">
        <v>-7.4999999999999997E-2</v>
      </c>
    </row>
    <row r="665" spans="1:2">
      <c r="A665">
        <v>1659</v>
      </c>
      <c r="B665">
        <v>-2.1110000000000002</v>
      </c>
    </row>
    <row r="666" spans="1:2">
      <c r="A666">
        <v>1660</v>
      </c>
      <c r="B666">
        <v>2.9489999999999998</v>
      </c>
    </row>
    <row r="667" spans="1:2">
      <c r="A667">
        <v>1661</v>
      </c>
      <c r="B667">
        <v>-0.312</v>
      </c>
    </row>
    <row r="668" spans="1:2">
      <c r="A668">
        <v>1662</v>
      </c>
      <c r="B668">
        <v>3.931</v>
      </c>
    </row>
    <row r="669" spans="1:2">
      <c r="A669">
        <v>1663</v>
      </c>
      <c r="B669">
        <v>0.72399999999999998</v>
      </c>
    </row>
    <row r="670" spans="1:2">
      <c r="A670">
        <v>1664</v>
      </c>
      <c r="B670">
        <v>-1.623</v>
      </c>
    </row>
    <row r="671" spans="1:2">
      <c r="A671">
        <v>1665</v>
      </c>
      <c r="B671">
        <v>1.4279999999999999</v>
      </c>
    </row>
    <row r="672" spans="1:2">
      <c r="A672">
        <v>1666</v>
      </c>
      <c r="B672">
        <v>-0.629</v>
      </c>
    </row>
    <row r="673" spans="1:2">
      <c r="A673">
        <v>1667</v>
      </c>
      <c r="B673">
        <v>2.1469999999999998</v>
      </c>
    </row>
    <row r="674" spans="1:2">
      <c r="A674">
        <v>1668</v>
      </c>
      <c r="B674">
        <v>4.5869999999999997</v>
      </c>
    </row>
    <row r="675" spans="1:2">
      <c r="A675">
        <v>1669</v>
      </c>
      <c r="B675">
        <v>0.53200000000000003</v>
      </c>
    </row>
    <row r="676" spans="1:2">
      <c r="A676">
        <v>1670</v>
      </c>
      <c r="B676">
        <v>-3.613</v>
      </c>
    </row>
    <row r="677" spans="1:2">
      <c r="A677">
        <v>1671</v>
      </c>
      <c r="B677">
        <v>0.27</v>
      </c>
    </row>
    <row r="678" spans="1:2">
      <c r="A678">
        <v>1672</v>
      </c>
      <c r="B678">
        <v>1.1539999999999999</v>
      </c>
    </row>
    <row r="679" spans="1:2">
      <c r="A679">
        <v>1673</v>
      </c>
      <c r="B679">
        <v>-0.59799999999999998</v>
      </c>
    </row>
    <row r="680" spans="1:2">
      <c r="A680">
        <v>1674</v>
      </c>
      <c r="B680">
        <v>1.5449999999999999</v>
      </c>
    </row>
    <row r="681" spans="1:2">
      <c r="A681">
        <v>1675</v>
      </c>
      <c r="B681">
        <v>-3.8559999999999999</v>
      </c>
    </row>
    <row r="682" spans="1:2">
      <c r="A682">
        <v>1676</v>
      </c>
      <c r="B682">
        <v>-1.98</v>
      </c>
    </row>
    <row r="683" spans="1:2">
      <c r="A683">
        <v>1677</v>
      </c>
      <c r="B683">
        <v>4.5279999999999996</v>
      </c>
    </row>
    <row r="684" spans="1:2">
      <c r="A684">
        <v>1678</v>
      </c>
      <c r="B684">
        <v>1.7010000000000001</v>
      </c>
    </row>
    <row r="685" spans="1:2">
      <c r="A685">
        <v>1679</v>
      </c>
      <c r="B685">
        <v>0.442</v>
      </c>
    </row>
    <row r="686" spans="1:2">
      <c r="A686">
        <v>1680</v>
      </c>
      <c r="B686">
        <v>2.25</v>
      </c>
    </row>
    <row r="687" spans="1:2">
      <c r="A687">
        <v>1681</v>
      </c>
      <c r="B687">
        <v>-3.4359999999999999</v>
      </c>
    </row>
    <row r="688" spans="1:2">
      <c r="A688">
        <v>1682</v>
      </c>
      <c r="B688">
        <v>-2.3239999999999998</v>
      </c>
    </row>
    <row r="689" spans="1:2">
      <c r="A689">
        <v>1683</v>
      </c>
      <c r="B689">
        <v>1.7709999999999999</v>
      </c>
    </row>
    <row r="690" spans="1:2">
      <c r="A690">
        <v>1684</v>
      </c>
      <c r="B690">
        <v>-2.5550000000000002</v>
      </c>
    </row>
    <row r="691" spans="1:2">
      <c r="A691">
        <v>1685</v>
      </c>
      <c r="B691">
        <v>-2.0230000000000001</v>
      </c>
    </row>
    <row r="692" spans="1:2">
      <c r="A692">
        <v>1686</v>
      </c>
      <c r="B692">
        <v>1.0049999999999999</v>
      </c>
    </row>
    <row r="693" spans="1:2">
      <c r="A693">
        <v>1687</v>
      </c>
      <c r="B693">
        <v>-0.27900000000000003</v>
      </c>
    </row>
    <row r="694" spans="1:2">
      <c r="A694">
        <v>1688</v>
      </c>
      <c r="B694">
        <v>-0.51500000000000001</v>
      </c>
    </row>
    <row r="695" spans="1:2">
      <c r="A695">
        <v>1689</v>
      </c>
      <c r="B695">
        <v>-0.70899999999999996</v>
      </c>
    </row>
    <row r="696" spans="1:2">
      <c r="A696">
        <v>1690</v>
      </c>
      <c r="B696">
        <v>-1.6639999999999999</v>
      </c>
    </row>
    <row r="697" spans="1:2">
      <c r="A697">
        <v>1691</v>
      </c>
      <c r="B697">
        <v>-2.4409999999999998</v>
      </c>
    </row>
    <row r="698" spans="1:2">
      <c r="A698">
        <v>1692</v>
      </c>
      <c r="B698">
        <v>0.98699999999999999</v>
      </c>
    </row>
    <row r="699" spans="1:2">
      <c r="A699">
        <v>1693</v>
      </c>
      <c r="B699">
        <v>-0.14599999999999999</v>
      </c>
    </row>
    <row r="700" spans="1:2">
      <c r="A700">
        <v>1694</v>
      </c>
      <c r="B700">
        <v>3.0819999999999999</v>
      </c>
    </row>
    <row r="701" spans="1:2">
      <c r="A701">
        <v>1695</v>
      </c>
      <c r="B701">
        <v>5.2380000000000004</v>
      </c>
    </row>
    <row r="702" spans="1:2">
      <c r="A702">
        <v>1696</v>
      </c>
      <c r="B702">
        <v>-0.86799999999999999</v>
      </c>
    </row>
    <row r="703" spans="1:2">
      <c r="A703">
        <v>1697</v>
      </c>
      <c r="B703">
        <v>-1.54</v>
      </c>
    </row>
    <row r="704" spans="1:2">
      <c r="A704">
        <v>1698</v>
      </c>
      <c r="B704">
        <v>-1.5029999999999999</v>
      </c>
    </row>
    <row r="705" spans="1:2">
      <c r="A705">
        <v>1699</v>
      </c>
      <c r="B705">
        <v>-3.1080000000000001</v>
      </c>
    </row>
    <row r="706" spans="1:2">
      <c r="A706">
        <v>1700</v>
      </c>
      <c r="B706">
        <v>0.27100000000000002</v>
      </c>
    </row>
    <row r="707" spans="1:2">
      <c r="A707">
        <v>1701</v>
      </c>
      <c r="B707">
        <v>2.0529999999999999</v>
      </c>
    </row>
    <row r="708" spans="1:2">
      <c r="A708">
        <v>1702</v>
      </c>
      <c r="B708">
        <v>2.343</v>
      </c>
    </row>
    <row r="709" spans="1:2">
      <c r="A709">
        <v>1703</v>
      </c>
      <c r="B709">
        <v>-2.1520000000000001</v>
      </c>
    </row>
    <row r="710" spans="1:2">
      <c r="A710">
        <v>1704</v>
      </c>
      <c r="B710">
        <v>-4.1100000000000003</v>
      </c>
    </row>
    <row r="711" spans="1:2">
      <c r="A711">
        <v>1705</v>
      </c>
      <c r="B711">
        <v>-1.5740000000000001</v>
      </c>
    </row>
    <row r="712" spans="1:2">
      <c r="A712">
        <v>1706</v>
      </c>
      <c r="B712">
        <v>2.3959999999999999</v>
      </c>
    </row>
    <row r="713" spans="1:2">
      <c r="A713">
        <v>1707</v>
      </c>
      <c r="B713">
        <v>0.97599999999999998</v>
      </c>
    </row>
    <row r="714" spans="1:2">
      <c r="A714">
        <v>1708</v>
      </c>
      <c r="B714">
        <v>-2.036</v>
      </c>
    </row>
    <row r="715" spans="1:2">
      <c r="A715">
        <v>1709</v>
      </c>
      <c r="B715">
        <v>-1.0409999999999999</v>
      </c>
    </row>
    <row r="716" spans="1:2">
      <c r="A716">
        <v>1710</v>
      </c>
      <c r="B716">
        <v>-0.51700000000000002</v>
      </c>
    </row>
    <row r="717" spans="1:2">
      <c r="A717">
        <v>1711</v>
      </c>
      <c r="B717">
        <v>0.3</v>
      </c>
    </row>
    <row r="718" spans="1:2">
      <c r="A718">
        <v>1712</v>
      </c>
      <c r="B718">
        <v>-0.42699999999999999</v>
      </c>
    </row>
    <row r="719" spans="1:2">
      <c r="A719">
        <v>1713</v>
      </c>
      <c r="B719">
        <v>0.57599999999999996</v>
      </c>
    </row>
    <row r="720" spans="1:2">
      <c r="A720">
        <v>1714</v>
      </c>
      <c r="B720">
        <v>-2.2040000000000002</v>
      </c>
    </row>
    <row r="721" spans="1:2">
      <c r="A721">
        <v>1715</v>
      </c>
      <c r="B721">
        <v>-2.7290000000000001</v>
      </c>
    </row>
    <row r="722" spans="1:2">
      <c r="A722">
        <v>1716</v>
      </c>
      <c r="B722">
        <v>-0.755</v>
      </c>
    </row>
    <row r="723" spans="1:2">
      <c r="A723">
        <v>1717</v>
      </c>
      <c r="B723">
        <v>-1.966</v>
      </c>
    </row>
    <row r="724" spans="1:2">
      <c r="A724">
        <v>1718</v>
      </c>
      <c r="B724">
        <v>3.298</v>
      </c>
    </row>
    <row r="725" spans="1:2">
      <c r="A725">
        <v>1719</v>
      </c>
      <c r="B725">
        <v>4.8390000000000004</v>
      </c>
    </row>
    <row r="726" spans="1:2">
      <c r="A726">
        <v>1720</v>
      </c>
      <c r="B726">
        <v>1.893</v>
      </c>
    </row>
    <row r="727" spans="1:2">
      <c r="A727">
        <v>1721</v>
      </c>
      <c r="B727">
        <v>2.2309999999999999</v>
      </c>
    </row>
    <row r="728" spans="1:2">
      <c r="A728">
        <v>1722</v>
      </c>
      <c r="B728">
        <v>-1.649</v>
      </c>
    </row>
    <row r="729" spans="1:2">
      <c r="A729">
        <v>1723</v>
      </c>
      <c r="B729">
        <v>1.536</v>
      </c>
    </row>
    <row r="730" spans="1:2">
      <c r="A730">
        <v>1724</v>
      </c>
      <c r="B730">
        <v>-1.522</v>
      </c>
    </row>
    <row r="731" spans="1:2">
      <c r="A731">
        <v>1725</v>
      </c>
      <c r="B731">
        <v>-1.804</v>
      </c>
    </row>
    <row r="732" spans="1:2">
      <c r="A732">
        <v>1726</v>
      </c>
      <c r="B732">
        <v>6.5000000000000002E-2</v>
      </c>
    </row>
    <row r="733" spans="1:2">
      <c r="A733">
        <v>1727</v>
      </c>
      <c r="B733">
        <v>-1.8180000000000001</v>
      </c>
    </row>
    <row r="734" spans="1:2">
      <c r="A734">
        <v>1728</v>
      </c>
      <c r="B734">
        <v>-2.7290000000000001</v>
      </c>
    </row>
    <row r="735" spans="1:2">
      <c r="A735">
        <v>1729</v>
      </c>
      <c r="B735">
        <v>-0.73399999999999999</v>
      </c>
    </row>
    <row r="736" spans="1:2">
      <c r="A736">
        <v>1730</v>
      </c>
      <c r="B736">
        <v>-3.9990000000000001</v>
      </c>
    </row>
    <row r="737" spans="1:2">
      <c r="A737">
        <v>1731</v>
      </c>
      <c r="B737">
        <v>-1.9259999999999999</v>
      </c>
    </row>
    <row r="738" spans="1:2">
      <c r="A738">
        <v>1732</v>
      </c>
      <c r="B738">
        <v>1.9610000000000001</v>
      </c>
    </row>
    <row r="739" spans="1:2">
      <c r="A739">
        <v>1733</v>
      </c>
      <c r="B739">
        <v>1.2170000000000001</v>
      </c>
    </row>
    <row r="740" spans="1:2">
      <c r="A740">
        <v>1734</v>
      </c>
      <c r="B740">
        <v>-0.376</v>
      </c>
    </row>
    <row r="741" spans="1:2">
      <c r="A741">
        <v>1735</v>
      </c>
      <c r="B741">
        <v>3.532</v>
      </c>
    </row>
    <row r="742" spans="1:2">
      <c r="A742">
        <v>1736</v>
      </c>
      <c r="B742">
        <v>-3.343</v>
      </c>
    </row>
    <row r="743" spans="1:2">
      <c r="A743">
        <v>1737</v>
      </c>
      <c r="B743">
        <v>-1.448</v>
      </c>
    </row>
    <row r="744" spans="1:2">
      <c r="A744">
        <v>1738</v>
      </c>
      <c r="B744">
        <v>-1.778</v>
      </c>
    </row>
    <row r="745" spans="1:2">
      <c r="A745">
        <v>1739</v>
      </c>
      <c r="B745">
        <v>2.2639999999999998</v>
      </c>
    </row>
    <row r="746" spans="1:2">
      <c r="A746">
        <v>1740</v>
      </c>
      <c r="B746">
        <v>4.5190000000000001</v>
      </c>
    </row>
    <row r="747" spans="1:2">
      <c r="A747">
        <v>1741</v>
      </c>
      <c r="B747">
        <v>-6.6000000000000003E-2</v>
      </c>
    </row>
    <row r="748" spans="1:2">
      <c r="A748">
        <v>1742</v>
      </c>
      <c r="B748">
        <v>-2.1659999999999999</v>
      </c>
    </row>
    <row r="749" spans="1:2">
      <c r="A749">
        <v>1743</v>
      </c>
      <c r="B749">
        <v>-1.637</v>
      </c>
    </row>
    <row r="750" spans="1:2">
      <c r="A750">
        <v>1744</v>
      </c>
      <c r="B750">
        <v>0.56999999999999995</v>
      </c>
    </row>
    <row r="751" spans="1:2">
      <c r="A751">
        <v>1745</v>
      </c>
      <c r="B751">
        <v>0.35799999999999998</v>
      </c>
    </row>
    <row r="752" spans="1:2">
      <c r="A752">
        <v>1746</v>
      </c>
      <c r="B752">
        <v>4.3280000000000003</v>
      </c>
    </row>
    <row r="753" spans="1:2">
      <c r="A753">
        <v>1747</v>
      </c>
      <c r="B753">
        <v>2.6379999999999999</v>
      </c>
    </row>
    <row r="754" spans="1:2">
      <c r="A754">
        <v>1748</v>
      </c>
      <c r="B754">
        <v>1.4179999999999999</v>
      </c>
    </row>
    <row r="755" spans="1:2">
      <c r="A755">
        <v>1749</v>
      </c>
      <c r="B755">
        <v>0.57699999999999996</v>
      </c>
    </row>
    <row r="756" spans="1:2">
      <c r="A756">
        <v>1750</v>
      </c>
      <c r="B756">
        <v>-1.474</v>
      </c>
    </row>
    <row r="757" spans="1:2">
      <c r="A757">
        <v>1751</v>
      </c>
      <c r="B757">
        <v>-1.2669999999999999</v>
      </c>
    </row>
    <row r="758" spans="1:2">
      <c r="A758">
        <v>1752</v>
      </c>
      <c r="B758">
        <v>-4.0860000000000003</v>
      </c>
    </row>
    <row r="759" spans="1:2">
      <c r="A759">
        <v>1753</v>
      </c>
      <c r="B759">
        <v>-0.221</v>
      </c>
    </row>
    <row r="760" spans="1:2">
      <c r="A760">
        <v>1754</v>
      </c>
      <c r="B760">
        <v>-1.923</v>
      </c>
    </row>
    <row r="761" spans="1:2">
      <c r="A761">
        <v>1755</v>
      </c>
      <c r="B761">
        <v>-3.4359999999999999</v>
      </c>
    </row>
    <row r="762" spans="1:2">
      <c r="A762">
        <v>1756</v>
      </c>
      <c r="B762">
        <v>-1.234</v>
      </c>
    </row>
    <row r="763" spans="1:2">
      <c r="A763">
        <v>1757</v>
      </c>
      <c r="B763">
        <v>-0.71199999999999997</v>
      </c>
    </row>
    <row r="764" spans="1:2">
      <c r="A764">
        <v>1758</v>
      </c>
      <c r="B764">
        <v>4.141</v>
      </c>
    </row>
    <row r="765" spans="1:2">
      <c r="A765">
        <v>1759</v>
      </c>
      <c r="B765">
        <v>2.0720000000000001</v>
      </c>
    </row>
    <row r="766" spans="1:2">
      <c r="A766">
        <v>1760</v>
      </c>
      <c r="B766">
        <v>2.4889999999999999</v>
      </c>
    </row>
    <row r="767" spans="1:2">
      <c r="A767">
        <v>1761</v>
      </c>
      <c r="B767">
        <v>1.9390000000000001</v>
      </c>
    </row>
    <row r="768" spans="1:2">
      <c r="A768">
        <v>1762</v>
      </c>
      <c r="B768">
        <v>1.274</v>
      </c>
    </row>
    <row r="769" spans="1:2">
      <c r="A769">
        <v>1763</v>
      </c>
      <c r="B769">
        <v>-1.31</v>
      </c>
    </row>
    <row r="770" spans="1:2">
      <c r="A770">
        <v>1764</v>
      </c>
      <c r="B770">
        <v>-0.58399999999999996</v>
      </c>
    </row>
    <row r="771" spans="1:2">
      <c r="A771">
        <v>1765</v>
      </c>
      <c r="B771">
        <v>-0.55300000000000005</v>
      </c>
    </row>
    <row r="772" spans="1:2">
      <c r="A772">
        <v>1766</v>
      </c>
      <c r="B772">
        <v>-0.49</v>
      </c>
    </row>
    <row r="773" spans="1:2">
      <c r="A773">
        <v>1767</v>
      </c>
      <c r="B773">
        <v>-2.0529999999999999</v>
      </c>
    </row>
    <row r="774" spans="1:2">
      <c r="A774">
        <v>1768</v>
      </c>
      <c r="B774">
        <v>-1.266</v>
      </c>
    </row>
    <row r="775" spans="1:2">
      <c r="A775">
        <v>1769</v>
      </c>
      <c r="B775">
        <v>-0.61399999999999999</v>
      </c>
    </row>
    <row r="776" spans="1:2">
      <c r="A776">
        <v>1770</v>
      </c>
      <c r="B776">
        <v>4.9000000000000002E-2</v>
      </c>
    </row>
    <row r="777" spans="1:2">
      <c r="A777">
        <v>1771</v>
      </c>
      <c r="B777">
        <v>0.14099999999999999</v>
      </c>
    </row>
    <row r="778" spans="1:2">
      <c r="A778">
        <v>1772</v>
      </c>
      <c r="B778">
        <v>-6.351</v>
      </c>
    </row>
    <row r="779" spans="1:2">
      <c r="A779">
        <v>1773</v>
      </c>
      <c r="B779">
        <v>-2.3180000000000001</v>
      </c>
    </row>
    <row r="780" spans="1:2">
      <c r="A780">
        <v>1774</v>
      </c>
      <c r="B780">
        <v>-0.18099999999999999</v>
      </c>
    </row>
    <row r="781" spans="1:2">
      <c r="A781">
        <v>1775</v>
      </c>
      <c r="B781">
        <v>-1.234</v>
      </c>
    </row>
    <row r="782" spans="1:2">
      <c r="A782">
        <v>1776</v>
      </c>
      <c r="B782">
        <v>-0.875</v>
      </c>
    </row>
    <row r="783" spans="1:2">
      <c r="A783">
        <v>1777</v>
      </c>
      <c r="B783">
        <v>-1.569</v>
      </c>
    </row>
    <row r="784" spans="1:2">
      <c r="A784">
        <v>1778</v>
      </c>
      <c r="B784">
        <v>-2.0030000000000001</v>
      </c>
    </row>
    <row r="785" spans="1:2">
      <c r="A785">
        <v>1779</v>
      </c>
      <c r="B785">
        <v>0.23899999999999999</v>
      </c>
    </row>
    <row r="786" spans="1:2">
      <c r="A786">
        <v>1780</v>
      </c>
      <c r="B786">
        <v>-1.657</v>
      </c>
    </row>
    <row r="787" spans="1:2">
      <c r="A787">
        <v>1781</v>
      </c>
      <c r="B787">
        <v>2.4E-2</v>
      </c>
    </row>
    <row r="788" spans="1:2">
      <c r="A788">
        <v>1782</v>
      </c>
      <c r="B788">
        <v>3.8820000000000001</v>
      </c>
    </row>
    <row r="789" spans="1:2">
      <c r="A789">
        <v>1783</v>
      </c>
      <c r="B789">
        <v>2.6589999999999998</v>
      </c>
    </row>
    <row r="790" spans="1:2">
      <c r="A790">
        <v>1784</v>
      </c>
      <c r="B790">
        <v>0.60499999999999998</v>
      </c>
    </row>
    <row r="791" spans="1:2">
      <c r="A791">
        <v>1785</v>
      </c>
      <c r="B791">
        <v>-2.7829999999999999</v>
      </c>
    </row>
    <row r="792" spans="1:2">
      <c r="A792">
        <v>1786</v>
      </c>
      <c r="B792">
        <v>-4.2169999999999996</v>
      </c>
    </row>
    <row r="793" spans="1:2">
      <c r="A793">
        <v>1787</v>
      </c>
      <c r="B793">
        <v>3.5000000000000003E-2</v>
      </c>
    </row>
    <row r="794" spans="1:2">
      <c r="A794">
        <v>1788</v>
      </c>
      <c r="B794">
        <v>2.1360000000000001</v>
      </c>
    </row>
    <row r="795" spans="1:2">
      <c r="A795">
        <v>1789</v>
      </c>
      <c r="B795">
        <v>-4.0720000000000001</v>
      </c>
    </row>
    <row r="796" spans="1:2">
      <c r="A796">
        <v>1790</v>
      </c>
      <c r="B796">
        <v>-3.8820000000000001</v>
      </c>
    </row>
    <row r="797" spans="1:2">
      <c r="A797">
        <v>1791</v>
      </c>
      <c r="B797">
        <v>-0.70499999999999996</v>
      </c>
    </row>
    <row r="798" spans="1:2">
      <c r="A798">
        <v>1792</v>
      </c>
      <c r="B798">
        <v>1.786</v>
      </c>
    </row>
    <row r="799" spans="1:2">
      <c r="A799">
        <v>1793</v>
      </c>
      <c r="B799">
        <v>4.069</v>
      </c>
    </row>
    <row r="800" spans="1:2">
      <c r="A800">
        <v>1794</v>
      </c>
      <c r="B800">
        <v>2.2410000000000001</v>
      </c>
    </row>
    <row r="801" spans="1:2">
      <c r="A801">
        <v>1795</v>
      </c>
      <c r="B801">
        <v>2.5960000000000001</v>
      </c>
    </row>
    <row r="802" spans="1:2">
      <c r="A802">
        <v>1796</v>
      </c>
      <c r="B802">
        <v>2.625</v>
      </c>
    </row>
    <row r="803" spans="1:2">
      <c r="A803">
        <v>1797</v>
      </c>
      <c r="B803">
        <v>1.948</v>
      </c>
    </row>
    <row r="804" spans="1:2">
      <c r="A804">
        <v>1798</v>
      </c>
      <c r="B804">
        <v>-0.80400000000000005</v>
      </c>
    </row>
    <row r="805" spans="1:2">
      <c r="A805">
        <v>1799</v>
      </c>
      <c r="B805">
        <v>2.73</v>
      </c>
    </row>
    <row r="806" spans="1:2">
      <c r="A806">
        <v>1800</v>
      </c>
      <c r="B806">
        <v>-0.42599999999999999</v>
      </c>
    </row>
    <row r="807" spans="1:2">
      <c r="A807">
        <v>1801</v>
      </c>
      <c r="B807">
        <v>-4.05</v>
      </c>
    </row>
    <row r="808" spans="1:2">
      <c r="A808">
        <v>1802</v>
      </c>
      <c r="B808">
        <v>3.9E-2</v>
      </c>
    </row>
    <row r="809" spans="1:2">
      <c r="A809">
        <v>1803</v>
      </c>
      <c r="B809">
        <v>1.0680000000000001</v>
      </c>
    </row>
    <row r="810" spans="1:2">
      <c r="A810">
        <v>1804</v>
      </c>
      <c r="B810">
        <v>0.95899999999999996</v>
      </c>
    </row>
    <row r="811" spans="1:2">
      <c r="A811">
        <v>1805</v>
      </c>
      <c r="B811">
        <v>-3.806</v>
      </c>
    </row>
    <row r="812" spans="1:2">
      <c r="A812">
        <v>1806</v>
      </c>
      <c r="B812">
        <v>-2.8130000000000002</v>
      </c>
    </row>
    <row r="813" spans="1:2">
      <c r="A813">
        <v>1807</v>
      </c>
      <c r="B813">
        <v>0.42699999999999999</v>
      </c>
    </row>
    <row r="814" spans="1:2">
      <c r="A814">
        <v>1808</v>
      </c>
      <c r="B814">
        <v>-1.911</v>
      </c>
    </row>
    <row r="815" spans="1:2">
      <c r="A815">
        <v>1809</v>
      </c>
      <c r="B815">
        <v>1.054</v>
      </c>
    </row>
    <row r="816" spans="1:2">
      <c r="A816">
        <v>1810</v>
      </c>
      <c r="B816">
        <v>2.0110000000000001</v>
      </c>
    </row>
    <row r="817" spans="1:2">
      <c r="A817">
        <v>1811</v>
      </c>
      <c r="B817">
        <v>2.3980000000000001</v>
      </c>
    </row>
    <row r="818" spans="1:2">
      <c r="A818">
        <v>1812</v>
      </c>
      <c r="B818">
        <v>-0.9</v>
      </c>
    </row>
    <row r="819" spans="1:2">
      <c r="A819">
        <v>1813</v>
      </c>
      <c r="B819">
        <v>0.12</v>
      </c>
    </row>
    <row r="820" spans="1:2">
      <c r="A820">
        <v>1814</v>
      </c>
      <c r="B820">
        <v>1.234</v>
      </c>
    </row>
    <row r="821" spans="1:2">
      <c r="A821">
        <v>1815</v>
      </c>
      <c r="B821">
        <v>0.57599999999999996</v>
      </c>
    </row>
    <row r="822" spans="1:2">
      <c r="A822">
        <v>1816</v>
      </c>
      <c r="B822">
        <v>-0.373</v>
      </c>
    </row>
    <row r="823" spans="1:2">
      <c r="A823">
        <v>1817</v>
      </c>
      <c r="B823">
        <v>2.5379999999999998</v>
      </c>
    </row>
    <row r="824" spans="1:2">
      <c r="A824">
        <v>1818</v>
      </c>
      <c r="B824">
        <v>0.16700000000000001</v>
      </c>
    </row>
    <row r="825" spans="1:2">
      <c r="A825">
        <v>1819</v>
      </c>
      <c r="B825">
        <v>-0.23499999999999999</v>
      </c>
    </row>
    <row r="826" spans="1:2">
      <c r="A826">
        <v>1820</v>
      </c>
      <c r="B826">
        <v>-3.1320000000000001</v>
      </c>
    </row>
    <row r="827" spans="1:2">
      <c r="A827">
        <v>1821</v>
      </c>
      <c r="B827">
        <v>0.34799999999999998</v>
      </c>
    </row>
    <row r="828" spans="1:2">
      <c r="A828">
        <v>1822</v>
      </c>
      <c r="B828">
        <v>-3.258</v>
      </c>
    </row>
    <row r="829" spans="1:2">
      <c r="A829">
        <v>1823</v>
      </c>
      <c r="B829">
        <v>1.4999999999999999E-2</v>
      </c>
    </row>
    <row r="830" spans="1:2">
      <c r="A830">
        <v>1824</v>
      </c>
      <c r="B830">
        <v>-3.95</v>
      </c>
    </row>
    <row r="831" spans="1:2">
      <c r="A831">
        <v>1825</v>
      </c>
      <c r="B831">
        <v>1.3640000000000001</v>
      </c>
    </row>
    <row r="832" spans="1:2">
      <c r="A832">
        <v>1826</v>
      </c>
      <c r="B832">
        <v>1.2889999999999999</v>
      </c>
    </row>
    <row r="833" spans="1:2">
      <c r="A833">
        <v>1827</v>
      </c>
      <c r="B833">
        <v>1.0529999999999999</v>
      </c>
    </row>
    <row r="834" spans="1:2">
      <c r="A834">
        <v>1828</v>
      </c>
      <c r="B834">
        <v>0.69299999999999995</v>
      </c>
    </row>
    <row r="835" spans="1:2">
      <c r="A835">
        <v>1829</v>
      </c>
      <c r="B835">
        <v>-0.14000000000000001</v>
      </c>
    </row>
    <row r="836" spans="1:2">
      <c r="A836">
        <v>1830</v>
      </c>
      <c r="B836">
        <v>-0.93100000000000005</v>
      </c>
    </row>
    <row r="837" spans="1:2">
      <c r="A837">
        <v>1831</v>
      </c>
      <c r="B837">
        <v>-2.9340000000000002</v>
      </c>
    </row>
    <row r="838" spans="1:2">
      <c r="A838">
        <v>1832</v>
      </c>
      <c r="B838">
        <v>-1.171</v>
      </c>
    </row>
    <row r="839" spans="1:2">
      <c r="A839">
        <v>1833</v>
      </c>
      <c r="B839">
        <v>5.7939999999999996</v>
      </c>
    </row>
    <row r="840" spans="1:2">
      <c r="A840">
        <v>1834</v>
      </c>
      <c r="B840">
        <v>2.637</v>
      </c>
    </row>
    <row r="841" spans="1:2">
      <c r="A841">
        <v>1835</v>
      </c>
      <c r="B841">
        <v>-1.5349999999999999</v>
      </c>
    </row>
    <row r="842" spans="1:2">
      <c r="A842">
        <v>1836</v>
      </c>
      <c r="B842">
        <v>4.6340000000000003</v>
      </c>
    </row>
    <row r="843" spans="1:2">
      <c r="A843">
        <v>1837</v>
      </c>
      <c r="B843">
        <v>-0.26700000000000002</v>
      </c>
    </row>
    <row r="844" spans="1:2">
      <c r="A844">
        <v>1838</v>
      </c>
      <c r="B844">
        <v>-0.74199999999999999</v>
      </c>
    </row>
    <row r="845" spans="1:2">
      <c r="A845">
        <v>1839</v>
      </c>
      <c r="B845">
        <v>-1.8089999999999999</v>
      </c>
    </row>
    <row r="846" spans="1:2">
      <c r="A846">
        <v>1840</v>
      </c>
      <c r="B846">
        <v>0.30099999999999999</v>
      </c>
    </row>
    <row r="847" spans="1:2">
      <c r="A847">
        <v>1841</v>
      </c>
      <c r="B847">
        <v>-2.794</v>
      </c>
    </row>
    <row r="848" spans="1:2">
      <c r="A848">
        <v>1842</v>
      </c>
      <c r="B848">
        <v>-3.8679999999999999</v>
      </c>
    </row>
    <row r="849" spans="1:2">
      <c r="A849">
        <v>1843</v>
      </c>
      <c r="B849">
        <v>2.6829999999999998</v>
      </c>
    </row>
    <row r="850" spans="1:2">
      <c r="A850">
        <v>1844</v>
      </c>
      <c r="B850">
        <v>1.393</v>
      </c>
    </row>
    <row r="851" spans="1:2">
      <c r="A851">
        <v>1845</v>
      </c>
      <c r="B851">
        <v>-0.89900000000000002</v>
      </c>
    </row>
    <row r="852" spans="1:2">
      <c r="A852">
        <v>1846</v>
      </c>
      <c r="B852">
        <v>-4.0000000000000001E-3</v>
      </c>
    </row>
    <row r="853" spans="1:2">
      <c r="A853">
        <v>1847</v>
      </c>
      <c r="B853">
        <v>-1.45</v>
      </c>
    </row>
    <row r="854" spans="1:2">
      <c r="A854">
        <v>1848</v>
      </c>
      <c r="B854">
        <v>-1.8919999999999999</v>
      </c>
    </row>
    <row r="855" spans="1:2">
      <c r="A855">
        <v>1849</v>
      </c>
      <c r="B855">
        <v>2.327</v>
      </c>
    </row>
    <row r="856" spans="1:2">
      <c r="A856">
        <v>1850</v>
      </c>
      <c r="B856">
        <v>1.91</v>
      </c>
    </row>
    <row r="857" spans="1:2">
      <c r="A857">
        <v>1851</v>
      </c>
      <c r="B857">
        <v>0.17699999999999999</v>
      </c>
    </row>
    <row r="858" spans="1:2">
      <c r="A858">
        <v>1852</v>
      </c>
      <c r="B858">
        <v>-0.441</v>
      </c>
    </row>
    <row r="859" spans="1:2">
      <c r="A859">
        <v>1853</v>
      </c>
      <c r="B859">
        <v>0.23100000000000001</v>
      </c>
    </row>
    <row r="860" spans="1:2">
      <c r="A860">
        <v>1854</v>
      </c>
      <c r="B860">
        <v>-6.0999999999999999E-2</v>
      </c>
    </row>
    <row r="861" spans="1:2">
      <c r="A861">
        <v>1855</v>
      </c>
      <c r="B861">
        <v>-5.65</v>
      </c>
    </row>
    <row r="862" spans="1:2">
      <c r="A862">
        <v>1856</v>
      </c>
      <c r="B862">
        <v>-1.504</v>
      </c>
    </row>
    <row r="863" spans="1:2">
      <c r="A863">
        <v>1857</v>
      </c>
      <c r="B863">
        <v>-3.6619999999999999</v>
      </c>
    </row>
    <row r="864" spans="1:2">
      <c r="A864">
        <v>1858</v>
      </c>
      <c r="B864">
        <v>0.7</v>
      </c>
    </row>
    <row r="865" spans="1:2">
      <c r="A865">
        <v>1859</v>
      </c>
      <c r="B865">
        <v>-3.3069999999999999</v>
      </c>
    </row>
    <row r="866" spans="1:2">
      <c r="A866">
        <v>1860</v>
      </c>
      <c r="B866">
        <v>-3.3679999999999999</v>
      </c>
    </row>
    <row r="867" spans="1:2">
      <c r="A867">
        <v>1861</v>
      </c>
      <c r="B867">
        <v>-1.256</v>
      </c>
    </row>
    <row r="868" spans="1:2">
      <c r="A868">
        <v>1862</v>
      </c>
      <c r="B868">
        <v>-4.16</v>
      </c>
    </row>
    <row r="869" spans="1:2">
      <c r="A869">
        <v>1863</v>
      </c>
      <c r="B869">
        <v>-2.5990000000000002</v>
      </c>
    </row>
    <row r="870" spans="1:2">
      <c r="A870">
        <v>1864</v>
      </c>
      <c r="B870">
        <v>-2.5489999999999999</v>
      </c>
    </row>
    <row r="871" spans="1:2">
      <c r="A871">
        <v>1865</v>
      </c>
      <c r="B871">
        <v>0.245</v>
      </c>
    </row>
    <row r="872" spans="1:2">
      <c r="A872">
        <v>1866</v>
      </c>
      <c r="B872">
        <v>0.46899999999999997</v>
      </c>
    </row>
    <row r="873" spans="1:2">
      <c r="A873">
        <v>1867</v>
      </c>
      <c r="B873">
        <v>4.2560000000000002</v>
      </c>
    </row>
    <row r="874" spans="1:2">
      <c r="A874">
        <v>1868</v>
      </c>
      <c r="B874">
        <v>0.995</v>
      </c>
    </row>
    <row r="875" spans="1:2">
      <c r="A875">
        <v>1869</v>
      </c>
      <c r="B875">
        <v>4.8380000000000001</v>
      </c>
    </row>
    <row r="876" spans="1:2">
      <c r="A876">
        <v>1870</v>
      </c>
      <c r="B876">
        <v>1.3120000000000001</v>
      </c>
    </row>
    <row r="877" spans="1:2">
      <c r="A877">
        <v>1871</v>
      </c>
      <c r="B877">
        <v>1.425</v>
      </c>
    </row>
    <row r="878" spans="1:2">
      <c r="A878">
        <v>1872</v>
      </c>
      <c r="B878">
        <v>0.16300000000000001</v>
      </c>
    </row>
    <row r="879" spans="1:2">
      <c r="A879">
        <v>1873</v>
      </c>
      <c r="B879">
        <v>1.5</v>
      </c>
    </row>
    <row r="880" spans="1:2">
      <c r="A880">
        <v>1874</v>
      </c>
      <c r="B880">
        <v>-2.2650000000000001</v>
      </c>
    </row>
    <row r="881" spans="1:2">
      <c r="A881">
        <v>1875</v>
      </c>
      <c r="B881">
        <v>0.22800000000000001</v>
      </c>
    </row>
    <row r="882" spans="1:2">
      <c r="A882">
        <v>1876</v>
      </c>
      <c r="B882">
        <v>0.55600000000000005</v>
      </c>
    </row>
    <row r="883" spans="1:2">
      <c r="A883">
        <v>1877</v>
      </c>
      <c r="B883">
        <v>1.5369999999999999</v>
      </c>
    </row>
    <row r="884" spans="1:2">
      <c r="A884">
        <v>1878</v>
      </c>
      <c r="B884">
        <v>0.90900000000000003</v>
      </c>
    </row>
    <row r="885" spans="1:2">
      <c r="A885">
        <v>1879</v>
      </c>
      <c r="B885">
        <v>-2.6480000000000001</v>
      </c>
    </row>
    <row r="886" spans="1:2">
      <c r="A886">
        <v>1880</v>
      </c>
      <c r="B886">
        <v>-0.20499999999999999</v>
      </c>
    </row>
    <row r="887" spans="1:2">
      <c r="A887">
        <v>1881</v>
      </c>
      <c r="B887">
        <v>0.308</v>
      </c>
    </row>
    <row r="888" spans="1:2">
      <c r="A888">
        <v>1882</v>
      </c>
      <c r="B888">
        <v>0.36399999999999999</v>
      </c>
    </row>
    <row r="889" spans="1:2">
      <c r="A889">
        <v>1883</v>
      </c>
      <c r="B889">
        <v>0.46300000000000002</v>
      </c>
    </row>
    <row r="890" spans="1:2">
      <c r="A890">
        <v>1884</v>
      </c>
      <c r="B890">
        <v>1.8759999999999999</v>
      </c>
    </row>
    <row r="891" spans="1:2">
      <c r="A891">
        <v>1885</v>
      </c>
      <c r="B891">
        <v>1.633</v>
      </c>
    </row>
    <row r="892" spans="1:2">
      <c r="A892">
        <v>1886</v>
      </c>
      <c r="B892">
        <v>-3.4580000000000002</v>
      </c>
    </row>
    <row r="893" spans="1:2">
      <c r="A893">
        <v>1887</v>
      </c>
      <c r="B893">
        <v>-4.12</v>
      </c>
    </row>
    <row r="894" spans="1:2">
      <c r="A894">
        <v>1888</v>
      </c>
      <c r="B894">
        <v>1.5569999999999999</v>
      </c>
    </row>
    <row r="895" spans="1:2">
      <c r="A895">
        <v>1889</v>
      </c>
      <c r="B895">
        <v>-0.9</v>
      </c>
    </row>
    <row r="896" spans="1:2">
      <c r="A896">
        <v>1890</v>
      </c>
      <c r="B896">
        <v>3.173</v>
      </c>
    </row>
    <row r="897" spans="1:2">
      <c r="A897">
        <v>1891</v>
      </c>
      <c r="B897">
        <v>1.8420000000000001</v>
      </c>
    </row>
    <row r="898" spans="1:2">
      <c r="A898">
        <v>1892</v>
      </c>
      <c r="B898">
        <v>0.27300000000000002</v>
      </c>
    </row>
    <row r="899" spans="1:2">
      <c r="A899">
        <v>1893</v>
      </c>
      <c r="B899">
        <v>-0.53200000000000003</v>
      </c>
    </row>
    <row r="900" spans="1:2">
      <c r="A900">
        <v>1894</v>
      </c>
      <c r="B900">
        <v>-2.9420000000000002</v>
      </c>
    </row>
    <row r="901" spans="1:2">
      <c r="A901">
        <v>1895</v>
      </c>
      <c r="B901">
        <v>-1.57</v>
      </c>
    </row>
    <row r="902" spans="1:2">
      <c r="A902">
        <v>1896</v>
      </c>
      <c r="B902">
        <v>-2.6549999999999998</v>
      </c>
    </row>
    <row r="903" spans="1:2">
      <c r="A903">
        <v>1897</v>
      </c>
      <c r="B903">
        <v>-0.13800000000000001</v>
      </c>
    </row>
    <row r="904" spans="1:2">
      <c r="A904">
        <v>1898</v>
      </c>
      <c r="B904">
        <v>0.78900000000000003</v>
      </c>
    </row>
    <row r="905" spans="1:2">
      <c r="A905">
        <v>1899</v>
      </c>
      <c r="B905">
        <v>-0.28499999999999998</v>
      </c>
    </row>
    <row r="906" spans="1:2">
      <c r="A906">
        <v>1900</v>
      </c>
      <c r="B906">
        <v>2.3570000000000002</v>
      </c>
    </row>
    <row r="907" spans="1:2">
      <c r="A907">
        <v>1901</v>
      </c>
      <c r="B907">
        <v>-2.2810000000000001</v>
      </c>
    </row>
    <row r="908" spans="1:2">
      <c r="A908">
        <v>1902</v>
      </c>
      <c r="B908">
        <v>-2.7610000000000001</v>
      </c>
    </row>
    <row r="909" spans="1:2">
      <c r="A909">
        <v>1903</v>
      </c>
      <c r="B909">
        <v>2.5760000000000001</v>
      </c>
    </row>
    <row r="910" spans="1:2">
      <c r="A910">
        <v>1904</v>
      </c>
      <c r="B910">
        <v>-1.6459999999999999</v>
      </c>
    </row>
    <row r="911" spans="1:2">
      <c r="A911">
        <v>1905</v>
      </c>
      <c r="B911">
        <v>2.2919999999999998</v>
      </c>
    </row>
    <row r="912" spans="1:2">
      <c r="A912">
        <v>1906</v>
      </c>
      <c r="B912">
        <v>-0.51800000000000002</v>
      </c>
    </row>
    <row r="913" spans="1:2">
      <c r="A913">
        <v>1907</v>
      </c>
      <c r="B913">
        <v>0.89700000000000002</v>
      </c>
    </row>
    <row r="914" spans="1:2">
      <c r="A914">
        <v>1908</v>
      </c>
      <c r="B914">
        <v>3.0830000000000002</v>
      </c>
    </row>
    <row r="915" spans="1:2">
      <c r="A915">
        <v>1909</v>
      </c>
      <c r="B915">
        <v>-1.0089999999999999</v>
      </c>
    </row>
    <row r="916" spans="1:2">
      <c r="A916">
        <v>1910</v>
      </c>
      <c r="B916">
        <v>-1.01</v>
      </c>
    </row>
    <row r="917" spans="1:2">
      <c r="A917">
        <v>1911</v>
      </c>
      <c r="B917">
        <v>-2.3969999999999998</v>
      </c>
    </row>
    <row r="918" spans="1:2">
      <c r="A918">
        <v>1912</v>
      </c>
      <c r="B918">
        <v>0.40899999999999997</v>
      </c>
    </row>
    <row r="919" spans="1:2">
      <c r="A919">
        <v>1913</v>
      </c>
      <c r="B919">
        <v>-1.569</v>
      </c>
    </row>
    <row r="920" spans="1:2">
      <c r="A920">
        <v>1914</v>
      </c>
      <c r="B920">
        <v>1.105</v>
      </c>
    </row>
    <row r="921" spans="1:2">
      <c r="A921">
        <v>1915</v>
      </c>
      <c r="B921">
        <v>2.1230000000000002</v>
      </c>
    </row>
    <row r="922" spans="1:2">
      <c r="A922">
        <v>1916</v>
      </c>
      <c r="B922">
        <v>-1.3420000000000001</v>
      </c>
    </row>
    <row r="923" spans="1:2">
      <c r="A923">
        <v>1917</v>
      </c>
      <c r="B923">
        <v>-3.98</v>
      </c>
    </row>
    <row r="924" spans="1:2">
      <c r="A924">
        <v>1918</v>
      </c>
      <c r="B924">
        <v>-2.597</v>
      </c>
    </row>
    <row r="925" spans="1:2">
      <c r="A925">
        <v>1919</v>
      </c>
      <c r="B925">
        <v>4.1130000000000004</v>
      </c>
    </row>
    <row r="926" spans="1:2">
      <c r="A926">
        <v>1920</v>
      </c>
      <c r="B926">
        <v>2.2400000000000002</v>
      </c>
    </row>
    <row r="927" spans="1:2">
      <c r="A927">
        <v>1921</v>
      </c>
      <c r="B927">
        <v>2.0059999999999998</v>
      </c>
    </row>
    <row r="928" spans="1:2">
      <c r="A928">
        <v>1922</v>
      </c>
      <c r="B928">
        <v>1.2130000000000001</v>
      </c>
    </row>
    <row r="929" spans="1:2">
      <c r="A929">
        <v>1923</v>
      </c>
      <c r="B929">
        <v>1.544</v>
      </c>
    </row>
    <row r="930" spans="1:2">
      <c r="A930">
        <v>1924</v>
      </c>
      <c r="B930">
        <v>3.3140000000000001</v>
      </c>
    </row>
    <row r="931" spans="1:2">
      <c r="A931">
        <v>1925</v>
      </c>
      <c r="B931">
        <v>-6.444</v>
      </c>
    </row>
    <row r="932" spans="1:2">
      <c r="A932">
        <v>1926</v>
      </c>
      <c r="B932">
        <v>0.63400000000000001</v>
      </c>
    </row>
    <row r="933" spans="1:2">
      <c r="A933">
        <v>1927</v>
      </c>
      <c r="B933">
        <v>0.77</v>
      </c>
    </row>
    <row r="934" spans="1:2">
      <c r="A934">
        <v>1928</v>
      </c>
      <c r="B934">
        <v>0.68799999999999994</v>
      </c>
    </row>
    <row r="935" spans="1:2">
      <c r="A935">
        <v>1929</v>
      </c>
      <c r="B935">
        <v>1.663</v>
      </c>
    </row>
    <row r="936" spans="1:2">
      <c r="A936">
        <v>1930</v>
      </c>
      <c r="B936">
        <v>0.126</v>
      </c>
    </row>
    <row r="937" spans="1:2">
      <c r="A937">
        <v>1931</v>
      </c>
      <c r="B937">
        <v>-0.20899999999999999</v>
      </c>
    </row>
    <row r="938" spans="1:2">
      <c r="A938">
        <v>1932</v>
      </c>
      <c r="B938">
        <v>1.7370000000000001</v>
      </c>
    </row>
    <row r="939" spans="1:2">
      <c r="A939">
        <v>1933</v>
      </c>
      <c r="B939">
        <v>0.74</v>
      </c>
    </row>
    <row r="940" spans="1:2">
      <c r="A940">
        <v>1934</v>
      </c>
      <c r="B940">
        <v>-2.673</v>
      </c>
    </row>
    <row r="941" spans="1:2">
      <c r="A941">
        <v>1935</v>
      </c>
      <c r="B941">
        <v>3.1869999999999998</v>
      </c>
    </row>
    <row r="942" spans="1:2">
      <c r="A942">
        <v>1936</v>
      </c>
      <c r="B942">
        <v>-1.1519999999999999</v>
      </c>
    </row>
    <row r="943" spans="1:2">
      <c r="A943">
        <v>1937</v>
      </c>
      <c r="B943">
        <v>-0.70299999999999996</v>
      </c>
    </row>
    <row r="944" spans="1:2">
      <c r="A944">
        <v>1938</v>
      </c>
      <c r="B944">
        <v>-0.40600000000000003</v>
      </c>
    </row>
    <row r="945" spans="1:2">
      <c r="A945">
        <v>1939</v>
      </c>
      <c r="B945">
        <v>-3.4140000000000001</v>
      </c>
    </row>
    <row r="946" spans="1:2">
      <c r="A946">
        <v>1940</v>
      </c>
      <c r="B946">
        <v>-0.8</v>
      </c>
    </row>
    <row r="947" spans="1:2">
      <c r="A947">
        <v>1941</v>
      </c>
      <c r="B947">
        <v>2.3889999999999998</v>
      </c>
    </row>
    <row r="948" spans="1:2">
      <c r="A948">
        <v>1942</v>
      </c>
      <c r="B948">
        <v>1.6259999999999999</v>
      </c>
    </row>
    <row r="949" spans="1:2">
      <c r="A949">
        <v>1943</v>
      </c>
      <c r="B949">
        <v>-0.10199999999999999</v>
      </c>
    </row>
    <row r="950" spans="1:2">
      <c r="A950">
        <v>1944</v>
      </c>
      <c r="B950">
        <v>1.853</v>
      </c>
    </row>
    <row r="951" spans="1:2">
      <c r="A951">
        <v>1945</v>
      </c>
      <c r="B951">
        <v>2.1320000000000001</v>
      </c>
    </row>
    <row r="952" spans="1:2">
      <c r="A952">
        <v>1946</v>
      </c>
      <c r="B952">
        <v>1.66</v>
      </c>
    </row>
    <row r="953" spans="1:2">
      <c r="A953">
        <v>1947</v>
      </c>
      <c r="B953">
        <v>2.0310000000000001</v>
      </c>
    </row>
    <row r="954" spans="1:2">
      <c r="A954">
        <v>1948</v>
      </c>
      <c r="B954">
        <v>-0.246</v>
      </c>
    </row>
    <row r="955" spans="1:2">
      <c r="A955">
        <v>1949</v>
      </c>
      <c r="B955">
        <v>1.21</v>
      </c>
    </row>
    <row r="956" spans="1:2">
      <c r="A956">
        <v>1950</v>
      </c>
      <c r="B956">
        <v>0.77500000000000002</v>
      </c>
    </row>
    <row r="957" spans="1:2">
      <c r="A957">
        <v>1951</v>
      </c>
      <c r="B957">
        <v>-1.07</v>
      </c>
    </row>
    <row r="958" spans="1:2">
      <c r="A958">
        <v>1952</v>
      </c>
      <c r="B958">
        <v>-3.6520000000000001</v>
      </c>
    </row>
    <row r="959" spans="1:2">
      <c r="A959">
        <v>1953</v>
      </c>
      <c r="B959">
        <v>-4.2869999999999999</v>
      </c>
    </row>
    <row r="960" spans="1:2">
      <c r="A960">
        <v>1954</v>
      </c>
      <c r="B960">
        <v>-2.8860000000000001</v>
      </c>
    </row>
    <row r="961" spans="1:2">
      <c r="A961">
        <v>1955</v>
      </c>
      <c r="B961">
        <v>-2.2770000000000001</v>
      </c>
    </row>
    <row r="962" spans="1:2">
      <c r="A962">
        <v>1956</v>
      </c>
      <c r="B962">
        <v>-4.806</v>
      </c>
    </row>
    <row r="963" spans="1:2">
      <c r="A963">
        <v>1957</v>
      </c>
      <c r="B963">
        <v>0.45200000000000001</v>
      </c>
    </row>
    <row r="964" spans="1:2">
      <c r="A964">
        <v>1958</v>
      </c>
      <c r="B964">
        <v>0.68</v>
      </c>
    </row>
    <row r="965" spans="1:2">
      <c r="A965">
        <v>1959</v>
      </c>
      <c r="B965">
        <v>-0.41699999999999998</v>
      </c>
    </row>
    <row r="966" spans="1:2">
      <c r="A966">
        <v>1960</v>
      </c>
      <c r="B966">
        <v>0.23100000000000001</v>
      </c>
    </row>
    <row r="967" spans="1:2">
      <c r="A967">
        <v>1961</v>
      </c>
      <c r="B967">
        <v>-0.36299999999999999</v>
      </c>
    </row>
    <row r="968" spans="1:2">
      <c r="A968">
        <v>1962</v>
      </c>
      <c r="B968">
        <v>0.16400000000000001</v>
      </c>
    </row>
    <row r="969" spans="1:2">
      <c r="A969">
        <v>1963</v>
      </c>
      <c r="B969">
        <v>-2.6</v>
      </c>
    </row>
    <row r="970" spans="1:2">
      <c r="A970">
        <v>1964</v>
      </c>
      <c r="B970">
        <v>-2.0089999999999999</v>
      </c>
    </row>
    <row r="971" spans="1:2">
      <c r="A971">
        <v>1965</v>
      </c>
      <c r="B971">
        <v>2.0510000000000002</v>
      </c>
    </row>
    <row r="972" spans="1:2">
      <c r="A972">
        <v>1966</v>
      </c>
      <c r="B972">
        <v>-0.64500000000000002</v>
      </c>
    </row>
    <row r="973" spans="1:2">
      <c r="A973">
        <v>1967</v>
      </c>
      <c r="B973">
        <v>-2.7090000000000001</v>
      </c>
    </row>
    <row r="974" spans="1:2">
      <c r="A974">
        <v>1968</v>
      </c>
      <c r="B974">
        <v>2.722</v>
      </c>
    </row>
    <row r="975" spans="1:2">
      <c r="A975">
        <v>1969</v>
      </c>
      <c r="B975">
        <v>0.67400000000000004</v>
      </c>
    </row>
    <row r="976" spans="1:2">
      <c r="A976">
        <v>1970</v>
      </c>
      <c r="B976">
        <v>1</v>
      </c>
    </row>
    <row r="977" spans="1:2">
      <c r="A977">
        <v>1971</v>
      </c>
      <c r="B977">
        <v>-4.2050000000000001</v>
      </c>
    </row>
    <row r="978" spans="1:2">
      <c r="A978">
        <v>1972</v>
      </c>
      <c r="B978">
        <v>-1.194</v>
      </c>
    </row>
    <row r="979" spans="1:2">
      <c r="A979">
        <v>1973</v>
      </c>
      <c r="B979">
        <v>2.883</v>
      </c>
    </row>
    <row r="980" spans="1:2">
      <c r="A980">
        <v>1974</v>
      </c>
      <c r="B980">
        <v>-0.34200000000000003</v>
      </c>
    </row>
    <row r="981" spans="1:2">
      <c r="A981">
        <v>1975</v>
      </c>
      <c r="B981">
        <v>3.3959999999999999</v>
      </c>
    </row>
    <row r="982" spans="1:2">
      <c r="A982">
        <v>1976</v>
      </c>
      <c r="B982">
        <v>1.069</v>
      </c>
    </row>
    <row r="983" spans="1:2">
      <c r="A983">
        <v>1977</v>
      </c>
      <c r="B983">
        <v>0.23</v>
      </c>
    </row>
    <row r="984" spans="1:2">
      <c r="A984">
        <v>1978</v>
      </c>
      <c r="B984">
        <v>-2.4350000000000001</v>
      </c>
    </row>
    <row r="985" spans="1:2">
      <c r="A985">
        <v>1979</v>
      </c>
      <c r="B985">
        <v>3.1179999999999999</v>
      </c>
    </row>
    <row r="986" spans="1:2">
      <c r="A986">
        <v>1980</v>
      </c>
      <c r="B986">
        <v>-1.617</v>
      </c>
    </row>
    <row r="987" spans="1:2">
      <c r="A987">
        <v>1981</v>
      </c>
      <c r="B987">
        <v>1.4930000000000001</v>
      </c>
    </row>
    <row r="988" spans="1:2">
      <c r="A988">
        <v>1982</v>
      </c>
      <c r="B988">
        <v>1.52</v>
      </c>
    </row>
    <row r="989" spans="1:2">
      <c r="A989">
        <v>1983</v>
      </c>
      <c r="B989">
        <v>1.635</v>
      </c>
    </row>
    <row r="990" spans="1:2">
      <c r="A990">
        <v>1984</v>
      </c>
      <c r="B990">
        <v>-2.0619999999999998</v>
      </c>
    </row>
    <row r="991" spans="1:2">
      <c r="A991">
        <v>1985</v>
      </c>
      <c r="B991">
        <v>1.482</v>
      </c>
    </row>
    <row r="992" spans="1:2">
      <c r="A992">
        <v>1986</v>
      </c>
      <c r="B992">
        <v>0.29599999999999999</v>
      </c>
    </row>
    <row r="993" spans="1:2">
      <c r="A993">
        <v>1987</v>
      </c>
      <c r="B993">
        <v>3.7709999999999999</v>
      </c>
    </row>
    <row r="994" spans="1:2">
      <c r="A994">
        <v>1988</v>
      </c>
      <c r="B994">
        <v>-1.306</v>
      </c>
    </row>
    <row r="995" spans="1:2">
      <c r="A995">
        <v>1989</v>
      </c>
      <c r="B995">
        <v>1.665</v>
      </c>
    </row>
    <row r="996" spans="1:2">
      <c r="A996">
        <v>1990</v>
      </c>
      <c r="B996">
        <v>0.94299999999999995</v>
      </c>
    </row>
    <row r="997" spans="1:2">
      <c r="A997">
        <v>1991</v>
      </c>
      <c r="B997">
        <v>1.645</v>
      </c>
    </row>
    <row r="998" spans="1:2">
      <c r="A998">
        <v>1992</v>
      </c>
      <c r="B998">
        <v>4.569</v>
      </c>
    </row>
    <row r="999" spans="1:2">
      <c r="A999">
        <v>1993</v>
      </c>
      <c r="B999">
        <v>2.2229999999999999</v>
      </c>
    </row>
    <row r="1000" spans="1:2">
      <c r="A1000">
        <v>1994</v>
      </c>
      <c r="B1000">
        <v>1.3049999999999999</v>
      </c>
    </row>
    <row r="1001" spans="1:2">
      <c r="A1001">
        <v>1995</v>
      </c>
      <c r="B1001">
        <v>3.18</v>
      </c>
    </row>
    <row r="1002" spans="1:2">
      <c r="A1002">
        <v>1996</v>
      </c>
      <c r="B1002">
        <v>-1.619</v>
      </c>
    </row>
    <row r="1003" spans="1:2">
      <c r="A1003">
        <v>1997</v>
      </c>
      <c r="B1003">
        <v>3.5409999999999999</v>
      </c>
    </row>
    <row r="1004" spans="1:2">
      <c r="A1004">
        <v>1998</v>
      </c>
      <c r="B1004">
        <v>-2.3820000000000001</v>
      </c>
    </row>
    <row r="1005" spans="1:2">
      <c r="A1005">
        <v>1999</v>
      </c>
      <c r="B1005">
        <v>-0.247</v>
      </c>
    </row>
    <row r="1006" spans="1:2">
      <c r="A1006">
        <v>2000</v>
      </c>
      <c r="B1006">
        <v>-1.472</v>
      </c>
    </row>
    <row r="1007" spans="1:2">
      <c r="A1007">
        <v>2001</v>
      </c>
      <c r="B1007">
        <v>1.2929999999999999</v>
      </c>
    </row>
    <row r="1008" spans="1:2">
      <c r="A1008">
        <v>2002</v>
      </c>
      <c r="B1008">
        <v>1.327</v>
      </c>
    </row>
    <row r="1009" spans="1:2">
      <c r="A1009">
        <v>2003</v>
      </c>
      <c r="B1009">
        <v>-0.72599999999999998</v>
      </c>
    </row>
    <row r="1011" spans="1:2">
      <c r="B1011" s="4">
        <f>MAX(B2:B1009)</f>
        <v>6.9279999999999999</v>
      </c>
    </row>
    <row r="1012" spans="1:2">
      <c r="B1012" s="4">
        <f>MIN(B2:B1009)</f>
        <v>-6.7220000000000004</v>
      </c>
    </row>
    <row r="1013" spans="1:2">
      <c r="B1013" s="6">
        <f>AVERAGE(B2:B1009)</f>
        <v>-0.31738591269841271</v>
      </c>
    </row>
    <row r="1014" spans="1:2">
      <c r="B1014" s="6">
        <f>STDEV(B2:B1009)</f>
        <v>2.2250091056528944</v>
      </c>
    </row>
  </sheetData>
  <pageMargins left="0.74791666666666667" right="0.74791666666666667" top="0.98402777777777772" bottom="0.98402777777777772" header="0.51180555555555551" footer="0.51180555555555551"/>
  <pageSetup firstPageNumber="0" orientation="portrait" horizontalDpi="300" verticalDpi="300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7"/>
  <dimension ref="A1:Z196"/>
  <sheetViews>
    <sheetView workbookViewId="0">
      <selection activeCell="M6" sqref="M6"/>
    </sheetView>
  </sheetViews>
  <sheetFormatPr defaultRowHeight="12.75"/>
  <cols>
    <col min="1" max="1" width="12" customWidth="1"/>
    <col min="4" max="4" width="13.5703125" customWidth="1"/>
    <col min="5" max="5" width="20.140625" customWidth="1"/>
    <col min="7" max="7" width="9.5703125" customWidth="1"/>
  </cols>
  <sheetData>
    <row r="1" spans="1:26">
      <c r="A1" t="s">
        <v>43</v>
      </c>
      <c r="B1" s="33" t="s">
        <v>38</v>
      </c>
      <c r="C1" s="33" t="s">
        <v>39</v>
      </c>
      <c r="D1" s="33" t="s">
        <v>44</v>
      </c>
      <c r="E1" s="33" t="s">
        <v>45</v>
      </c>
      <c r="F1" s="10" t="s">
        <v>29</v>
      </c>
      <c r="G1" s="10" t="s">
        <v>30</v>
      </c>
      <c r="H1" s="10" t="s">
        <v>31</v>
      </c>
      <c r="I1" s="10" t="s">
        <v>32</v>
      </c>
      <c r="J1" s="10" t="s">
        <v>46</v>
      </c>
      <c r="L1" s="33" t="s">
        <v>38</v>
      </c>
      <c r="M1" s="33" t="s">
        <v>38</v>
      </c>
      <c r="N1" s="10" t="s">
        <v>46</v>
      </c>
      <c r="O1" t="s">
        <v>47</v>
      </c>
    </row>
    <row r="2" spans="1:26">
      <c r="A2">
        <v>1</v>
      </c>
      <c r="B2">
        <v>-7.5449999999999999</v>
      </c>
      <c r="C2">
        <v>3</v>
      </c>
      <c r="D2">
        <v>2</v>
      </c>
      <c r="E2" s="4">
        <f t="shared" ref="E2:E33" si="0">RANK(B2,$B$2:$B$196,1)</f>
        <v>48</v>
      </c>
      <c r="F2" s="12">
        <v>196</v>
      </c>
      <c r="G2" s="12">
        <f t="shared" ref="G2:G33" si="1">E2</f>
        <v>48</v>
      </c>
      <c r="H2" s="12">
        <f t="shared" ref="H2:H33" si="2">(F2+1)/G2</f>
        <v>4.104166666666667</v>
      </c>
      <c r="I2" s="12">
        <f t="shared" ref="I2:I33" si="3">1/H2</f>
        <v>0.24365482233502536</v>
      </c>
      <c r="J2" s="13">
        <f t="shared" ref="J2:J33" si="4">(1-I2)^$K$2</f>
        <v>0.75634517766497467</v>
      </c>
      <c r="K2">
        <v>1</v>
      </c>
      <c r="L2">
        <v>-36.018000000000001</v>
      </c>
      <c r="M2" s="4">
        <f t="shared" ref="M2:M33" si="5">ABS(L2)</f>
        <v>36.018000000000001</v>
      </c>
      <c r="N2" s="13">
        <v>0.99532710280373837</v>
      </c>
    </row>
    <row r="3" spans="1:26">
      <c r="A3">
        <v>2</v>
      </c>
      <c r="B3">
        <v>-28.51</v>
      </c>
      <c r="C3">
        <v>14</v>
      </c>
      <c r="D3">
        <v>5</v>
      </c>
      <c r="E3" s="4">
        <f t="shared" si="0"/>
        <v>4</v>
      </c>
      <c r="F3" s="12">
        <v>197</v>
      </c>
      <c r="G3" s="12">
        <f t="shared" si="1"/>
        <v>4</v>
      </c>
      <c r="H3" s="12">
        <f t="shared" si="2"/>
        <v>49.5</v>
      </c>
      <c r="I3" s="12">
        <f t="shared" si="3"/>
        <v>2.0202020202020204E-2</v>
      </c>
      <c r="J3" s="13">
        <f t="shared" si="4"/>
        <v>0.97979797979797978</v>
      </c>
      <c r="L3">
        <v>-34.043000000000006</v>
      </c>
      <c r="M3" s="4">
        <f t="shared" si="5"/>
        <v>34.043000000000006</v>
      </c>
      <c r="N3" s="13">
        <v>0.9907407407407407</v>
      </c>
      <c r="T3" s="10" t="s">
        <v>48</v>
      </c>
      <c r="U3" s="10" t="s">
        <v>29</v>
      </c>
      <c r="V3" s="10" t="s">
        <v>30</v>
      </c>
      <c r="W3" s="10" t="s">
        <v>31</v>
      </c>
      <c r="X3" s="10" t="s">
        <v>32</v>
      </c>
      <c r="Y3" s="10" t="s">
        <v>33</v>
      </c>
      <c r="Z3" s="10" t="s">
        <v>34</v>
      </c>
    </row>
    <row r="4" spans="1:26">
      <c r="A4">
        <v>3</v>
      </c>
      <c r="B4">
        <v>-8.3949999999999996</v>
      </c>
      <c r="C4">
        <v>6</v>
      </c>
      <c r="D4">
        <v>17</v>
      </c>
      <c r="E4" s="4">
        <f t="shared" si="0"/>
        <v>40</v>
      </c>
      <c r="F4" s="12">
        <v>198</v>
      </c>
      <c r="G4" s="12">
        <f t="shared" si="1"/>
        <v>40</v>
      </c>
      <c r="H4" s="12">
        <f t="shared" si="2"/>
        <v>4.9749999999999996</v>
      </c>
      <c r="I4" s="12">
        <f t="shared" si="3"/>
        <v>0.20100502512562815</v>
      </c>
      <c r="J4" s="13">
        <f t="shared" si="4"/>
        <v>0.79899497487437188</v>
      </c>
      <c r="L4">
        <v>-29.376999999999999</v>
      </c>
      <c r="M4" s="4">
        <f t="shared" si="5"/>
        <v>29.376999999999999</v>
      </c>
      <c r="N4" s="13">
        <v>0.98913043478260865</v>
      </c>
      <c r="T4" s="11" t="s">
        <v>49</v>
      </c>
      <c r="U4" s="12">
        <v>196</v>
      </c>
      <c r="V4" s="12">
        <f>E183</f>
        <v>8</v>
      </c>
      <c r="W4" s="12">
        <f>(U4+1)/V4</f>
        <v>24.625</v>
      </c>
      <c r="X4" s="12">
        <f>1/W4</f>
        <v>4.060913705583756E-2</v>
      </c>
      <c r="Y4" s="13">
        <f t="shared" ref="Y4:Y10" si="6">1-(1-$X$4)^Z4</f>
        <v>4.0609137055837574E-2</v>
      </c>
      <c r="Z4" s="14">
        <v>1</v>
      </c>
    </row>
    <row r="5" spans="1:26">
      <c r="A5">
        <v>4</v>
      </c>
      <c r="B5">
        <v>-1.9140000000000001</v>
      </c>
      <c r="C5">
        <v>2</v>
      </c>
      <c r="D5">
        <v>8</v>
      </c>
      <c r="E5" s="4">
        <f t="shared" si="0"/>
        <v>125</v>
      </c>
      <c r="F5" s="12">
        <v>199</v>
      </c>
      <c r="G5" s="12">
        <f t="shared" si="1"/>
        <v>125</v>
      </c>
      <c r="H5" s="12">
        <f t="shared" si="2"/>
        <v>1.6</v>
      </c>
      <c r="I5" s="12">
        <f t="shared" si="3"/>
        <v>0.625</v>
      </c>
      <c r="J5" s="13">
        <f t="shared" si="4"/>
        <v>0.375</v>
      </c>
      <c r="L5">
        <v>-28.51</v>
      </c>
      <c r="M5" s="4">
        <f t="shared" si="5"/>
        <v>28.51</v>
      </c>
      <c r="N5" s="13">
        <v>0.97979797979797978</v>
      </c>
      <c r="T5" s="15"/>
      <c r="U5" s="16"/>
      <c r="V5" s="16"/>
      <c r="W5" s="16"/>
      <c r="X5" s="16"/>
      <c r="Y5" s="13">
        <f t="shared" si="6"/>
        <v>0.18721086400223619</v>
      </c>
      <c r="Z5" s="18">
        <v>5</v>
      </c>
    </row>
    <row r="6" spans="1:26">
      <c r="A6">
        <v>5</v>
      </c>
      <c r="B6">
        <v>-5.3760000000000003</v>
      </c>
      <c r="C6">
        <v>5</v>
      </c>
      <c r="D6">
        <v>4</v>
      </c>
      <c r="E6" s="4">
        <f t="shared" si="0"/>
        <v>75</v>
      </c>
      <c r="F6" s="12">
        <v>200</v>
      </c>
      <c r="G6" s="12">
        <f t="shared" si="1"/>
        <v>75</v>
      </c>
      <c r="H6" s="12">
        <f t="shared" si="2"/>
        <v>2.68</v>
      </c>
      <c r="I6" s="12">
        <f t="shared" si="3"/>
        <v>0.37313432835820892</v>
      </c>
      <c r="J6" s="13">
        <f t="shared" si="4"/>
        <v>0.62686567164179108</v>
      </c>
      <c r="L6">
        <v>-27.78</v>
      </c>
      <c r="M6" s="4">
        <f t="shared" si="5"/>
        <v>27.78</v>
      </c>
      <c r="N6" s="13">
        <v>0.97747747747747749</v>
      </c>
      <c r="T6" s="15"/>
      <c r="U6" s="16"/>
      <c r="V6" s="16"/>
      <c r="W6" s="16"/>
      <c r="X6" s="16"/>
      <c r="Y6" s="13">
        <f t="shared" si="6"/>
        <v>0.33937382040400854</v>
      </c>
      <c r="Z6" s="18">
        <v>10</v>
      </c>
    </row>
    <row r="7" spans="1:26">
      <c r="A7">
        <v>6</v>
      </c>
      <c r="B7">
        <v>-15.449</v>
      </c>
      <c r="C7">
        <v>8</v>
      </c>
      <c r="D7">
        <v>6</v>
      </c>
      <c r="E7" s="4">
        <f t="shared" si="0"/>
        <v>14</v>
      </c>
      <c r="F7" s="12">
        <v>201</v>
      </c>
      <c r="G7" s="12">
        <f t="shared" si="1"/>
        <v>14</v>
      </c>
      <c r="H7" s="12">
        <f t="shared" si="2"/>
        <v>14.428571428571429</v>
      </c>
      <c r="I7" s="12">
        <f t="shared" si="3"/>
        <v>6.9306930693069299E-2</v>
      </c>
      <c r="J7" s="13">
        <f t="shared" si="4"/>
        <v>0.93069306930693074</v>
      </c>
      <c r="L7">
        <v>-25.858999999999998</v>
      </c>
      <c r="M7" s="4">
        <f t="shared" si="5"/>
        <v>25.858999999999998</v>
      </c>
      <c r="N7" s="13">
        <v>0.97101449275362317</v>
      </c>
      <c r="T7" s="15"/>
      <c r="U7" s="16"/>
      <c r="V7" s="16"/>
      <c r="W7" s="16"/>
      <c r="X7" s="16"/>
      <c r="Y7" s="13">
        <f t="shared" si="6"/>
        <v>0.56357305083240483</v>
      </c>
      <c r="Z7" s="18">
        <v>20</v>
      </c>
    </row>
    <row r="8" spans="1:26">
      <c r="A8">
        <v>7</v>
      </c>
      <c r="B8">
        <v>-7.4139999999999997</v>
      </c>
      <c r="C8">
        <v>5</v>
      </c>
      <c r="D8">
        <v>9</v>
      </c>
      <c r="E8" s="4">
        <f t="shared" si="0"/>
        <v>50</v>
      </c>
      <c r="F8" s="12">
        <v>202</v>
      </c>
      <c r="G8" s="12">
        <f t="shared" si="1"/>
        <v>50</v>
      </c>
      <c r="H8" s="12">
        <f t="shared" si="2"/>
        <v>4.0599999999999996</v>
      </c>
      <c r="I8" s="12">
        <f t="shared" si="3"/>
        <v>0.24630541871921185</v>
      </c>
      <c r="J8" s="13">
        <f t="shared" si="4"/>
        <v>0.75369458128078815</v>
      </c>
      <c r="L8">
        <v>-19.756999999999998</v>
      </c>
      <c r="M8" s="4">
        <f t="shared" si="5"/>
        <v>19.756999999999998</v>
      </c>
      <c r="N8" s="13">
        <v>0.96888888888888891</v>
      </c>
      <c r="T8" s="15"/>
      <c r="U8" s="16"/>
      <c r="V8" s="16"/>
      <c r="W8" s="16"/>
      <c r="X8" s="16"/>
      <c r="Y8" s="13">
        <f t="shared" si="6"/>
        <v>0.71168493189867754</v>
      </c>
      <c r="Z8" s="20">
        <v>30</v>
      </c>
    </row>
    <row r="9" spans="1:26">
      <c r="A9">
        <v>8</v>
      </c>
      <c r="B9">
        <v>-0.74</v>
      </c>
      <c r="C9">
        <v>1</v>
      </c>
      <c r="D9">
        <v>10</v>
      </c>
      <c r="E9" s="4">
        <f t="shared" si="0"/>
        <v>164</v>
      </c>
      <c r="F9" s="12">
        <v>203</v>
      </c>
      <c r="G9" s="12">
        <f t="shared" si="1"/>
        <v>164</v>
      </c>
      <c r="H9" s="12">
        <f t="shared" si="2"/>
        <v>1.2439024390243902</v>
      </c>
      <c r="I9" s="12">
        <f t="shared" si="3"/>
        <v>0.80392156862745101</v>
      </c>
      <c r="J9" s="13">
        <f t="shared" si="4"/>
        <v>0.19607843137254899</v>
      </c>
      <c r="L9">
        <v>-18.978000000000002</v>
      </c>
      <c r="M9" s="4">
        <f t="shared" si="5"/>
        <v>18.978000000000002</v>
      </c>
      <c r="N9" s="13">
        <v>0.97883597883597884</v>
      </c>
      <c r="T9" s="15"/>
      <c r="U9" s="16"/>
      <c r="V9" s="16"/>
      <c r="W9" s="16"/>
      <c r="X9" s="16"/>
      <c r="Y9" s="13">
        <f t="shared" si="6"/>
        <v>0.87417153442949247</v>
      </c>
      <c r="Z9" s="22">
        <v>50</v>
      </c>
    </row>
    <row r="10" spans="1:26">
      <c r="A10">
        <v>9</v>
      </c>
      <c r="B10">
        <v>-9.1349999999999998</v>
      </c>
      <c r="C10">
        <v>3</v>
      </c>
      <c r="D10">
        <v>4</v>
      </c>
      <c r="E10" s="4">
        <f t="shared" si="0"/>
        <v>31</v>
      </c>
      <c r="F10" s="12">
        <v>204</v>
      </c>
      <c r="G10" s="12">
        <f t="shared" si="1"/>
        <v>31</v>
      </c>
      <c r="H10" s="12">
        <f t="shared" si="2"/>
        <v>6.612903225806452</v>
      </c>
      <c r="I10" s="12">
        <f t="shared" si="3"/>
        <v>0.15121951219512195</v>
      </c>
      <c r="J10" s="13">
        <f t="shared" si="4"/>
        <v>0.84878048780487803</v>
      </c>
      <c r="L10">
        <v>-17.312000000000001</v>
      </c>
      <c r="M10" s="4">
        <f t="shared" si="5"/>
        <v>17.312000000000001</v>
      </c>
      <c r="N10" s="13">
        <v>0.9598214285714286</v>
      </c>
      <c r="T10" s="23"/>
      <c r="U10" s="24"/>
      <c r="V10" s="24"/>
      <c r="W10" s="24"/>
      <c r="X10" s="24"/>
      <c r="Y10" s="13">
        <f t="shared" si="6"/>
        <v>0.98416719725217161</v>
      </c>
      <c r="Z10" s="26">
        <v>100</v>
      </c>
    </row>
    <row r="11" spans="1:26">
      <c r="A11">
        <v>10</v>
      </c>
      <c r="B11">
        <v>-0.13200000000000001</v>
      </c>
      <c r="C11">
        <v>1</v>
      </c>
      <c r="D11">
        <v>5</v>
      </c>
      <c r="E11" s="4">
        <f t="shared" si="0"/>
        <v>192</v>
      </c>
      <c r="F11" s="12">
        <v>205</v>
      </c>
      <c r="G11" s="12">
        <f t="shared" si="1"/>
        <v>192</v>
      </c>
      <c r="H11" s="12">
        <f t="shared" si="2"/>
        <v>1.0729166666666667</v>
      </c>
      <c r="I11" s="12">
        <f t="shared" si="3"/>
        <v>0.93203883495145623</v>
      </c>
      <c r="J11" s="13">
        <f t="shared" si="4"/>
        <v>6.796116504854377E-2</v>
      </c>
      <c r="L11">
        <v>-17.239000000000001</v>
      </c>
      <c r="M11" s="4">
        <f t="shared" si="5"/>
        <v>17.239000000000001</v>
      </c>
      <c r="N11" s="13">
        <v>0.97214484679665736</v>
      </c>
    </row>
    <row r="12" spans="1:26">
      <c r="A12">
        <v>11</v>
      </c>
      <c r="B12">
        <v>-25.858999999999998</v>
      </c>
      <c r="C12">
        <v>14</v>
      </c>
      <c r="D12">
        <v>3</v>
      </c>
      <c r="E12" s="4">
        <f t="shared" si="0"/>
        <v>6</v>
      </c>
      <c r="F12" s="12">
        <v>206</v>
      </c>
      <c r="G12" s="12">
        <f t="shared" si="1"/>
        <v>6</v>
      </c>
      <c r="H12" s="12">
        <f t="shared" si="2"/>
        <v>34.5</v>
      </c>
      <c r="I12" s="12">
        <f t="shared" si="3"/>
        <v>2.8985507246376812E-2</v>
      </c>
      <c r="J12" s="13">
        <f t="shared" si="4"/>
        <v>0.97101449275362317</v>
      </c>
      <c r="L12">
        <v>-16.47</v>
      </c>
      <c r="M12" s="4">
        <f t="shared" si="5"/>
        <v>16.47</v>
      </c>
      <c r="N12" s="13">
        <v>0.95022624434389136</v>
      </c>
    </row>
    <row r="13" spans="1:26">
      <c r="A13">
        <v>12</v>
      </c>
      <c r="B13">
        <v>-4.4809999999999999</v>
      </c>
      <c r="C13">
        <v>2</v>
      </c>
      <c r="D13">
        <v>16</v>
      </c>
      <c r="E13" s="4">
        <f t="shared" si="0"/>
        <v>85</v>
      </c>
      <c r="F13" s="12">
        <v>207</v>
      </c>
      <c r="G13" s="12">
        <f t="shared" si="1"/>
        <v>85</v>
      </c>
      <c r="H13" s="12">
        <f t="shared" si="2"/>
        <v>2.447058823529412</v>
      </c>
      <c r="I13" s="12">
        <f t="shared" si="3"/>
        <v>0.40865384615384615</v>
      </c>
      <c r="J13" s="13">
        <f t="shared" si="4"/>
        <v>0.59134615384615385</v>
      </c>
      <c r="L13">
        <v>-16.382999999999999</v>
      </c>
      <c r="M13" s="4">
        <f t="shared" si="5"/>
        <v>16.382999999999999</v>
      </c>
      <c r="N13" s="13">
        <v>0.94418604651162785</v>
      </c>
    </row>
    <row r="14" spans="1:26">
      <c r="A14">
        <v>13</v>
      </c>
      <c r="B14">
        <v>-6.7920000000000007</v>
      </c>
      <c r="C14">
        <v>4</v>
      </c>
      <c r="D14">
        <v>4</v>
      </c>
      <c r="E14" s="4">
        <f t="shared" si="0"/>
        <v>59</v>
      </c>
      <c r="F14" s="12">
        <v>208</v>
      </c>
      <c r="G14" s="12">
        <f t="shared" si="1"/>
        <v>59</v>
      </c>
      <c r="H14" s="12">
        <f t="shared" si="2"/>
        <v>3.5423728813559321</v>
      </c>
      <c r="I14" s="12">
        <f t="shared" si="3"/>
        <v>0.28229665071770338</v>
      </c>
      <c r="J14" s="13">
        <f t="shared" si="4"/>
        <v>0.71770334928229662</v>
      </c>
      <c r="L14">
        <v>-15.484999999999999</v>
      </c>
      <c r="M14" s="4">
        <f t="shared" si="5"/>
        <v>15.484999999999999</v>
      </c>
      <c r="N14" s="13">
        <v>0.95622895622895621</v>
      </c>
    </row>
    <row r="15" spans="1:26">
      <c r="A15">
        <v>14</v>
      </c>
      <c r="B15">
        <v>-4.9400000000000004</v>
      </c>
      <c r="C15">
        <v>3</v>
      </c>
      <c r="D15">
        <v>10</v>
      </c>
      <c r="E15" s="4">
        <f t="shared" si="0"/>
        <v>78</v>
      </c>
      <c r="F15" s="12">
        <v>209</v>
      </c>
      <c r="G15" s="12">
        <f t="shared" si="1"/>
        <v>78</v>
      </c>
      <c r="H15" s="12">
        <f t="shared" si="2"/>
        <v>2.6923076923076925</v>
      </c>
      <c r="I15" s="12">
        <f t="shared" si="3"/>
        <v>0.37142857142857139</v>
      </c>
      <c r="J15" s="13">
        <f t="shared" si="4"/>
        <v>0.62857142857142856</v>
      </c>
      <c r="L15">
        <v>-15.449</v>
      </c>
      <c r="M15" s="4">
        <f t="shared" si="5"/>
        <v>15.449</v>
      </c>
      <c r="N15" s="13">
        <v>0.93069306930693074</v>
      </c>
    </row>
    <row r="16" spans="1:26">
      <c r="A16">
        <v>15</v>
      </c>
      <c r="B16">
        <v>-6.0030000000000001</v>
      </c>
      <c r="C16">
        <v>2</v>
      </c>
      <c r="D16">
        <v>4</v>
      </c>
      <c r="E16" s="4">
        <f t="shared" si="0"/>
        <v>68</v>
      </c>
      <c r="F16" s="12">
        <v>210</v>
      </c>
      <c r="G16" s="12">
        <f t="shared" si="1"/>
        <v>68</v>
      </c>
      <c r="H16" s="12">
        <f t="shared" si="2"/>
        <v>3.1029411764705883</v>
      </c>
      <c r="I16" s="12">
        <f t="shared" si="3"/>
        <v>0.32227488151658767</v>
      </c>
      <c r="J16" s="13">
        <f t="shared" si="4"/>
        <v>0.67772511848341233</v>
      </c>
      <c r="L16">
        <v>-14.693999999999999</v>
      </c>
      <c r="M16" s="4">
        <f t="shared" si="5"/>
        <v>14.693999999999999</v>
      </c>
      <c r="N16" s="13">
        <v>0.95176848874598075</v>
      </c>
    </row>
    <row r="17" spans="1:14">
      <c r="A17">
        <v>16</v>
      </c>
      <c r="B17">
        <v>-12.244</v>
      </c>
      <c r="C17">
        <v>6</v>
      </c>
      <c r="D17">
        <v>4</v>
      </c>
      <c r="E17" s="4">
        <f t="shared" si="0"/>
        <v>21</v>
      </c>
      <c r="F17" s="12">
        <v>211</v>
      </c>
      <c r="G17" s="12">
        <f t="shared" si="1"/>
        <v>21</v>
      </c>
      <c r="H17" s="12">
        <f t="shared" si="2"/>
        <v>10.095238095238095</v>
      </c>
      <c r="I17" s="12">
        <f t="shared" si="3"/>
        <v>9.9056603773584911E-2</v>
      </c>
      <c r="J17" s="13">
        <f t="shared" si="4"/>
        <v>0.90094339622641506</v>
      </c>
      <c r="L17">
        <v>-14.530999999999999</v>
      </c>
      <c r="M17" s="4">
        <f t="shared" si="5"/>
        <v>14.530999999999999</v>
      </c>
      <c r="N17" s="13">
        <v>0.9528023598820059</v>
      </c>
    </row>
    <row r="18" spans="1:14">
      <c r="A18">
        <v>17</v>
      </c>
      <c r="B18">
        <v>-9.0009999999999994</v>
      </c>
      <c r="C18">
        <v>5</v>
      </c>
      <c r="D18">
        <v>8</v>
      </c>
      <c r="E18" s="4">
        <f t="shared" si="0"/>
        <v>32</v>
      </c>
      <c r="F18" s="12">
        <v>212</v>
      </c>
      <c r="G18" s="12">
        <f t="shared" si="1"/>
        <v>32</v>
      </c>
      <c r="H18" s="12">
        <f t="shared" si="2"/>
        <v>6.65625</v>
      </c>
      <c r="I18" s="12">
        <f t="shared" si="3"/>
        <v>0.15023474178403756</v>
      </c>
      <c r="J18" s="13">
        <f t="shared" si="4"/>
        <v>0.84976525821596249</v>
      </c>
      <c r="L18">
        <v>-14.353</v>
      </c>
      <c r="M18" s="4">
        <f t="shared" si="5"/>
        <v>14.353</v>
      </c>
      <c r="N18" s="13">
        <v>0.94955489614243327</v>
      </c>
    </row>
    <row r="19" spans="1:14">
      <c r="A19">
        <v>18</v>
      </c>
      <c r="B19">
        <v>-36.018000000000001</v>
      </c>
      <c r="C19">
        <v>14</v>
      </c>
      <c r="D19">
        <v>6</v>
      </c>
      <c r="E19" s="4">
        <f t="shared" si="0"/>
        <v>1</v>
      </c>
      <c r="F19" s="12">
        <v>213</v>
      </c>
      <c r="G19" s="12">
        <f t="shared" si="1"/>
        <v>1</v>
      </c>
      <c r="H19" s="12">
        <f t="shared" si="2"/>
        <v>214</v>
      </c>
      <c r="I19" s="12">
        <f t="shared" si="3"/>
        <v>4.6728971962616819E-3</v>
      </c>
      <c r="J19" s="13">
        <f t="shared" si="4"/>
        <v>0.99532710280373837</v>
      </c>
      <c r="L19">
        <v>-13.637</v>
      </c>
      <c r="M19" s="4">
        <f t="shared" si="5"/>
        <v>13.637</v>
      </c>
      <c r="N19" s="13">
        <v>0.91928251121076232</v>
      </c>
    </row>
    <row r="20" spans="1:14">
      <c r="A20">
        <v>19</v>
      </c>
      <c r="B20">
        <v>-16.382999999999999</v>
      </c>
      <c r="C20">
        <v>10</v>
      </c>
      <c r="D20">
        <v>16</v>
      </c>
      <c r="E20" s="4">
        <f t="shared" si="0"/>
        <v>12</v>
      </c>
      <c r="F20" s="12">
        <v>214</v>
      </c>
      <c r="G20" s="12">
        <f t="shared" si="1"/>
        <v>12</v>
      </c>
      <c r="H20" s="12">
        <f t="shared" si="2"/>
        <v>17.916666666666668</v>
      </c>
      <c r="I20" s="12">
        <f t="shared" si="3"/>
        <v>5.5813953488372092E-2</v>
      </c>
      <c r="J20" s="13">
        <f t="shared" si="4"/>
        <v>0.94418604651162785</v>
      </c>
      <c r="L20">
        <v>-12.855</v>
      </c>
      <c r="M20" s="4">
        <f t="shared" si="5"/>
        <v>12.855</v>
      </c>
      <c r="N20" s="13">
        <v>0.93286219081272082</v>
      </c>
    </row>
    <row r="21" spans="1:14">
      <c r="A21">
        <v>20</v>
      </c>
      <c r="B21">
        <v>-34.043000000000006</v>
      </c>
      <c r="C21">
        <v>17</v>
      </c>
      <c r="D21">
        <v>11</v>
      </c>
      <c r="E21" s="4">
        <f t="shared" si="0"/>
        <v>2</v>
      </c>
      <c r="F21" s="12">
        <v>215</v>
      </c>
      <c r="G21" s="12">
        <f t="shared" si="1"/>
        <v>2</v>
      </c>
      <c r="H21" s="12">
        <f t="shared" si="2"/>
        <v>108</v>
      </c>
      <c r="I21" s="12">
        <f t="shared" si="3"/>
        <v>9.2592592592592587E-3</v>
      </c>
      <c r="J21" s="13">
        <f t="shared" si="4"/>
        <v>0.9907407407407407</v>
      </c>
      <c r="L21">
        <v>-12.442000000000002</v>
      </c>
      <c r="M21" s="4">
        <f t="shared" si="5"/>
        <v>12.442000000000002</v>
      </c>
      <c r="N21" s="13">
        <v>0.91150442477876104</v>
      </c>
    </row>
    <row r="22" spans="1:14">
      <c r="A22">
        <v>21</v>
      </c>
      <c r="B22">
        <v>-0.755</v>
      </c>
      <c r="C22">
        <v>1</v>
      </c>
      <c r="D22">
        <v>19</v>
      </c>
      <c r="E22" s="4">
        <f t="shared" si="0"/>
        <v>161</v>
      </c>
      <c r="F22" s="12">
        <v>216</v>
      </c>
      <c r="G22" s="12">
        <f t="shared" si="1"/>
        <v>161</v>
      </c>
      <c r="H22" s="12">
        <f t="shared" si="2"/>
        <v>1.3478260869565217</v>
      </c>
      <c r="I22" s="12">
        <f t="shared" si="3"/>
        <v>0.74193548387096775</v>
      </c>
      <c r="J22" s="13">
        <f t="shared" si="4"/>
        <v>0.25806451612903225</v>
      </c>
      <c r="L22">
        <v>-12.244</v>
      </c>
      <c r="M22" s="4">
        <f t="shared" si="5"/>
        <v>12.244</v>
      </c>
      <c r="N22" s="13">
        <v>0.90094339622641506</v>
      </c>
    </row>
    <row r="23" spans="1:14">
      <c r="A23">
        <v>22</v>
      </c>
      <c r="B23">
        <v>-0.67600000000000005</v>
      </c>
      <c r="C23">
        <v>1</v>
      </c>
      <c r="D23">
        <v>14</v>
      </c>
      <c r="E23" s="4">
        <f t="shared" si="0"/>
        <v>167</v>
      </c>
      <c r="F23" s="12">
        <v>217</v>
      </c>
      <c r="G23" s="12">
        <f t="shared" si="1"/>
        <v>167</v>
      </c>
      <c r="H23" s="12">
        <f t="shared" si="2"/>
        <v>1.3053892215568863</v>
      </c>
      <c r="I23" s="12">
        <f t="shared" si="3"/>
        <v>0.76605504587155959</v>
      </c>
      <c r="J23" s="13">
        <f t="shared" si="4"/>
        <v>0.23394495412844041</v>
      </c>
      <c r="L23">
        <v>-11.721</v>
      </c>
      <c r="M23" s="4">
        <f t="shared" si="5"/>
        <v>11.721</v>
      </c>
      <c r="N23" s="13">
        <v>0.92057761732851984</v>
      </c>
    </row>
    <row r="24" spans="1:14">
      <c r="A24">
        <v>23</v>
      </c>
      <c r="B24">
        <v>-7.6520000000000001</v>
      </c>
      <c r="C24">
        <v>5</v>
      </c>
      <c r="D24">
        <v>2</v>
      </c>
      <c r="E24" s="4">
        <f t="shared" si="0"/>
        <v>46</v>
      </c>
      <c r="F24" s="12">
        <v>218</v>
      </c>
      <c r="G24" s="12">
        <f t="shared" si="1"/>
        <v>46</v>
      </c>
      <c r="H24" s="12">
        <f t="shared" si="2"/>
        <v>4.7608695652173916</v>
      </c>
      <c r="I24" s="12">
        <f t="shared" si="3"/>
        <v>0.21004566210045661</v>
      </c>
      <c r="J24" s="13">
        <f t="shared" si="4"/>
        <v>0.78995433789954339</v>
      </c>
      <c r="L24">
        <v>-11.206000000000001</v>
      </c>
      <c r="M24" s="4">
        <f t="shared" si="5"/>
        <v>11.206000000000001</v>
      </c>
      <c r="N24" s="13">
        <v>0.93093093093093093</v>
      </c>
    </row>
    <row r="25" spans="1:14">
      <c r="A25">
        <v>24</v>
      </c>
      <c r="B25">
        <v>-4.5460000000000003</v>
      </c>
      <c r="C25">
        <v>4</v>
      </c>
      <c r="D25">
        <v>9</v>
      </c>
      <c r="E25" s="4">
        <f t="shared" si="0"/>
        <v>84</v>
      </c>
      <c r="F25" s="12">
        <v>219</v>
      </c>
      <c r="G25" s="12">
        <f t="shared" si="1"/>
        <v>84</v>
      </c>
      <c r="H25" s="12">
        <f t="shared" si="2"/>
        <v>2.6190476190476191</v>
      </c>
      <c r="I25" s="12">
        <f t="shared" si="3"/>
        <v>0.38181818181818183</v>
      </c>
      <c r="J25" s="13">
        <f t="shared" si="4"/>
        <v>0.61818181818181817</v>
      </c>
      <c r="L25">
        <v>-11.140999999999998</v>
      </c>
      <c r="M25" s="4">
        <f t="shared" si="5"/>
        <v>11.140999999999998</v>
      </c>
      <c r="N25" s="13">
        <v>0.91240875912408759</v>
      </c>
    </row>
    <row r="26" spans="1:14">
      <c r="A26">
        <v>25</v>
      </c>
      <c r="B26">
        <v>-16.47</v>
      </c>
      <c r="C26">
        <v>7</v>
      </c>
      <c r="D26">
        <v>6</v>
      </c>
      <c r="E26" s="4">
        <f t="shared" si="0"/>
        <v>11</v>
      </c>
      <c r="F26" s="12">
        <v>220</v>
      </c>
      <c r="G26" s="12">
        <f t="shared" si="1"/>
        <v>11</v>
      </c>
      <c r="H26" s="12">
        <f t="shared" si="2"/>
        <v>20.09090909090909</v>
      </c>
      <c r="I26" s="12">
        <f t="shared" si="3"/>
        <v>4.9773755656108601E-2</v>
      </c>
      <c r="J26" s="13">
        <f t="shared" si="4"/>
        <v>0.95022624434389136</v>
      </c>
      <c r="L26">
        <v>-11.102</v>
      </c>
      <c r="M26" s="4">
        <f t="shared" si="5"/>
        <v>11.102</v>
      </c>
      <c r="N26" s="13">
        <v>0.90118577075098816</v>
      </c>
    </row>
    <row r="27" spans="1:14">
      <c r="A27">
        <v>26</v>
      </c>
      <c r="B27">
        <v>-27.78</v>
      </c>
      <c r="C27">
        <v>11</v>
      </c>
      <c r="D27">
        <v>9</v>
      </c>
      <c r="E27" s="4">
        <f t="shared" si="0"/>
        <v>5</v>
      </c>
      <c r="F27" s="12">
        <v>221</v>
      </c>
      <c r="G27" s="12">
        <f t="shared" si="1"/>
        <v>5</v>
      </c>
      <c r="H27" s="12">
        <f t="shared" si="2"/>
        <v>44.4</v>
      </c>
      <c r="I27" s="12">
        <f t="shared" si="3"/>
        <v>2.2522522522522525E-2</v>
      </c>
      <c r="J27" s="13">
        <f t="shared" si="4"/>
        <v>0.97747747747747749</v>
      </c>
      <c r="L27">
        <v>-11.071</v>
      </c>
      <c r="M27" s="4">
        <f t="shared" si="5"/>
        <v>11.071</v>
      </c>
      <c r="N27" s="13">
        <v>0.89029535864978904</v>
      </c>
    </row>
    <row r="28" spans="1:14">
      <c r="A28">
        <v>27</v>
      </c>
      <c r="B28">
        <v>-13.637</v>
      </c>
      <c r="C28">
        <v>6</v>
      </c>
      <c r="D28">
        <v>14</v>
      </c>
      <c r="E28" s="4">
        <f t="shared" si="0"/>
        <v>18</v>
      </c>
      <c r="F28" s="12">
        <v>222</v>
      </c>
      <c r="G28" s="12">
        <f t="shared" si="1"/>
        <v>18</v>
      </c>
      <c r="H28" s="12">
        <f t="shared" si="2"/>
        <v>12.388888888888889</v>
      </c>
      <c r="I28" s="12">
        <f t="shared" si="3"/>
        <v>8.0717488789237665E-2</v>
      </c>
      <c r="J28" s="13">
        <f t="shared" si="4"/>
        <v>0.91928251121076232</v>
      </c>
      <c r="L28">
        <v>-10.96</v>
      </c>
      <c r="M28" s="4">
        <f t="shared" si="5"/>
        <v>10.96</v>
      </c>
      <c r="N28" s="13">
        <v>0.89156626506024095</v>
      </c>
    </row>
    <row r="29" spans="1:14">
      <c r="A29">
        <v>28</v>
      </c>
      <c r="B29">
        <v>-17.312000000000001</v>
      </c>
      <c r="C29">
        <v>6</v>
      </c>
      <c r="D29">
        <v>8</v>
      </c>
      <c r="E29" s="4">
        <f t="shared" si="0"/>
        <v>9</v>
      </c>
      <c r="F29" s="12">
        <v>223</v>
      </c>
      <c r="G29" s="12">
        <f t="shared" si="1"/>
        <v>9</v>
      </c>
      <c r="H29" s="12">
        <f t="shared" si="2"/>
        <v>24.888888888888889</v>
      </c>
      <c r="I29" s="12">
        <f t="shared" si="3"/>
        <v>4.0178571428571425E-2</v>
      </c>
      <c r="J29" s="13">
        <f t="shared" si="4"/>
        <v>0.9598214285714286</v>
      </c>
      <c r="L29">
        <v>-10.876999999999999</v>
      </c>
      <c r="M29" s="4">
        <f t="shared" si="5"/>
        <v>10.876999999999999</v>
      </c>
      <c r="N29" s="13">
        <v>0.92178770949720668</v>
      </c>
    </row>
    <row r="30" spans="1:14">
      <c r="A30">
        <v>29</v>
      </c>
      <c r="B30">
        <v>-19.756999999999998</v>
      </c>
      <c r="C30">
        <v>7</v>
      </c>
      <c r="D30">
        <v>7</v>
      </c>
      <c r="E30" s="4">
        <f t="shared" si="0"/>
        <v>7</v>
      </c>
      <c r="F30" s="12">
        <v>224</v>
      </c>
      <c r="G30" s="12">
        <f t="shared" si="1"/>
        <v>7</v>
      </c>
      <c r="H30" s="12">
        <f t="shared" si="2"/>
        <v>32.142857142857146</v>
      </c>
      <c r="I30" s="12">
        <f t="shared" si="3"/>
        <v>3.1111111111111107E-2</v>
      </c>
      <c r="J30" s="13">
        <f t="shared" si="4"/>
        <v>0.96888888888888891</v>
      </c>
      <c r="L30">
        <v>-10.241</v>
      </c>
      <c r="M30" s="4">
        <f t="shared" si="5"/>
        <v>10.241</v>
      </c>
      <c r="N30" s="13">
        <v>0.8722466960352423</v>
      </c>
    </row>
    <row r="31" spans="1:14">
      <c r="A31">
        <v>30</v>
      </c>
      <c r="B31">
        <v>-12.442000000000002</v>
      </c>
      <c r="C31">
        <v>8</v>
      </c>
      <c r="D31">
        <v>8</v>
      </c>
      <c r="E31" s="4">
        <f t="shared" si="0"/>
        <v>20</v>
      </c>
      <c r="F31" s="12">
        <v>225</v>
      </c>
      <c r="G31" s="12">
        <f t="shared" si="1"/>
        <v>20</v>
      </c>
      <c r="H31" s="12">
        <f t="shared" si="2"/>
        <v>11.3</v>
      </c>
      <c r="I31" s="12">
        <f t="shared" si="3"/>
        <v>8.8495575221238937E-2</v>
      </c>
      <c r="J31" s="13">
        <f t="shared" si="4"/>
        <v>0.91150442477876104</v>
      </c>
      <c r="L31">
        <v>-9.7409999999999997</v>
      </c>
      <c r="M31" s="4">
        <f t="shared" si="5"/>
        <v>9.7409999999999997</v>
      </c>
      <c r="N31" s="13">
        <v>0.90099009900990101</v>
      </c>
    </row>
    <row r="32" spans="1:14">
      <c r="A32">
        <v>31</v>
      </c>
      <c r="B32">
        <v>-10.241</v>
      </c>
      <c r="C32">
        <v>3</v>
      </c>
      <c r="D32">
        <v>10</v>
      </c>
      <c r="E32" s="4">
        <f t="shared" si="0"/>
        <v>29</v>
      </c>
      <c r="F32" s="12">
        <v>226</v>
      </c>
      <c r="G32" s="12">
        <f t="shared" si="1"/>
        <v>29</v>
      </c>
      <c r="H32" s="12">
        <f t="shared" si="2"/>
        <v>7.8275862068965516</v>
      </c>
      <c r="I32" s="12">
        <f t="shared" si="3"/>
        <v>0.1277533039647577</v>
      </c>
      <c r="J32" s="13">
        <f t="shared" si="4"/>
        <v>0.8722466960352423</v>
      </c>
      <c r="L32">
        <v>-9.1349999999999998</v>
      </c>
      <c r="M32" s="4">
        <f t="shared" si="5"/>
        <v>9.1349999999999998</v>
      </c>
      <c r="N32" s="13">
        <v>0.84878048780487803</v>
      </c>
    </row>
    <row r="33" spans="1:14">
      <c r="A33">
        <v>32</v>
      </c>
      <c r="B33">
        <v>-0.753</v>
      </c>
      <c r="C33">
        <v>1</v>
      </c>
      <c r="D33">
        <v>4</v>
      </c>
      <c r="E33" s="4">
        <f t="shared" si="0"/>
        <v>162</v>
      </c>
      <c r="F33" s="12">
        <v>227</v>
      </c>
      <c r="G33" s="12">
        <f t="shared" si="1"/>
        <v>162</v>
      </c>
      <c r="H33" s="12">
        <f t="shared" si="2"/>
        <v>1.4074074074074074</v>
      </c>
      <c r="I33" s="12">
        <f t="shared" si="3"/>
        <v>0.71052631578947367</v>
      </c>
      <c r="J33" s="13">
        <f t="shared" si="4"/>
        <v>0.28947368421052633</v>
      </c>
      <c r="L33">
        <v>-9.0009999999999994</v>
      </c>
      <c r="M33" s="4">
        <f t="shared" si="5"/>
        <v>9.0009999999999994</v>
      </c>
      <c r="N33" s="13">
        <v>0.84976525821596249</v>
      </c>
    </row>
    <row r="34" spans="1:14">
      <c r="A34">
        <v>33</v>
      </c>
      <c r="B34">
        <v>-1.3220000000000001</v>
      </c>
      <c r="C34">
        <v>2</v>
      </c>
      <c r="D34">
        <v>2</v>
      </c>
      <c r="E34" s="4">
        <f t="shared" ref="E34:E65" si="7">RANK(B34,$B$2:$B$196,1)</f>
        <v>148</v>
      </c>
      <c r="F34" s="12">
        <v>228</v>
      </c>
      <c r="G34" s="12">
        <f t="shared" ref="G34:G65" si="8">E34</f>
        <v>148</v>
      </c>
      <c r="H34" s="12">
        <f t="shared" ref="H34:H65" si="9">(F34+1)/G34</f>
        <v>1.5472972972972974</v>
      </c>
      <c r="I34" s="12">
        <f t="shared" ref="I34:I65" si="10">1/H34</f>
        <v>0.64628820960698685</v>
      </c>
      <c r="J34" s="13">
        <f t="shared" ref="J34:J65" si="11">(1-I34)^$K$2</f>
        <v>0.35371179039301315</v>
      </c>
      <c r="L34">
        <v>-8.8840000000000003</v>
      </c>
      <c r="M34" s="4">
        <f t="shared" ref="M34:M65" si="12">ABS(L34)</f>
        <v>8.8840000000000003</v>
      </c>
      <c r="N34" s="13">
        <v>0.86250000000000004</v>
      </c>
    </row>
    <row r="35" spans="1:14">
      <c r="A35">
        <v>34</v>
      </c>
      <c r="B35">
        <v>-3.234</v>
      </c>
      <c r="C35">
        <v>2</v>
      </c>
      <c r="D35">
        <v>9</v>
      </c>
      <c r="E35" s="4">
        <f t="shared" si="7"/>
        <v>107</v>
      </c>
      <c r="F35" s="12">
        <v>229</v>
      </c>
      <c r="G35" s="12">
        <f t="shared" si="8"/>
        <v>107</v>
      </c>
      <c r="H35" s="12">
        <f t="shared" si="9"/>
        <v>2.1495327102803738</v>
      </c>
      <c r="I35" s="12">
        <f t="shared" si="10"/>
        <v>0.4652173913043478</v>
      </c>
      <c r="J35" s="13">
        <f t="shared" si="11"/>
        <v>0.5347826086956522</v>
      </c>
      <c r="L35">
        <v>-8.8390000000000004</v>
      </c>
      <c r="M35" s="4">
        <f t="shared" si="12"/>
        <v>8.8390000000000004</v>
      </c>
      <c r="N35" s="13">
        <v>0.88356164383561642</v>
      </c>
    </row>
    <row r="36" spans="1:14">
      <c r="A36">
        <v>35</v>
      </c>
      <c r="B36">
        <v>-0.192</v>
      </c>
      <c r="C36">
        <v>1</v>
      </c>
      <c r="D36">
        <v>3</v>
      </c>
      <c r="E36" s="4">
        <f t="shared" si="7"/>
        <v>189</v>
      </c>
      <c r="F36" s="12">
        <v>230</v>
      </c>
      <c r="G36" s="12">
        <f t="shared" si="8"/>
        <v>189</v>
      </c>
      <c r="H36" s="12">
        <f t="shared" si="9"/>
        <v>1.2222222222222223</v>
      </c>
      <c r="I36" s="12">
        <f t="shared" si="10"/>
        <v>0.81818181818181812</v>
      </c>
      <c r="J36" s="13">
        <f t="shared" si="11"/>
        <v>0.18181818181818188</v>
      </c>
      <c r="L36">
        <v>-8.8049999999999997</v>
      </c>
      <c r="M36" s="4">
        <f t="shared" si="12"/>
        <v>8.8049999999999997</v>
      </c>
      <c r="N36" s="13">
        <v>0.88636363636363635</v>
      </c>
    </row>
    <row r="37" spans="1:14">
      <c r="A37">
        <v>36</v>
      </c>
      <c r="B37">
        <v>-8.6339999999999986</v>
      </c>
      <c r="C37">
        <v>4</v>
      </c>
      <c r="D37">
        <v>2</v>
      </c>
      <c r="E37" s="4">
        <f t="shared" si="7"/>
        <v>38</v>
      </c>
      <c r="F37" s="12">
        <v>231</v>
      </c>
      <c r="G37" s="12">
        <f t="shared" si="8"/>
        <v>38</v>
      </c>
      <c r="H37" s="12">
        <f t="shared" si="9"/>
        <v>6.1052631578947372</v>
      </c>
      <c r="I37" s="12">
        <f t="shared" si="10"/>
        <v>0.16379310344827586</v>
      </c>
      <c r="J37" s="13">
        <f t="shared" si="11"/>
        <v>0.8362068965517242</v>
      </c>
      <c r="L37">
        <v>-8.7859999999999996</v>
      </c>
      <c r="M37" s="4">
        <f t="shared" si="12"/>
        <v>8.7859999999999996</v>
      </c>
      <c r="N37" s="13">
        <v>0.87234042553191493</v>
      </c>
    </row>
    <row r="38" spans="1:14">
      <c r="A38">
        <v>37</v>
      </c>
      <c r="B38">
        <v>-1.7250000000000001</v>
      </c>
      <c r="C38">
        <v>1</v>
      </c>
      <c r="D38">
        <v>5</v>
      </c>
      <c r="E38" s="4">
        <f t="shared" si="7"/>
        <v>131</v>
      </c>
      <c r="F38" s="12">
        <v>232</v>
      </c>
      <c r="G38" s="12">
        <f t="shared" si="8"/>
        <v>131</v>
      </c>
      <c r="H38" s="12">
        <f t="shared" si="9"/>
        <v>1.7786259541984732</v>
      </c>
      <c r="I38" s="12">
        <f t="shared" si="10"/>
        <v>0.5622317596566524</v>
      </c>
      <c r="J38" s="13">
        <f t="shared" si="11"/>
        <v>0.4377682403433476</v>
      </c>
      <c r="L38">
        <v>-8.6590000000000007</v>
      </c>
      <c r="M38" s="4">
        <f t="shared" si="12"/>
        <v>8.6590000000000007</v>
      </c>
      <c r="N38" s="13">
        <v>0.89181286549707606</v>
      </c>
    </row>
    <row r="39" spans="1:14">
      <c r="A39">
        <v>38</v>
      </c>
      <c r="B39">
        <v>-0.68600000000000005</v>
      </c>
      <c r="C39">
        <v>1</v>
      </c>
      <c r="D39">
        <v>2</v>
      </c>
      <c r="E39" s="4">
        <f t="shared" si="7"/>
        <v>166</v>
      </c>
      <c r="F39" s="12">
        <v>233</v>
      </c>
      <c r="G39" s="12">
        <f t="shared" si="8"/>
        <v>166</v>
      </c>
      <c r="H39" s="12">
        <f t="shared" si="9"/>
        <v>1.4096385542168675</v>
      </c>
      <c r="I39" s="12">
        <f t="shared" si="10"/>
        <v>0.70940170940170943</v>
      </c>
      <c r="J39" s="13">
        <f t="shared" si="11"/>
        <v>0.29059829059829057</v>
      </c>
      <c r="L39">
        <v>-8.6339999999999986</v>
      </c>
      <c r="M39" s="4">
        <f t="shared" si="12"/>
        <v>8.6339999999999986</v>
      </c>
      <c r="N39" s="13">
        <v>0.8362068965517242</v>
      </c>
    </row>
    <row r="40" spans="1:14">
      <c r="A40">
        <v>39</v>
      </c>
      <c r="B40">
        <v>-1.583</v>
      </c>
      <c r="C40">
        <v>1</v>
      </c>
      <c r="D40">
        <v>2</v>
      </c>
      <c r="E40" s="4">
        <f t="shared" si="7"/>
        <v>140</v>
      </c>
      <c r="F40" s="12">
        <v>234</v>
      </c>
      <c r="G40" s="12">
        <f t="shared" si="8"/>
        <v>140</v>
      </c>
      <c r="H40" s="12">
        <f t="shared" si="9"/>
        <v>1.6785714285714286</v>
      </c>
      <c r="I40" s="12">
        <f t="shared" si="10"/>
        <v>0.5957446808510638</v>
      </c>
      <c r="J40" s="13">
        <f t="shared" si="11"/>
        <v>0.4042553191489362</v>
      </c>
      <c r="L40">
        <v>-8.4130000000000003</v>
      </c>
      <c r="M40" s="4">
        <f t="shared" si="12"/>
        <v>8.4130000000000003</v>
      </c>
      <c r="N40" s="13">
        <v>0.84523809523809523</v>
      </c>
    </row>
    <row r="41" spans="1:14">
      <c r="A41">
        <v>40</v>
      </c>
      <c r="B41">
        <v>-4.7089999999999996</v>
      </c>
      <c r="C41">
        <v>3</v>
      </c>
      <c r="D41">
        <v>4</v>
      </c>
      <c r="E41" s="4">
        <f t="shared" si="7"/>
        <v>80</v>
      </c>
      <c r="F41" s="12">
        <v>235</v>
      </c>
      <c r="G41" s="12">
        <f t="shared" si="8"/>
        <v>80</v>
      </c>
      <c r="H41" s="12">
        <f t="shared" si="9"/>
        <v>2.95</v>
      </c>
      <c r="I41" s="12">
        <f t="shared" si="10"/>
        <v>0.33898305084745761</v>
      </c>
      <c r="J41" s="13">
        <f t="shared" si="11"/>
        <v>0.66101694915254239</v>
      </c>
      <c r="L41">
        <v>-8.3949999999999996</v>
      </c>
      <c r="M41" s="4">
        <f t="shared" si="12"/>
        <v>8.3949999999999996</v>
      </c>
      <c r="N41" s="13">
        <v>0.79899497487437188</v>
      </c>
    </row>
    <row r="42" spans="1:14">
      <c r="A42">
        <v>41</v>
      </c>
      <c r="B42">
        <v>-11.071</v>
      </c>
      <c r="C42">
        <v>4</v>
      </c>
      <c r="D42">
        <v>4</v>
      </c>
      <c r="E42" s="4">
        <f t="shared" si="7"/>
        <v>26</v>
      </c>
      <c r="F42" s="12">
        <v>236</v>
      </c>
      <c r="G42" s="12">
        <f t="shared" si="8"/>
        <v>26</v>
      </c>
      <c r="H42" s="12">
        <f t="shared" si="9"/>
        <v>9.115384615384615</v>
      </c>
      <c r="I42" s="12">
        <f t="shared" si="10"/>
        <v>0.10970464135021098</v>
      </c>
      <c r="J42" s="13">
        <f t="shared" si="11"/>
        <v>0.89029535864978904</v>
      </c>
      <c r="L42">
        <v>-8.1109999999999989</v>
      </c>
      <c r="M42" s="4">
        <f t="shared" si="12"/>
        <v>8.1109999999999989</v>
      </c>
      <c r="N42" s="13">
        <v>0.83057851239669422</v>
      </c>
    </row>
    <row r="43" spans="1:14">
      <c r="A43">
        <v>42</v>
      </c>
      <c r="B43">
        <v>-3.64</v>
      </c>
      <c r="C43">
        <v>2</v>
      </c>
      <c r="D43">
        <v>5</v>
      </c>
      <c r="E43" s="4">
        <f t="shared" si="7"/>
        <v>99</v>
      </c>
      <c r="F43" s="12">
        <v>237</v>
      </c>
      <c r="G43" s="12">
        <f t="shared" si="8"/>
        <v>99</v>
      </c>
      <c r="H43" s="12">
        <f t="shared" si="9"/>
        <v>2.404040404040404</v>
      </c>
      <c r="I43" s="12">
        <f t="shared" si="10"/>
        <v>0.41596638655462187</v>
      </c>
      <c r="J43" s="13">
        <f t="shared" si="11"/>
        <v>0.58403361344537807</v>
      </c>
      <c r="L43">
        <v>-7.9190000000000005</v>
      </c>
      <c r="M43" s="4">
        <f t="shared" si="12"/>
        <v>7.9190000000000005</v>
      </c>
      <c r="N43" s="13">
        <v>0.8867924528301887</v>
      </c>
    </row>
    <row r="44" spans="1:14">
      <c r="A44">
        <v>43</v>
      </c>
      <c r="B44">
        <v>-7.2539999999999996</v>
      </c>
      <c r="C44">
        <v>5</v>
      </c>
      <c r="D44">
        <v>3</v>
      </c>
      <c r="E44" s="4">
        <f t="shared" si="7"/>
        <v>51</v>
      </c>
      <c r="F44" s="12">
        <v>238</v>
      </c>
      <c r="G44" s="12">
        <f t="shared" si="8"/>
        <v>51</v>
      </c>
      <c r="H44" s="12">
        <f t="shared" si="9"/>
        <v>4.6862745098039218</v>
      </c>
      <c r="I44" s="12">
        <f t="shared" si="10"/>
        <v>0.21338912133891214</v>
      </c>
      <c r="J44" s="13">
        <f t="shared" si="11"/>
        <v>0.78661087866108792</v>
      </c>
      <c r="L44">
        <v>-7.8369999999999997</v>
      </c>
      <c r="M44" s="4">
        <f t="shared" si="12"/>
        <v>7.8369999999999997</v>
      </c>
      <c r="N44" s="13">
        <v>0.88186813186813184</v>
      </c>
    </row>
    <row r="45" spans="1:14">
      <c r="A45">
        <v>44</v>
      </c>
      <c r="B45">
        <v>-8.8840000000000003</v>
      </c>
      <c r="C45">
        <v>4</v>
      </c>
      <c r="D45">
        <v>6</v>
      </c>
      <c r="E45" s="4">
        <f t="shared" si="7"/>
        <v>33</v>
      </c>
      <c r="F45" s="12">
        <v>239</v>
      </c>
      <c r="G45" s="12">
        <f t="shared" si="8"/>
        <v>33</v>
      </c>
      <c r="H45" s="12">
        <f t="shared" si="9"/>
        <v>7.2727272727272725</v>
      </c>
      <c r="I45" s="12">
        <f t="shared" si="10"/>
        <v>0.13750000000000001</v>
      </c>
      <c r="J45" s="13">
        <f t="shared" si="11"/>
        <v>0.86250000000000004</v>
      </c>
      <c r="L45">
        <v>-7.8360000000000003</v>
      </c>
      <c r="M45" s="4">
        <f t="shared" si="12"/>
        <v>7.8360000000000003</v>
      </c>
      <c r="N45" s="13">
        <v>0.86544342507645255</v>
      </c>
    </row>
    <row r="46" spans="1:14">
      <c r="A46">
        <v>45</v>
      </c>
      <c r="B46">
        <v>-1.5640000000000001</v>
      </c>
      <c r="C46">
        <v>1</v>
      </c>
      <c r="D46">
        <v>5</v>
      </c>
      <c r="E46" s="4">
        <f t="shared" si="7"/>
        <v>142</v>
      </c>
      <c r="F46" s="12">
        <v>240</v>
      </c>
      <c r="G46" s="12">
        <f t="shared" si="8"/>
        <v>142</v>
      </c>
      <c r="H46" s="12">
        <f t="shared" si="9"/>
        <v>1.6971830985915493</v>
      </c>
      <c r="I46" s="12">
        <f t="shared" si="10"/>
        <v>0.58921161825726143</v>
      </c>
      <c r="J46" s="13">
        <f t="shared" si="11"/>
        <v>0.41078838174273857</v>
      </c>
      <c r="L46">
        <v>-7.6539999999999999</v>
      </c>
      <c r="M46" s="4">
        <f t="shared" si="12"/>
        <v>7.6539999999999999</v>
      </c>
      <c r="N46" s="13">
        <v>0.86363636363636365</v>
      </c>
    </row>
    <row r="47" spans="1:14">
      <c r="A47">
        <v>46</v>
      </c>
      <c r="B47">
        <v>-8.1109999999999989</v>
      </c>
      <c r="C47">
        <v>3</v>
      </c>
      <c r="D47">
        <v>5</v>
      </c>
      <c r="E47" s="4">
        <f t="shared" si="7"/>
        <v>41</v>
      </c>
      <c r="F47" s="12">
        <v>241</v>
      </c>
      <c r="G47" s="12">
        <f t="shared" si="8"/>
        <v>41</v>
      </c>
      <c r="H47" s="12">
        <f t="shared" si="9"/>
        <v>5.9024390243902438</v>
      </c>
      <c r="I47" s="12">
        <f t="shared" si="10"/>
        <v>0.16942148760330578</v>
      </c>
      <c r="J47" s="13">
        <f t="shared" si="11"/>
        <v>0.83057851239669422</v>
      </c>
      <c r="L47">
        <v>-7.6520000000000001</v>
      </c>
      <c r="M47" s="4">
        <f t="shared" si="12"/>
        <v>7.6520000000000001</v>
      </c>
      <c r="N47" s="13">
        <v>0.78995433789954339</v>
      </c>
    </row>
    <row r="48" spans="1:14">
      <c r="A48">
        <v>47</v>
      </c>
      <c r="B48">
        <v>-4.0609999999999999</v>
      </c>
      <c r="C48">
        <v>2</v>
      </c>
      <c r="D48">
        <v>4</v>
      </c>
      <c r="E48" s="4">
        <f t="shared" si="7"/>
        <v>92</v>
      </c>
      <c r="F48" s="12">
        <v>242</v>
      </c>
      <c r="G48" s="12">
        <f t="shared" si="8"/>
        <v>92</v>
      </c>
      <c r="H48" s="12">
        <f t="shared" si="9"/>
        <v>2.6413043478260869</v>
      </c>
      <c r="I48" s="12">
        <f t="shared" si="10"/>
        <v>0.37860082304526749</v>
      </c>
      <c r="J48" s="13">
        <f t="shared" si="11"/>
        <v>0.62139917695473246</v>
      </c>
      <c r="L48">
        <v>-7.5780000000000003</v>
      </c>
      <c r="M48" s="4">
        <f t="shared" si="12"/>
        <v>7.5780000000000003</v>
      </c>
      <c r="N48" s="13">
        <v>0.87016574585635365</v>
      </c>
    </row>
    <row r="49" spans="1:14">
      <c r="A49">
        <v>48</v>
      </c>
      <c r="B49">
        <v>-1.32</v>
      </c>
      <c r="C49">
        <v>1</v>
      </c>
      <c r="D49">
        <v>3</v>
      </c>
      <c r="E49" s="4">
        <f t="shared" si="7"/>
        <v>149</v>
      </c>
      <c r="F49" s="12">
        <v>243</v>
      </c>
      <c r="G49" s="12">
        <f t="shared" si="8"/>
        <v>149</v>
      </c>
      <c r="H49" s="12">
        <f t="shared" si="9"/>
        <v>1.6375838926174497</v>
      </c>
      <c r="I49" s="12">
        <f t="shared" si="10"/>
        <v>0.61065573770491799</v>
      </c>
      <c r="J49" s="13">
        <f t="shared" si="11"/>
        <v>0.38934426229508201</v>
      </c>
      <c r="L49">
        <v>-7.5449999999999999</v>
      </c>
      <c r="M49" s="4">
        <f t="shared" si="12"/>
        <v>7.5449999999999999</v>
      </c>
      <c r="N49" s="13">
        <v>0.75634517766497467</v>
      </c>
    </row>
    <row r="50" spans="1:14">
      <c r="A50">
        <v>49</v>
      </c>
      <c r="B50">
        <v>-0.13800000000000001</v>
      </c>
      <c r="C50">
        <v>1</v>
      </c>
      <c r="D50">
        <v>3</v>
      </c>
      <c r="E50" s="4">
        <f t="shared" si="7"/>
        <v>191</v>
      </c>
      <c r="F50" s="12">
        <v>244</v>
      </c>
      <c r="G50" s="12">
        <f t="shared" si="8"/>
        <v>191</v>
      </c>
      <c r="H50" s="12">
        <f t="shared" si="9"/>
        <v>1.2827225130890052</v>
      </c>
      <c r="I50" s="12">
        <f t="shared" si="10"/>
        <v>0.7795918367346939</v>
      </c>
      <c r="J50" s="13">
        <f t="shared" si="11"/>
        <v>0.2204081632653061</v>
      </c>
      <c r="L50">
        <v>-7.4380000000000006</v>
      </c>
      <c r="M50" s="4">
        <f t="shared" si="12"/>
        <v>7.4380000000000006</v>
      </c>
      <c r="N50" s="13">
        <v>0.83044982698961944</v>
      </c>
    </row>
    <row r="51" spans="1:14">
      <c r="A51">
        <v>50</v>
      </c>
      <c r="B51">
        <v>-2.992</v>
      </c>
      <c r="C51">
        <v>3</v>
      </c>
      <c r="D51">
        <v>2</v>
      </c>
      <c r="E51" s="4">
        <f t="shared" si="7"/>
        <v>110</v>
      </c>
      <c r="F51" s="12">
        <v>245</v>
      </c>
      <c r="G51" s="12">
        <f t="shared" si="8"/>
        <v>110</v>
      </c>
      <c r="H51" s="12">
        <f t="shared" si="9"/>
        <v>2.2363636363636363</v>
      </c>
      <c r="I51" s="12">
        <f t="shared" si="10"/>
        <v>0.44715447154471544</v>
      </c>
      <c r="J51" s="13">
        <f t="shared" si="11"/>
        <v>0.55284552845528456</v>
      </c>
      <c r="L51">
        <v>-7.4139999999999997</v>
      </c>
      <c r="M51" s="4">
        <f t="shared" si="12"/>
        <v>7.4139999999999997</v>
      </c>
      <c r="N51" s="13">
        <v>0.75369458128078815</v>
      </c>
    </row>
    <row r="52" spans="1:14">
      <c r="A52">
        <v>51</v>
      </c>
      <c r="B52">
        <v>-1.8660000000000001</v>
      </c>
      <c r="C52">
        <v>1</v>
      </c>
      <c r="D52">
        <v>9</v>
      </c>
      <c r="E52" s="4">
        <f t="shared" si="7"/>
        <v>127</v>
      </c>
      <c r="F52" s="12">
        <v>246</v>
      </c>
      <c r="G52" s="12">
        <f t="shared" si="8"/>
        <v>127</v>
      </c>
      <c r="H52" s="12">
        <f t="shared" si="9"/>
        <v>1.9448818897637796</v>
      </c>
      <c r="I52" s="12">
        <f t="shared" si="10"/>
        <v>0.51417004048582993</v>
      </c>
      <c r="J52" s="13">
        <f t="shared" si="11"/>
        <v>0.48582995951417007</v>
      </c>
      <c r="L52">
        <v>-7.2539999999999996</v>
      </c>
      <c r="M52" s="4">
        <f t="shared" si="12"/>
        <v>7.2539999999999996</v>
      </c>
      <c r="N52" s="13">
        <v>0.78661087866108792</v>
      </c>
    </row>
    <row r="53" spans="1:14">
      <c r="A53">
        <v>52</v>
      </c>
      <c r="B53">
        <v>-7.1280000000000001</v>
      </c>
      <c r="C53">
        <v>3</v>
      </c>
      <c r="D53">
        <v>9</v>
      </c>
      <c r="E53" s="4">
        <f t="shared" si="7"/>
        <v>53</v>
      </c>
      <c r="F53" s="12">
        <v>247</v>
      </c>
      <c r="G53" s="12">
        <f t="shared" si="8"/>
        <v>53</v>
      </c>
      <c r="H53" s="12">
        <f t="shared" si="9"/>
        <v>4.6792452830188678</v>
      </c>
      <c r="I53" s="12">
        <f t="shared" si="10"/>
        <v>0.21370967741935484</v>
      </c>
      <c r="J53" s="13">
        <f t="shared" si="11"/>
        <v>0.78629032258064513</v>
      </c>
      <c r="L53">
        <v>-7.1870000000000003</v>
      </c>
      <c r="M53" s="4">
        <f t="shared" si="12"/>
        <v>7.1870000000000003</v>
      </c>
      <c r="N53" s="13">
        <v>0.80451127819548873</v>
      </c>
    </row>
    <row r="54" spans="1:14">
      <c r="A54">
        <v>53</v>
      </c>
      <c r="B54">
        <v>-10.96</v>
      </c>
      <c r="C54">
        <v>7</v>
      </c>
      <c r="D54">
        <v>4</v>
      </c>
      <c r="E54" s="4">
        <f t="shared" si="7"/>
        <v>27</v>
      </c>
      <c r="F54" s="12">
        <v>248</v>
      </c>
      <c r="G54" s="12">
        <f t="shared" si="8"/>
        <v>27</v>
      </c>
      <c r="H54" s="12">
        <f t="shared" si="9"/>
        <v>9.2222222222222214</v>
      </c>
      <c r="I54" s="12">
        <f t="shared" si="10"/>
        <v>0.10843373493975905</v>
      </c>
      <c r="J54" s="13">
        <f t="shared" si="11"/>
        <v>0.89156626506024095</v>
      </c>
      <c r="L54">
        <v>-7.1280000000000001</v>
      </c>
      <c r="M54" s="4">
        <f t="shared" si="12"/>
        <v>7.1280000000000001</v>
      </c>
      <c r="N54" s="13">
        <v>0.78629032258064513</v>
      </c>
    </row>
    <row r="55" spans="1:14">
      <c r="A55">
        <v>54</v>
      </c>
      <c r="B55">
        <v>-2.3149999999999999</v>
      </c>
      <c r="C55">
        <v>1</v>
      </c>
      <c r="D55">
        <v>9</v>
      </c>
      <c r="E55" s="4">
        <f t="shared" si="7"/>
        <v>118</v>
      </c>
      <c r="F55" s="12">
        <v>249</v>
      </c>
      <c r="G55" s="12">
        <f t="shared" si="8"/>
        <v>118</v>
      </c>
      <c r="H55" s="12">
        <f t="shared" si="9"/>
        <v>2.1186440677966103</v>
      </c>
      <c r="I55" s="12">
        <f t="shared" si="10"/>
        <v>0.47199999999999998</v>
      </c>
      <c r="J55" s="13">
        <f t="shared" si="11"/>
        <v>0.52800000000000002</v>
      </c>
      <c r="L55">
        <v>-7.0190000000000001</v>
      </c>
      <c r="M55" s="4">
        <f t="shared" si="12"/>
        <v>7.0190000000000001</v>
      </c>
      <c r="N55" s="13">
        <v>0.83435582822085896</v>
      </c>
    </row>
    <row r="56" spans="1:14">
      <c r="A56">
        <v>55</v>
      </c>
      <c r="B56">
        <v>-4.8079999999999998</v>
      </c>
      <c r="C56">
        <v>2</v>
      </c>
      <c r="D56">
        <v>2</v>
      </c>
      <c r="E56" s="4">
        <f t="shared" si="7"/>
        <v>79</v>
      </c>
      <c r="F56" s="12">
        <v>250</v>
      </c>
      <c r="G56" s="12">
        <f t="shared" si="8"/>
        <v>79</v>
      </c>
      <c r="H56" s="12">
        <f t="shared" si="9"/>
        <v>3.1772151898734178</v>
      </c>
      <c r="I56" s="12">
        <f t="shared" si="10"/>
        <v>0.3147410358565737</v>
      </c>
      <c r="J56" s="13">
        <f t="shared" si="11"/>
        <v>0.68525896414342635</v>
      </c>
      <c r="L56">
        <v>-7</v>
      </c>
      <c r="M56" s="4">
        <f t="shared" si="12"/>
        <v>7</v>
      </c>
      <c r="N56" s="13">
        <v>0.83870967741935487</v>
      </c>
    </row>
    <row r="57" spans="1:14">
      <c r="A57">
        <v>56</v>
      </c>
      <c r="B57">
        <v>-8.4130000000000003</v>
      </c>
      <c r="C57">
        <v>4</v>
      </c>
      <c r="D57">
        <v>4</v>
      </c>
      <c r="E57" s="4">
        <f t="shared" si="7"/>
        <v>39</v>
      </c>
      <c r="F57" s="12">
        <v>251</v>
      </c>
      <c r="G57" s="12">
        <f t="shared" si="8"/>
        <v>39</v>
      </c>
      <c r="H57" s="12">
        <f t="shared" si="9"/>
        <v>6.4615384615384617</v>
      </c>
      <c r="I57" s="12">
        <f t="shared" si="10"/>
        <v>0.15476190476190477</v>
      </c>
      <c r="J57" s="13">
        <f t="shared" si="11"/>
        <v>0.84523809523809523</v>
      </c>
      <c r="L57">
        <v>-6.87</v>
      </c>
      <c r="M57" s="4">
        <f t="shared" si="12"/>
        <v>6.87</v>
      </c>
      <c r="N57" s="13">
        <v>0.83431952662721898</v>
      </c>
    </row>
    <row r="58" spans="1:14">
      <c r="A58">
        <v>57</v>
      </c>
      <c r="B58">
        <v>-11.102</v>
      </c>
      <c r="C58">
        <v>4</v>
      </c>
      <c r="D58">
        <v>5</v>
      </c>
      <c r="E58" s="4">
        <f t="shared" si="7"/>
        <v>25</v>
      </c>
      <c r="F58" s="12">
        <v>252</v>
      </c>
      <c r="G58" s="12">
        <f t="shared" si="8"/>
        <v>25</v>
      </c>
      <c r="H58" s="12">
        <f t="shared" si="9"/>
        <v>10.119999999999999</v>
      </c>
      <c r="I58" s="12">
        <f t="shared" si="10"/>
        <v>9.881422924901187E-2</v>
      </c>
      <c r="J58" s="13">
        <f t="shared" si="11"/>
        <v>0.90118577075098816</v>
      </c>
      <c r="L58">
        <v>-6.8009999999999993</v>
      </c>
      <c r="M58" s="4">
        <f t="shared" si="12"/>
        <v>6.8009999999999993</v>
      </c>
      <c r="N58" s="13">
        <v>0.77734375</v>
      </c>
    </row>
    <row r="59" spans="1:14">
      <c r="A59">
        <v>58</v>
      </c>
      <c r="B59">
        <v>-6.3220000000000001</v>
      </c>
      <c r="C59">
        <v>3</v>
      </c>
      <c r="D59">
        <v>5</v>
      </c>
      <c r="E59" s="4">
        <f t="shared" si="7"/>
        <v>66</v>
      </c>
      <c r="F59" s="12">
        <v>253</v>
      </c>
      <c r="G59" s="12">
        <f t="shared" si="8"/>
        <v>66</v>
      </c>
      <c r="H59" s="12">
        <f t="shared" si="9"/>
        <v>3.8484848484848486</v>
      </c>
      <c r="I59" s="12">
        <f t="shared" si="10"/>
        <v>0.25984251968503935</v>
      </c>
      <c r="J59" s="13">
        <f t="shared" si="11"/>
        <v>0.74015748031496065</v>
      </c>
      <c r="L59">
        <v>-6.7930000000000001</v>
      </c>
      <c r="M59" s="4">
        <f t="shared" si="12"/>
        <v>6.7930000000000001</v>
      </c>
      <c r="N59" s="13">
        <v>0.79577464788732399</v>
      </c>
    </row>
    <row r="60" spans="1:14">
      <c r="A60">
        <v>59</v>
      </c>
      <c r="B60">
        <v>-1.1870000000000001</v>
      </c>
      <c r="C60">
        <v>2</v>
      </c>
      <c r="D60">
        <v>4</v>
      </c>
      <c r="E60" s="4">
        <f t="shared" si="7"/>
        <v>152</v>
      </c>
      <c r="F60" s="12">
        <v>254</v>
      </c>
      <c r="G60" s="12">
        <f t="shared" si="8"/>
        <v>152</v>
      </c>
      <c r="H60" s="12">
        <f t="shared" si="9"/>
        <v>1.6776315789473684</v>
      </c>
      <c r="I60" s="12">
        <f t="shared" si="10"/>
        <v>0.59607843137254901</v>
      </c>
      <c r="J60" s="13">
        <f t="shared" si="11"/>
        <v>0.40392156862745099</v>
      </c>
      <c r="L60">
        <v>-6.7920000000000007</v>
      </c>
      <c r="M60" s="4">
        <f t="shared" si="12"/>
        <v>6.7920000000000007</v>
      </c>
      <c r="N60" s="13">
        <v>0.71770334928229662</v>
      </c>
    </row>
    <row r="61" spans="1:14">
      <c r="A61">
        <v>60</v>
      </c>
      <c r="B61">
        <v>-6.8009999999999993</v>
      </c>
      <c r="C61">
        <v>4</v>
      </c>
      <c r="D61">
        <v>3</v>
      </c>
      <c r="E61" s="4">
        <f t="shared" si="7"/>
        <v>57</v>
      </c>
      <c r="F61" s="12">
        <v>255</v>
      </c>
      <c r="G61" s="12">
        <f t="shared" si="8"/>
        <v>57</v>
      </c>
      <c r="H61" s="12">
        <f t="shared" si="9"/>
        <v>4.4912280701754383</v>
      </c>
      <c r="I61" s="12">
        <f t="shared" si="10"/>
        <v>0.22265625</v>
      </c>
      <c r="J61" s="13">
        <f t="shared" si="11"/>
        <v>0.77734375</v>
      </c>
      <c r="L61">
        <v>-6.6619999999999999</v>
      </c>
      <c r="M61" s="4">
        <f t="shared" si="12"/>
        <v>6.6619999999999999</v>
      </c>
      <c r="N61" s="13">
        <v>0.83098591549295775</v>
      </c>
    </row>
    <row r="62" spans="1:14">
      <c r="A62">
        <v>61</v>
      </c>
      <c r="B62">
        <v>-5.9559999999999995</v>
      </c>
      <c r="C62">
        <v>2</v>
      </c>
      <c r="D62">
        <v>5</v>
      </c>
      <c r="E62" s="4">
        <f t="shared" si="7"/>
        <v>69</v>
      </c>
      <c r="F62" s="12">
        <v>256</v>
      </c>
      <c r="G62" s="12">
        <f t="shared" si="8"/>
        <v>69</v>
      </c>
      <c r="H62" s="12">
        <f t="shared" si="9"/>
        <v>3.7246376811594204</v>
      </c>
      <c r="I62" s="12">
        <f t="shared" si="10"/>
        <v>0.26848249027237353</v>
      </c>
      <c r="J62" s="13">
        <f t="shared" si="11"/>
        <v>0.73151750972762652</v>
      </c>
      <c r="L62">
        <v>-6.6189999999999998</v>
      </c>
      <c r="M62" s="4">
        <f t="shared" si="12"/>
        <v>6.6189999999999998</v>
      </c>
      <c r="N62" s="13">
        <v>0.82318840579710151</v>
      </c>
    </row>
    <row r="63" spans="1:14">
      <c r="A63">
        <v>62</v>
      </c>
      <c r="B63">
        <v>-1.0029999999999999</v>
      </c>
      <c r="C63">
        <v>1</v>
      </c>
      <c r="D63">
        <v>4</v>
      </c>
      <c r="E63" s="4">
        <f t="shared" si="7"/>
        <v>154</v>
      </c>
      <c r="F63" s="12">
        <v>257</v>
      </c>
      <c r="G63" s="12">
        <f t="shared" si="8"/>
        <v>154</v>
      </c>
      <c r="H63" s="12">
        <f t="shared" si="9"/>
        <v>1.6753246753246753</v>
      </c>
      <c r="I63" s="12">
        <f t="shared" si="10"/>
        <v>0.5968992248062015</v>
      </c>
      <c r="J63" s="13">
        <f t="shared" si="11"/>
        <v>0.4031007751937985</v>
      </c>
      <c r="L63">
        <v>-6.5690000000000008</v>
      </c>
      <c r="M63" s="4">
        <f t="shared" si="12"/>
        <v>6.5690000000000008</v>
      </c>
      <c r="N63" s="13">
        <v>0.81492537313432833</v>
      </c>
    </row>
    <row r="64" spans="1:14">
      <c r="A64">
        <v>63</v>
      </c>
      <c r="B64">
        <v>-1.5489999999999999</v>
      </c>
      <c r="C64">
        <v>2</v>
      </c>
      <c r="D64">
        <v>2</v>
      </c>
      <c r="E64" s="4">
        <f t="shared" si="7"/>
        <v>143</v>
      </c>
      <c r="F64" s="12">
        <v>258</v>
      </c>
      <c r="G64" s="12">
        <f t="shared" si="8"/>
        <v>143</v>
      </c>
      <c r="H64" s="12">
        <f t="shared" si="9"/>
        <v>1.8111888111888113</v>
      </c>
      <c r="I64" s="12">
        <f t="shared" si="10"/>
        <v>0.55212355212355213</v>
      </c>
      <c r="J64" s="13">
        <f t="shared" si="11"/>
        <v>0.44787644787644787</v>
      </c>
      <c r="L64">
        <v>-6.4770000000000003</v>
      </c>
      <c r="M64" s="4">
        <f t="shared" si="12"/>
        <v>6.4770000000000003</v>
      </c>
      <c r="N64" s="13">
        <v>0.76045627376425862</v>
      </c>
    </row>
    <row r="65" spans="1:14">
      <c r="A65">
        <v>64</v>
      </c>
      <c r="B65">
        <v>-1.018</v>
      </c>
      <c r="C65">
        <v>1</v>
      </c>
      <c r="D65">
        <v>5</v>
      </c>
      <c r="E65" s="4">
        <f t="shared" si="7"/>
        <v>153</v>
      </c>
      <c r="F65" s="12">
        <v>259</v>
      </c>
      <c r="G65" s="12">
        <f t="shared" si="8"/>
        <v>153</v>
      </c>
      <c r="H65" s="12">
        <f t="shared" si="9"/>
        <v>1.6993464052287581</v>
      </c>
      <c r="I65" s="12">
        <f t="shared" si="10"/>
        <v>0.58846153846153848</v>
      </c>
      <c r="J65" s="13">
        <f t="shared" si="11"/>
        <v>0.41153846153846152</v>
      </c>
      <c r="L65">
        <v>-6.4749999999999996</v>
      </c>
      <c r="M65" s="4">
        <f t="shared" si="12"/>
        <v>6.4749999999999996</v>
      </c>
      <c r="N65" s="13">
        <v>0.82933333333333337</v>
      </c>
    </row>
    <row r="66" spans="1:14">
      <c r="A66">
        <v>65</v>
      </c>
      <c r="B66">
        <v>-2.246</v>
      </c>
      <c r="C66">
        <v>3</v>
      </c>
      <c r="D66">
        <v>3</v>
      </c>
      <c r="E66" s="4">
        <f t="shared" ref="E66:E97" si="13">RANK(B66,$B$2:$B$196,1)</f>
        <v>121</v>
      </c>
      <c r="F66" s="12">
        <v>260</v>
      </c>
      <c r="G66" s="12">
        <f t="shared" ref="G66:G97" si="14">E66</f>
        <v>121</v>
      </c>
      <c r="H66" s="12">
        <f t="shared" ref="H66:H97" si="15">(F66+1)/G66</f>
        <v>2.1570247933884299</v>
      </c>
      <c r="I66" s="12">
        <f t="shared" ref="I66:I97" si="16">1/H66</f>
        <v>0.46360153256704978</v>
      </c>
      <c r="J66" s="13">
        <f t="shared" ref="J66:J97" si="17">(1-I66)^$K$2</f>
        <v>0.53639846743295028</v>
      </c>
      <c r="L66">
        <v>-6.444</v>
      </c>
      <c r="M66" s="4">
        <f t="shared" ref="M66:M97" si="18">ABS(L66)</f>
        <v>6.444</v>
      </c>
      <c r="N66" s="13">
        <v>0.82526881720430112</v>
      </c>
    </row>
    <row r="67" spans="1:14">
      <c r="A67">
        <v>66</v>
      </c>
      <c r="B67">
        <v>-1.6</v>
      </c>
      <c r="C67">
        <v>2</v>
      </c>
      <c r="D67">
        <v>4</v>
      </c>
      <c r="E67" s="4">
        <f t="shared" si="13"/>
        <v>139</v>
      </c>
      <c r="F67" s="12">
        <v>261</v>
      </c>
      <c r="G67" s="12">
        <f t="shared" si="14"/>
        <v>139</v>
      </c>
      <c r="H67" s="12">
        <f t="shared" si="15"/>
        <v>1.8848920863309353</v>
      </c>
      <c r="I67" s="12">
        <f t="shared" si="16"/>
        <v>0.53053435114503811</v>
      </c>
      <c r="J67" s="13">
        <f t="shared" si="17"/>
        <v>0.46946564885496189</v>
      </c>
      <c r="L67">
        <v>-6.3220000000000001</v>
      </c>
      <c r="M67" s="4">
        <f t="shared" si="18"/>
        <v>6.3220000000000001</v>
      </c>
      <c r="N67" s="13">
        <v>0.74015748031496065</v>
      </c>
    </row>
    <row r="68" spans="1:14">
      <c r="A68">
        <v>67</v>
      </c>
      <c r="B68">
        <v>-6.4770000000000003</v>
      </c>
      <c r="C68">
        <v>3</v>
      </c>
      <c r="D68">
        <v>6</v>
      </c>
      <c r="E68" s="4">
        <f t="shared" si="13"/>
        <v>63</v>
      </c>
      <c r="F68" s="12">
        <v>262</v>
      </c>
      <c r="G68" s="12">
        <f t="shared" si="14"/>
        <v>63</v>
      </c>
      <c r="H68" s="12">
        <f t="shared" si="15"/>
        <v>4.1746031746031749</v>
      </c>
      <c r="I68" s="12">
        <f t="shared" si="16"/>
        <v>0.23954372623574144</v>
      </c>
      <c r="J68" s="13">
        <f t="shared" si="17"/>
        <v>0.76045627376425862</v>
      </c>
      <c r="L68">
        <v>-6.2509999999999994</v>
      </c>
      <c r="M68" s="4">
        <f t="shared" si="18"/>
        <v>6.2509999999999994</v>
      </c>
      <c r="N68" s="13">
        <v>0.78317152103559873</v>
      </c>
    </row>
    <row r="69" spans="1:14">
      <c r="A69">
        <v>68</v>
      </c>
      <c r="B69">
        <v>-2.2959999999999998</v>
      </c>
      <c r="C69">
        <v>1</v>
      </c>
      <c r="D69">
        <v>5</v>
      </c>
      <c r="E69" s="4">
        <f t="shared" si="13"/>
        <v>119</v>
      </c>
      <c r="F69" s="12">
        <v>263</v>
      </c>
      <c r="G69" s="12">
        <f t="shared" si="14"/>
        <v>119</v>
      </c>
      <c r="H69" s="12">
        <f t="shared" si="15"/>
        <v>2.2184873949579833</v>
      </c>
      <c r="I69" s="12">
        <f t="shared" si="16"/>
        <v>0.45075757575757575</v>
      </c>
      <c r="J69" s="13">
        <f t="shared" si="17"/>
        <v>0.54924242424242431</v>
      </c>
      <c r="L69">
        <v>-6.0030000000000001</v>
      </c>
      <c r="M69" s="4">
        <f t="shared" si="18"/>
        <v>6.0030000000000001</v>
      </c>
      <c r="N69" s="13">
        <v>0.67772511848341233</v>
      </c>
    </row>
    <row r="70" spans="1:14">
      <c r="A70">
        <v>69</v>
      </c>
      <c r="B70">
        <v>-1.544</v>
      </c>
      <c r="C70">
        <v>2</v>
      </c>
      <c r="D70">
        <v>3</v>
      </c>
      <c r="E70" s="4">
        <f t="shared" si="13"/>
        <v>144</v>
      </c>
      <c r="F70" s="12">
        <v>264</v>
      </c>
      <c r="G70" s="12">
        <f t="shared" si="14"/>
        <v>144</v>
      </c>
      <c r="H70" s="12">
        <f t="shared" si="15"/>
        <v>1.8402777777777777</v>
      </c>
      <c r="I70" s="12">
        <f t="shared" si="16"/>
        <v>0.54339622641509433</v>
      </c>
      <c r="J70" s="13">
        <f t="shared" si="17"/>
        <v>0.45660377358490567</v>
      </c>
      <c r="L70">
        <v>-5.9559999999999995</v>
      </c>
      <c r="M70" s="4">
        <f t="shared" si="18"/>
        <v>5.9559999999999995</v>
      </c>
      <c r="N70" s="13">
        <v>0.73151750972762652</v>
      </c>
    </row>
    <row r="71" spans="1:14">
      <c r="A71">
        <v>70</v>
      </c>
      <c r="B71">
        <v>-7.1870000000000003</v>
      </c>
      <c r="C71">
        <v>2</v>
      </c>
      <c r="D71">
        <v>3</v>
      </c>
      <c r="E71" s="4">
        <f t="shared" si="13"/>
        <v>52</v>
      </c>
      <c r="F71" s="12">
        <v>265</v>
      </c>
      <c r="G71" s="12">
        <f t="shared" si="14"/>
        <v>52</v>
      </c>
      <c r="H71" s="12">
        <f t="shared" si="15"/>
        <v>5.115384615384615</v>
      </c>
      <c r="I71" s="12">
        <f t="shared" si="16"/>
        <v>0.1954887218045113</v>
      </c>
      <c r="J71" s="13">
        <f t="shared" si="17"/>
        <v>0.80451127819548873</v>
      </c>
      <c r="L71">
        <v>-5.8360000000000003</v>
      </c>
      <c r="M71" s="4">
        <f t="shared" si="18"/>
        <v>5.8360000000000003</v>
      </c>
      <c r="N71" s="13">
        <v>0.7819314641744548</v>
      </c>
    </row>
    <row r="72" spans="1:14">
      <c r="A72">
        <v>71</v>
      </c>
      <c r="B72">
        <v>-3.948</v>
      </c>
      <c r="C72">
        <v>2</v>
      </c>
      <c r="D72">
        <v>3</v>
      </c>
      <c r="E72" s="4">
        <f t="shared" si="13"/>
        <v>96</v>
      </c>
      <c r="F72" s="12">
        <v>266</v>
      </c>
      <c r="G72" s="12">
        <f t="shared" si="14"/>
        <v>96</v>
      </c>
      <c r="H72" s="12">
        <f t="shared" si="15"/>
        <v>2.78125</v>
      </c>
      <c r="I72" s="12">
        <f t="shared" si="16"/>
        <v>0.3595505617977528</v>
      </c>
      <c r="J72" s="13">
        <f t="shared" si="17"/>
        <v>0.6404494382022472</v>
      </c>
      <c r="L72">
        <v>-5.76</v>
      </c>
      <c r="M72" s="4">
        <f t="shared" si="18"/>
        <v>5.76</v>
      </c>
      <c r="N72" s="13">
        <v>0.77950310559006208</v>
      </c>
    </row>
    <row r="73" spans="1:14">
      <c r="A73">
        <v>72</v>
      </c>
      <c r="B73">
        <v>-2.5219999999999998</v>
      </c>
      <c r="C73">
        <v>1</v>
      </c>
      <c r="D73">
        <v>3</v>
      </c>
      <c r="E73" s="4">
        <f t="shared" si="13"/>
        <v>116</v>
      </c>
      <c r="F73" s="12">
        <v>267</v>
      </c>
      <c r="G73" s="12">
        <f t="shared" si="14"/>
        <v>116</v>
      </c>
      <c r="H73" s="12">
        <f t="shared" si="15"/>
        <v>2.3103448275862069</v>
      </c>
      <c r="I73" s="12">
        <f t="shared" si="16"/>
        <v>0.43283582089552242</v>
      </c>
      <c r="J73" s="13">
        <f t="shared" si="17"/>
        <v>0.56716417910447758</v>
      </c>
      <c r="L73">
        <v>-5.7210000000000001</v>
      </c>
      <c r="M73" s="4">
        <f t="shared" si="18"/>
        <v>5.7210000000000001</v>
      </c>
      <c r="N73" s="13">
        <v>0.75</v>
      </c>
    </row>
    <row r="74" spans="1:14">
      <c r="A74">
        <v>73</v>
      </c>
      <c r="B74">
        <v>-2.8970000000000002</v>
      </c>
      <c r="C74">
        <v>2</v>
      </c>
      <c r="D74">
        <v>3</v>
      </c>
      <c r="E74" s="4">
        <f t="shared" si="13"/>
        <v>111</v>
      </c>
      <c r="F74" s="12">
        <v>268</v>
      </c>
      <c r="G74" s="12">
        <f t="shared" si="14"/>
        <v>111</v>
      </c>
      <c r="H74" s="12">
        <f t="shared" si="15"/>
        <v>2.4234234234234235</v>
      </c>
      <c r="I74" s="12">
        <f t="shared" si="16"/>
        <v>0.41263940520446096</v>
      </c>
      <c r="J74" s="13">
        <f t="shared" si="17"/>
        <v>0.58736059479553904</v>
      </c>
      <c r="L74">
        <v>-5.6079999999999997</v>
      </c>
      <c r="M74" s="4">
        <f t="shared" si="18"/>
        <v>5.6079999999999997</v>
      </c>
      <c r="N74" s="13">
        <v>0.77469135802469136</v>
      </c>
    </row>
    <row r="75" spans="1:14">
      <c r="A75">
        <v>74</v>
      </c>
      <c r="B75">
        <v>-0.371</v>
      </c>
      <c r="C75">
        <v>1</v>
      </c>
      <c r="D75">
        <v>3</v>
      </c>
      <c r="E75" s="4">
        <f t="shared" si="13"/>
        <v>180</v>
      </c>
      <c r="F75" s="12">
        <v>269</v>
      </c>
      <c r="G75" s="12">
        <f t="shared" si="14"/>
        <v>180</v>
      </c>
      <c r="H75" s="12">
        <f t="shared" si="15"/>
        <v>1.5</v>
      </c>
      <c r="I75" s="12">
        <f t="shared" si="16"/>
        <v>0.66666666666666663</v>
      </c>
      <c r="J75" s="13">
        <f t="shared" si="17"/>
        <v>0.33333333333333337</v>
      </c>
      <c r="L75">
        <v>-5.399</v>
      </c>
      <c r="M75" s="4">
        <f t="shared" si="18"/>
        <v>5.399</v>
      </c>
      <c r="N75" s="13">
        <v>0.80678851174934718</v>
      </c>
    </row>
    <row r="76" spans="1:14">
      <c r="A76">
        <v>75</v>
      </c>
      <c r="B76">
        <v>-4.04</v>
      </c>
      <c r="C76">
        <v>2</v>
      </c>
      <c r="D76">
        <v>3</v>
      </c>
      <c r="E76" s="4">
        <f t="shared" si="13"/>
        <v>93</v>
      </c>
      <c r="F76" s="12">
        <v>270</v>
      </c>
      <c r="G76" s="12">
        <f t="shared" si="14"/>
        <v>93</v>
      </c>
      <c r="H76" s="12">
        <f t="shared" si="15"/>
        <v>2.913978494623656</v>
      </c>
      <c r="I76" s="12">
        <f t="shared" si="16"/>
        <v>0.34317343173431736</v>
      </c>
      <c r="J76" s="13">
        <f t="shared" si="17"/>
        <v>0.65682656826568264</v>
      </c>
      <c r="L76">
        <v>-5.3760000000000003</v>
      </c>
      <c r="M76" s="4">
        <f t="shared" si="18"/>
        <v>5.3760000000000003</v>
      </c>
      <c r="N76" s="13">
        <v>0.62686567164179108</v>
      </c>
    </row>
    <row r="77" spans="1:14">
      <c r="A77">
        <v>76</v>
      </c>
      <c r="B77">
        <v>-0.88600000000000001</v>
      </c>
      <c r="C77">
        <v>1</v>
      </c>
      <c r="D77">
        <v>4</v>
      </c>
      <c r="E77" s="4">
        <f t="shared" si="13"/>
        <v>158</v>
      </c>
      <c r="F77" s="12">
        <v>271</v>
      </c>
      <c r="G77" s="12">
        <f t="shared" si="14"/>
        <v>158</v>
      </c>
      <c r="H77" s="12">
        <f t="shared" si="15"/>
        <v>1.7215189873417722</v>
      </c>
      <c r="I77" s="12">
        <f t="shared" si="16"/>
        <v>0.58088235294117641</v>
      </c>
      <c r="J77" s="13">
        <f t="shared" si="17"/>
        <v>0.41911764705882359</v>
      </c>
      <c r="L77">
        <v>-5.176000000000001</v>
      </c>
      <c r="M77" s="4">
        <f t="shared" si="18"/>
        <v>5.176000000000001</v>
      </c>
      <c r="N77" s="13">
        <v>0.78409090909090906</v>
      </c>
    </row>
    <row r="78" spans="1:14">
      <c r="A78">
        <v>77</v>
      </c>
      <c r="B78">
        <v>-0.32400000000000001</v>
      </c>
      <c r="C78">
        <v>1</v>
      </c>
      <c r="D78">
        <v>2</v>
      </c>
      <c r="E78" s="4">
        <f t="shared" si="13"/>
        <v>184</v>
      </c>
      <c r="F78" s="12">
        <v>272</v>
      </c>
      <c r="G78" s="12">
        <f t="shared" si="14"/>
        <v>184</v>
      </c>
      <c r="H78" s="12">
        <f t="shared" si="15"/>
        <v>1.4836956521739131</v>
      </c>
      <c r="I78" s="12">
        <f t="shared" si="16"/>
        <v>0.67399267399267393</v>
      </c>
      <c r="J78" s="13">
        <f t="shared" si="17"/>
        <v>0.32600732600732607</v>
      </c>
      <c r="L78">
        <v>-5.0419999999999998</v>
      </c>
      <c r="M78" s="4">
        <f t="shared" si="18"/>
        <v>5.0419999999999998</v>
      </c>
      <c r="N78" s="13">
        <v>0.7896174863387978</v>
      </c>
    </row>
    <row r="79" spans="1:14">
      <c r="A79">
        <v>78</v>
      </c>
      <c r="B79">
        <v>-11.140999999999998</v>
      </c>
      <c r="C79">
        <v>4</v>
      </c>
      <c r="D79">
        <v>2</v>
      </c>
      <c r="E79" s="4">
        <f t="shared" si="13"/>
        <v>24</v>
      </c>
      <c r="F79" s="12">
        <v>273</v>
      </c>
      <c r="G79" s="12">
        <f t="shared" si="14"/>
        <v>24</v>
      </c>
      <c r="H79" s="12">
        <f t="shared" si="15"/>
        <v>11.416666666666666</v>
      </c>
      <c r="I79" s="12">
        <f t="shared" si="16"/>
        <v>8.7591240875912413E-2</v>
      </c>
      <c r="J79" s="13">
        <f t="shared" si="17"/>
        <v>0.91240875912408759</v>
      </c>
      <c r="L79">
        <v>-4.9400000000000004</v>
      </c>
      <c r="M79" s="4">
        <f t="shared" si="18"/>
        <v>4.9400000000000004</v>
      </c>
      <c r="N79" s="13">
        <v>0.62857142857142856</v>
      </c>
    </row>
    <row r="80" spans="1:14">
      <c r="A80">
        <v>79</v>
      </c>
      <c r="B80">
        <v>-4.3209999999999997</v>
      </c>
      <c r="C80">
        <v>2</v>
      </c>
      <c r="D80">
        <v>6</v>
      </c>
      <c r="E80" s="4">
        <f t="shared" si="13"/>
        <v>88</v>
      </c>
      <c r="F80" s="12">
        <v>274</v>
      </c>
      <c r="G80" s="12">
        <f t="shared" si="14"/>
        <v>88</v>
      </c>
      <c r="H80" s="12">
        <f t="shared" si="15"/>
        <v>3.125</v>
      </c>
      <c r="I80" s="12">
        <f t="shared" si="16"/>
        <v>0.32</v>
      </c>
      <c r="J80" s="13">
        <f t="shared" si="17"/>
        <v>0.67999999999999994</v>
      </c>
      <c r="L80">
        <v>-4.8079999999999998</v>
      </c>
      <c r="M80" s="4">
        <f t="shared" si="18"/>
        <v>4.8079999999999998</v>
      </c>
      <c r="N80" s="13">
        <v>0.68525896414342635</v>
      </c>
    </row>
    <row r="81" spans="1:14">
      <c r="A81">
        <v>80</v>
      </c>
      <c r="B81">
        <v>-29.376999999999999</v>
      </c>
      <c r="C81">
        <v>11</v>
      </c>
      <c r="D81">
        <v>3</v>
      </c>
      <c r="E81" s="4">
        <f t="shared" si="13"/>
        <v>3</v>
      </c>
      <c r="F81" s="12">
        <v>275</v>
      </c>
      <c r="G81" s="12">
        <f t="shared" si="14"/>
        <v>3</v>
      </c>
      <c r="H81" s="12">
        <f t="shared" si="15"/>
        <v>92</v>
      </c>
      <c r="I81" s="12">
        <f t="shared" si="16"/>
        <v>1.0869565217391304E-2</v>
      </c>
      <c r="J81" s="13">
        <f t="shared" si="17"/>
        <v>0.98913043478260865</v>
      </c>
      <c r="L81">
        <v>-4.7089999999999996</v>
      </c>
      <c r="M81" s="4">
        <f t="shared" si="18"/>
        <v>4.7089999999999996</v>
      </c>
      <c r="N81" s="13">
        <v>0.66101694915254239</v>
      </c>
    </row>
    <row r="82" spans="1:14">
      <c r="A82">
        <v>81</v>
      </c>
      <c r="B82">
        <v>-11.721</v>
      </c>
      <c r="C82">
        <v>6</v>
      </c>
      <c r="D82">
        <v>15</v>
      </c>
      <c r="E82" s="4">
        <f t="shared" si="13"/>
        <v>22</v>
      </c>
      <c r="F82" s="12">
        <v>276</v>
      </c>
      <c r="G82" s="12">
        <f t="shared" si="14"/>
        <v>22</v>
      </c>
      <c r="H82" s="12">
        <f t="shared" si="15"/>
        <v>12.590909090909092</v>
      </c>
      <c r="I82" s="12">
        <f t="shared" si="16"/>
        <v>7.9422382671480135E-2</v>
      </c>
      <c r="J82" s="13">
        <f t="shared" si="17"/>
        <v>0.92057761732851984</v>
      </c>
      <c r="L82">
        <v>-4.6189999999999998</v>
      </c>
      <c r="M82" s="4">
        <f t="shared" si="18"/>
        <v>4.6189999999999998</v>
      </c>
      <c r="N82" s="13">
        <v>0.72542372881355932</v>
      </c>
    </row>
    <row r="83" spans="1:14">
      <c r="A83">
        <v>82</v>
      </c>
      <c r="B83">
        <v>-2.089</v>
      </c>
      <c r="C83">
        <v>1</v>
      </c>
      <c r="D83">
        <v>13</v>
      </c>
      <c r="E83" s="4">
        <f t="shared" si="13"/>
        <v>123</v>
      </c>
      <c r="F83" s="12">
        <v>277</v>
      </c>
      <c r="G83" s="12">
        <f t="shared" si="14"/>
        <v>123</v>
      </c>
      <c r="H83" s="12">
        <f t="shared" si="15"/>
        <v>2.2601626016260163</v>
      </c>
      <c r="I83" s="12">
        <f t="shared" si="16"/>
        <v>0.4424460431654676</v>
      </c>
      <c r="J83" s="13">
        <f t="shared" si="17"/>
        <v>0.55755395683453246</v>
      </c>
      <c r="L83">
        <v>-4.609</v>
      </c>
      <c r="M83" s="4">
        <f t="shared" si="18"/>
        <v>4.609</v>
      </c>
      <c r="N83" s="13">
        <v>0.78477690288713908</v>
      </c>
    </row>
    <row r="84" spans="1:14">
      <c r="A84">
        <v>83</v>
      </c>
      <c r="B84">
        <v>-7.0000000000000001E-3</v>
      </c>
      <c r="C84">
        <v>1</v>
      </c>
      <c r="D84">
        <v>2</v>
      </c>
      <c r="E84" s="4">
        <f t="shared" si="13"/>
        <v>195</v>
      </c>
      <c r="F84" s="12">
        <v>278</v>
      </c>
      <c r="G84" s="12">
        <f t="shared" si="14"/>
        <v>195</v>
      </c>
      <c r="H84" s="12">
        <f t="shared" si="15"/>
        <v>1.4307692307692308</v>
      </c>
      <c r="I84" s="12">
        <f t="shared" si="16"/>
        <v>0.69892473118279563</v>
      </c>
      <c r="J84" s="13">
        <f t="shared" si="17"/>
        <v>0.30107526881720437</v>
      </c>
      <c r="L84">
        <v>-4.5780000000000003</v>
      </c>
      <c r="M84" s="4">
        <f t="shared" si="18"/>
        <v>4.5780000000000003</v>
      </c>
      <c r="N84" s="13">
        <v>0.7430340557275541</v>
      </c>
    </row>
    <row r="85" spans="1:14">
      <c r="A85">
        <v>84</v>
      </c>
      <c r="B85">
        <v>-3.6629999999999998</v>
      </c>
      <c r="C85">
        <v>3</v>
      </c>
      <c r="D85">
        <v>5</v>
      </c>
      <c r="E85" s="4">
        <f t="shared" si="13"/>
        <v>98</v>
      </c>
      <c r="F85" s="12">
        <v>279</v>
      </c>
      <c r="G85" s="12">
        <f t="shared" si="14"/>
        <v>98</v>
      </c>
      <c r="H85" s="12">
        <f t="shared" si="15"/>
        <v>2.8571428571428572</v>
      </c>
      <c r="I85" s="12">
        <f t="shared" si="16"/>
        <v>0.35</v>
      </c>
      <c r="J85" s="13">
        <f t="shared" si="17"/>
        <v>0.65</v>
      </c>
      <c r="L85">
        <v>-4.5460000000000003</v>
      </c>
      <c r="M85" s="4">
        <f t="shared" si="18"/>
        <v>4.5460000000000003</v>
      </c>
      <c r="N85" s="13">
        <v>0.61818181818181817</v>
      </c>
    </row>
    <row r="86" spans="1:14">
      <c r="A86">
        <v>85</v>
      </c>
      <c r="B86">
        <v>-8.9999999999999993E-3</v>
      </c>
      <c r="C86">
        <v>1</v>
      </c>
      <c r="D86">
        <v>4</v>
      </c>
      <c r="E86" s="4">
        <f t="shared" si="13"/>
        <v>194</v>
      </c>
      <c r="F86" s="12">
        <v>280</v>
      </c>
      <c r="G86" s="12">
        <f t="shared" si="14"/>
        <v>194</v>
      </c>
      <c r="H86" s="12">
        <f t="shared" si="15"/>
        <v>1.4484536082474226</v>
      </c>
      <c r="I86" s="12">
        <f t="shared" si="16"/>
        <v>0.69039145907473309</v>
      </c>
      <c r="J86" s="13">
        <f t="shared" si="17"/>
        <v>0.30960854092526691</v>
      </c>
      <c r="L86">
        <v>-4.4809999999999999</v>
      </c>
      <c r="M86" s="4">
        <f t="shared" si="18"/>
        <v>4.4809999999999999</v>
      </c>
      <c r="N86" s="13">
        <v>0.59134615384615385</v>
      </c>
    </row>
    <row r="87" spans="1:14">
      <c r="A87">
        <v>86</v>
      </c>
      <c r="B87">
        <v>-8.7859999999999996</v>
      </c>
      <c r="C87">
        <v>2</v>
      </c>
      <c r="D87">
        <v>4</v>
      </c>
      <c r="E87" s="4">
        <f t="shared" si="13"/>
        <v>36</v>
      </c>
      <c r="F87" s="12">
        <v>281</v>
      </c>
      <c r="G87" s="12">
        <f t="shared" si="14"/>
        <v>36</v>
      </c>
      <c r="H87" s="12">
        <f t="shared" si="15"/>
        <v>7.833333333333333</v>
      </c>
      <c r="I87" s="12">
        <f t="shared" si="16"/>
        <v>0.12765957446808512</v>
      </c>
      <c r="J87" s="13">
        <f t="shared" si="17"/>
        <v>0.87234042553191493</v>
      </c>
      <c r="L87">
        <v>-4.476</v>
      </c>
      <c r="M87" s="4">
        <f t="shared" si="18"/>
        <v>4.476</v>
      </c>
      <c r="N87" s="13">
        <v>0.75</v>
      </c>
    </row>
    <row r="88" spans="1:14">
      <c r="A88">
        <v>87</v>
      </c>
      <c r="B88">
        <v>-12.855</v>
      </c>
      <c r="C88">
        <v>7</v>
      </c>
      <c r="D88">
        <v>5</v>
      </c>
      <c r="E88" s="4">
        <f t="shared" si="13"/>
        <v>19</v>
      </c>
      <c r="F88" s="12">
        <v>282</v>
      </c>
      <c r="G88" s="12">
        <f t="shared" si="14"/>
        <v>19</v>
      </c>
      <c r="H88" s="12">
        <f t="shared" si="15"/>
        <v>14.894736842105264</v>
      </c>
      <c r="I88" s="12">
        <f t="shared" si="16"/>
        <v>6.7137809187279143E-2</v>
      </c>
      <c r="J88" s="13">
        <f t="shared" si="17"/>
        <v>0.93286219081272082</v>
      </c>
      <c r="L88">
        <v>-4.4160000000000004</v>
      </c>
      <c r="M88" s="4">
        <f t="shared" si="18"/>
        <v>4.4160000000000004</v>
      </c>
      <c r="N88" s="13">
        <v>0.7642276422764227</v>
      </c>
    </row>
    <row r="89" spans="1:14">
      <c r="A89">
        <v>88</v>
      </c>
      <c r="B89">
        <v>-6.7930000000000001</v>
      </c>
      <c r="C89">
        <v>3</v>
      </c>
      <c r="D89">
        <v>9</v>
      </c>
      <c r="E89" s="4">
        <f t="shared" si="13"/>
        <v>58</v>
      </c>
      <c r="F89" s="12">
        <v>283</v>
      </c>
      <c r="G89" s="12">
        <f t="shared" si="14"/>
        <v>58</v>
      </c>
      <c r="H89" s="12">
        <f t="shared" si="15"/>
        <v>4.8965517241379306</v>
      </c>
      <c r="I89" s="12">
        <f t="shared" si="16"/>
        <v>0.20422535211267606</v>
      </c>
      <c r="J89" s="13">
        <f t="shared" si="17"/>
        <v>0.79577464788732399</v>
      </c>
      <c r="L89">
        <v>-4.3209999999999997</v>
      </c>
      <c r="M89" s="4">
        <f t="shared" si="18"/>
        <v>4.3209999999999997</v>
      </c>
      <c r="N89" s="13">
        <v>0.68</v>
      </c>
    </row>
    <row r="90" spans="1:14">
      <c r="A90">
        <v>89</v>
      </c>
      <c r="B90">
        <v>-1.2210000000000001</v>
      </c>
      <c r="C90">
        <v>3</v>
      </c>
      <c r="D90">
        <v>4</v>
      </c>
      <c r="E90" s="4">
        <f t="shared" si="13"/>
        <v>151</v>
      </c>
      <c r="F90" s="12">
        <v>284</v>
      </c>
      <c r="G90" s="12">
        <f t="shared" si="14"/>
        <v>151</v>
      </c>
      <c r="H90" s="12">
        <f t="shared" si="15"/>
        <v>1.8874172185430464</v>
      </c>
      <c r="I90" s="12">
        <f t="shared" si="16"/>
        <v>0.52982456140350875</v>
      </c>
      <c r="J90" s="13">
        <f t="shared" si="17"/>
        <v>0.47017543859649125</v>
      </c>
      <c r="L90">
        <v>-4.2450000000000001</v>
      </c>
      <c r="M90" s="4">
        <f t="shared" si="18"/>
        <v>4.2450000000000001</v>
      </c>
      <c r="N90" s="13">
        <v>0.75</v>
      </c>
    </row>
    <row r="91" spans="1:14">
      <c r="A91">
        <v>90</v>
      </c>
      <c r="B91">
        <v>-0.78500000000000003</v>
      </c>
      <c r="C91">
        <v>1</v>
      </c>
      <c r="D91">
        <v>4</v>
      </c>
      <c r="E91" s="4">
        <f t="shared" si="13"/>
        <v>160</v>
      </c>
      <c r="F91" s="12">
        <v>285</v>
      </c>
      <c r="G91" s="12">
        <f t="shared" si="14"/>
        <v>160</v>
      </c>
      <c r="H91" s="12">
        <f t="shared" si="15"/>
        <v>1.7875000000000001</v>
      </c>
      <c r="I91" s="12">
        <f t="shared" si="16"/>
        <v>0.55944055944055937</v>
      </c>
      <c r="J91" s="13">
        <f t="shared" si="17"/>
        <v>0.44055944055944063</v>
      </c>
      <c r="L91">
        <v>-4.101</v>
      </c>
      <c r="M91" s="4">
        <f t="shared" si="18"/>
        <v>4.101</v>
      </c>
      <c r="N91" s="13">
        <v>0.76923076923076916</v>
      </c>
    </row>
    <row r="92" spans="1:14">
      <c r="A92">
        <v>91</v>
      </c>
      <c r="B92">
        <v>-0.42</v>
      </c>
      <c r="C92">
        <v>1</v>
      </c>
      <c r="D92">
        <v>3</v>
      </c>
      <c r="E92" s="4">
        <f t="shared" si="13"/>
        <v>175</v>
      </c>
      <c r="F92" s="12">
        <v>286</v>
      </c>
      <c r="G92" s="12">
        <f t="shared" si="14"/>
        <v>175</v>
      </c>
      <c r="H92" s="12">
        <f t="shared" si="15"/>
        <v>1.64</v>
      </c>
      <c r="I92" s="12">
        <f t="shared" si="16"/>
        <v>0.6097560975609756</v>
      </c>
      <c r="J92" s="13">
        <f t="shared" si="17"/>
        <v>0.3902439024390244</v>
      </c>
      <c r="L92">
        <v>-4.0890000000000004</v>
      </c>
      <c r="M92" s="4">
        <f t="shared" si="18"/>
        <v>4.0890000000000004</v>
      </c>
      <c r="N92" s="13">
        <v>0.70926517571884984</v>
      </c>
    </row>
    <row r="93" spans="1:14">
      <c r="A93">
        <v>92</v>
      </c>
      <c r="B93">
        <v>-5.7210000000000001</v>
      </c>
      <c r="C93">
        <v>2</v>
      </c>
      <c r="D93">
        <v>3</v>
      </c>
      <c r="E93" s="4">
        <f t="shared" si="13"/>
        <v>72</v>
      </c>
      <c r="F93" s="12">
        <v>287</v>
      </c>
      <c r="G93" s="12">
        <f t="shared" si="14"/>
        <v>72</v>
      </c>
      <c r="H93" s="12">
        <f t="shared" si="15"/>
        <v>4</v>
      </c>
      <c r="I93" s="12">
        <f t="shared" si="16"/>
        <v>0.25</v>
      </c>
      <c r="J93" s="13">
        <f t="shared" si="17"/>
        <v>0.75</v>
      </c>
      <c r="L93">
        <v>-4.0609999999999999</v>
      </c>
      <c r="M93" s="4">
        <f t="shared" si="18"/>
        <v>4.0609999999999999</v>
      </c>
      <c r="N93" s="13">
        <v>0.62139917695473246</v>
      </c>
    </row>
    <row r="94" spans="1:14">
      <c r="A94">
        <v>93</v>
      </c>
      <c r="B94">
        <v>-7.4380000000000006</v>
      </c>
      <c r="C94">
        <v>4</v>
      </c>
      <c r="D94">
        <v>3</v>
      </c>
      <c r="E94" s="4">
        <f t="shared" si="13"/>
        <v>49</v>
      </c>
      <c r="F94" s="12">
        <v>288</v>
      </c>
      <c r="G94" s="12">
        <f t="shared" si="14"/>
        <v>49</v>
      </c>
      <c r="H94" s="12">
        <f t="shared" si="15"/>
        <v>5.8979591836734695</v>
      </c>
      <c r="I94" s="12">
        <f t="shared" si="16"/>
        <v>0.16955017301038061</v>
      </c>
      <c r="J94" s="13">
        <f t="shared" si="17"/>
        <v>0.83044982698961944</v>
      </c>
      <c r="L94">
        <v>-4.04</v>
      </c>
      <c r="M94" s="4">
        <f t="shared" si="18"/>
        <v>4.04</v>
      </c>
      <c r="N94" s="13">
        <v>0.65682656826568264</v>
      </c>
    </row>
    <row r="95" spans="1:14">
      <c r="A95">
        <v>94</v>
      </c>
      <c r="B95">
        <v>-3.9689999999999999</v>
      </c>
      <c r="C95">
        <v>2</v>
      </c>
      <c r="D95">
        <v>5</v>
      </c>
      <c r="E95" s="4">
        <f t="shared" si="13"/>
        <v>94</v>
      </c>
      <c r="F95" s="12">
        <v>289</v>
      </c>
      <c r="G95" s="12">
        <f t="shared" si="14"/>
        <v>94</v>
      </c>
      <c r="H95" s="12">
        <f t="shared" si="15"/>
        <v>3.0851063829787235</v>
      </c>
      <c r="I95" s="12">
        <f t="shared" si="16"/>
        <v>0.32413793103448274</v>
      </c>
      <c r="J95" s="13">
        <f t="shared" si="17"/>
        <v>0.67586206896551726</v>
      </c>
      <c r="L95">
        <v>-3.9689999999999999</v>
      </c>
      <c r="M95" s="4">
        <f t="shared" si="18"/>
        <v>3.9689999999999999</v>
      </c>
      <c r="N95" s="13">
        <v>0.67586206896551726</v>
      </c>
    </row>
    <row r="96" spans="1:14">
      <c r="A96">
        <v>95</v>
      </c>
      <c r="B96">
        <v>-1.7729999999999999</v>
      </c>
      <c r="C96">
        <v>1</v>
      </c>
      <c r="D96">
        <v>3</v>
      </c>
      <c r="E96" s="4">
        <f t="shared" si="13"/>
        <v>129</v>
      </c>
      <c r="F96" s="12">
        <v>290</v>
      </c>
      <c r="G96" s="12">
        <f t="shared" si="14"/>
        <v>129</v>
      </c>
      <c r="H96" s="12">
        <f t="shared" si="15"/>
        <v>2.2558139534883721</v>
      </c>
      <c r="I96" s="12">
        <f t="shared" si="16"/>
        <v>0.44329896907216493</v>
      </c>
      <c r="J96" s="13">
        <f t="shared" si="17"/>
        <v>0.55670103092783507</v>
      </c>
      <c r="L96">
        <v>-3.95</v>
      </c>
      <c r="M96" s="4">
        <f t="shared" si="18"/>
        <v>3.95</v>
      </c>
      <c r="N96" s="13">
        <v>0.72934472934472927</v>
      </c>
    </row>
    <row r="97" spans="1:14">
      <c r="A97">
        <v>96</v>
      </c>
      <c r="B97">
        <v>-8.8390000000000004</v>
      </c>
      <c r="C97">
        <v>3</v>
      </c>
      <c r="D97">
        <v>7</v>
      </c>
      <c r="E97" s="4">
        <f t="shared" si="13"/>
        <v>34</v>
      </c>
      <c r="F97" s="12">
        <v>291</v>
      </c>
      <c r="G97" s="12">
        <f t="shared" si="14"/>
        <v>34</v>
      </c>
      <c r="H97" s="12">
        <f t="shared" si="15"/>
        <v>8.5882352941176467</v>
      </c>
      <c r="I97" s="12">
        <f t="shared" si="16"/>
        <v>0.11643835616438357</v>
      </c>
      <c r="J97" s="13">
        <f t="shared" si="17"/>
        <v>0.88356164383561642</v>
      </c>
      <c r="L97">
        <v>-3.948</v>
      </c>
      <c r="M97" s="4">
        <f t="shared" si="18"/>
        <v>3.948</v>
      </c>
      <c r="N97" s="13">
        <v>0.6404494382022472</v>
      </c>
    </row>
    <row r="98" spans="1:14">
      <c r="A98">
        <v>97</v>
      </c>
      <c r="B98">
        <v>-0.375</v>
      </c>
      <c r="C98">
        <v>1</v>
      </c>
      <c r="D98">
        <v>5</v>
      </c>
      <c r="E98" s="4">
        <f t="shared" ref="E98:E129" si="19">RANK(B98,$B$2:$B$196,1)</f>
        <v>178</v>
      </c>
      <c r="F98" s="12">
        <v>292</v>
      </c>
      <c r="G98" s="12">
        <f t="shared" ref="G98:G129" si="20">E98</f>
        <v>178</v>
      </c>
      <c r="H98" s="12">
        <f t="shared" ref="H98:H129" si="21">(F98+1)/G98</f>
        <v>1.646067415730337</v>
      </c>
      <c r="I98" s="12">
        <f t="shared" ref="I98:I129" si="22">1/H98</f>
        <v>0.60750853242320824</v>
      </c>
      <c r="J98" s="13">
        <f t="shared" ref="J98:J129" si="23">(1-I98)^$K$2</f>
        <v>0.39249146757679176</v>
      </c>
      <c r="L98">
        <v>-3.8689999999999998</v>
      </c>
      <c r="M98" s="4">
        <f t="shared" ref="M98:M129" si="24">ABS(L98)</f>
        <v>3.8689999999999998</v>
      </c>
      <c r="N98" s="13">
        <v>0.71130952380952384</v>
      </c>
    </row>
    <row r="99" spans="1:14">
      <c r="A99">
        <v>98</v>
      </c>
      <c r="B99">
        <v>-1.752</v>
      </c>
      <c r="C99">
        <v>2</v>
      </c>
      <c r="D99">
        <v>8</v>
      </c>
      <c r="E99" s="4">
        <f t="shared" si="19"/>
        <v>130</v>
      </c>
      <c r="F99" s="12">
        <v>293</v>
      </c>
      <c r="G99" s="12">
        <f t="shared" si="20"/>
        <v>130</v>
      </c>
      <c r="H99" s="12">
        <f t="shared" si="21"/>
        <v>2.2615384615384615</v>
      </c>
      <c r="I99" s="12">
        <f t="shared" si="22"/>
        <v>0.44217687074829931</v>
      </c>
      <c r="J99" s="13">
        <f t="shared" si="23"/>
        <v>0.55782312925170063</v>
      </c>
      <c r="L99">
        <v>-3.6629999999999998</v>
      </c>
      <c r="M99" s="4">
        <f t="shared" si="24"/>
        <v>3.6629999999999998</v>
      </c>
      <c r="N99" s="13">
        <v>0.65</v>
      </c>
    </row>
    <row r="100" spans="1:14">
      <c r="A100">
        <v>99</v>
      </c>
      <c r="B100">
        <v>-4.6189999999999998</v>
      </c>
      <c r="C100">
        <v>2</v>
      </c>
      <c r="D100">
        <v>5</v>
      </c>
      <c r="E100" s="4">
        <f t="shared" si="19"/>
        <v>81</v>
      </c>
      <c r="F100" s="12">
        <v>294</v>
      </c>
      <c r="G100" s="12">
        <f t="shared" si="20"/>
        <v>81</v>
      </c>
      <c r="H100" s="12">
        <f t="shared" si="21"/>
        <v>3.6419753086419755</v>
      </c>
      <c r="I100" s="12">
        <f t="shared" si="22"/>
        <v>0.27457627118644068</v>
      </c>
      <c r="J100" s="13">
        <f t="shared" si="23"/>
        <v>0.72542372881355932</v>
      </c>
      <c r="L100">
        <v>-3.64</v>
      </c>
      <c r="M100" s="4">
        <f t="shared" si="24"/>
        <v>3.64</v>
      </c>
      <c r="N100" s="13">
        <v>0.58403361344537807</v>
      </c>
    </row>
    <row r="101" spans="1:14">
      <c r="A101">
        <v>100</v>
      </c>
      <c r="B101">
        <v>-0.56100000000000005</v>
      </c>
      <c r="C101">
        <v>1</v>
      </c>
      <c r="D101">
        <v>3</v>
      </c>
      <c r="E101" s="4">
        <f t="shared" si="19"/>
        <v>171</v>
      </c>
      <c r="F101" s="12">
        <v>295</v>
      </c>
      <c r="G101" s="12">
        <f t="shared" si="20"/>
        <v>171</v>
      </c>
      <c r="H101" s="12">
        <f t="shared" si="21"/>
        <v>1.7309941520467835</v>
      </c>
      <c r="I101" s="12">
        <f t="shared" si="22"/>
        <v>0.57770270270270274</v>
      </c>
      <c r="J101" s="13">
        <f t="shared" si="23"/>
        <v>0.42229729729729726</v>
      </c>
      <c r="L101">
        <v>-3.613</v>
      </c>
      <c r="M101" s="4">
        <f t="shared" si="24"/>
        <v>3.613</v>
      </c>
      <c r="N101" s="13">
        <v>0.68652037617554851</v>
      </c>
    </row>
    <row r="102" spans="1:14">
      <c r="A102">
        <v>101</v>
      </c>
      <c r="B102">
        <v>-15.484999999999999</v>
      </c>
      <c r="C102">
        <v>9</v>
      </c>
      <c r="D102">
        <v>3</v>
      </c>
      <c r="E102" s="4">
        <f t="shared" si="19"/>
        <v>13</v>
      </c>
      <c r="F102" s="12">
        <v>296</v>
      </c>
      <c r="G102" s="12">
        <f t="shared" si="20"/>
        <v>13</v>
      </c>
      <c r="H102" s="12">
        <f t="shared" si="21"/>
        <v>22.846153846153847</v>
      </c>
      <c r="I102" s="12">
        <f t="shared" si="22"/>
        <v>4.3771043771043773E-2</v>
      </c>
      <c r="J102" s="13">
        <f t="shared" si="23"/>
        <v>0.95622895622895621</v>
      </c>
      <c r="L102">
        <v>-3.5939999999999999</v>
      </c>
      <c r="M102" s="4">
        <f t="shared" si="24"/>
        <v>3.5939999999999999</v>
      </c>
      <c r="N102" s="13">
        <v>0.69207317073170738</v>
      </c>
    </row>
    <row r="103" spans="1:14">
      <c r="A103">
        <v>102</v>
      </c>
      <c r="B103">
        <v>-3.2069999999999999</v>
      </c>
      <c r="C103">
        <v>1</v>
      </c>
      <c r="D103">
        <v>11</v>
      </c>
      <c r="E103" s="4">
        <f t="shared" si="19"/>
        <v>108</v>
      </c>
      <c r="F103" s="12">
        <v>297</v>
      </c>
      <c r="G103" s="12">
        <f t="shared" si="20"/>
        <v>108</v>
      </c>
      <c r="H103" s="12">
        <f t="shared" si="21"/>
        <v>2.7592592592592591</v>
      </c>
      <c r="I103" s="12">
        <f t="shared" si="22"/>
        <v>0.36241610738255037</v>
      </c>
      <c r="J103" s="13">
        <f t="shared" si="23"/>
        <v>0.63758389261744963</v>
      </c>
      <c r="L103">
        <v>-3.556</v>
      </c>
      <c r="M103" s="4">
        <f t="shared" si="24"/>
        <v>3.556</v>
      </c>
      <c r="N103" s="13">
        <v>0.66447368421052633</v>
      </c>
    </row>
    <row r="104" spans="1:14">
      <c r="A104">
        <v>103</v>
      </c>
      <c r="B104">
        <v>-1.4239999999999999</v>
      </c>
      <c r="C104">
        <v>2</v>
      </c>
      <c r="D104">
        <v>4</v>
      </c>
      <c r="E104" s="4">
        <f t="shared" si="19"/>
        <v>147</v>
      </c>
      <c r="F104" s="12">
        <v>298</v>
      </c>
      <c r="G104" s="12">
        <f t="shared" si="20"/>
        <v>147</v>
      </c>
      <c r="H104" s="12">
        <f t="shared" si="21"/>
        <v>2.0340136054421767</v>
      </c>
      <c r="I104" s="12">
        <f t="shared" si="22"/>
        <v>0.49163879598662213</v>
      </c>
      <c r="J104" s="13">
        <f t="shared" si="23"/>
        <v>0.50836120401337781</v>
      </c>
      <c r="L104">
        <v>-3.367</v>
      </c>
      <c r="M104" s="4">
        <f t="shared" si="24"/>
        <v>3.367</v>
      </c>
      <c r="N104" s="13">
        <v>0.70487106017191969</v>
      </c>
    </row>
    <row r="105" spans="1:14">
      <c r="A105">
        <v>104</v>
      </c>
      <c r="B105">
        <v>-0.36</v>
      </c>
      <c r="C105">
        <v>1</v>
      </c>
      <c r="D105">
        <v>4</v>
      </c>
      <c r="E105" s="4">
        <f t="shared" si="19"/>
        <v>182</v>
      </c>
      <c r="F105" s="12">
        <v>299</v>
      </c>
      <c r="G105" s="12">
        <f t="shared" si="20"/>
        <v>182</v>
      </c>
      <c r="H105" s="12">
        <f t="shared" si="21"/>
        <v>1.6483516483516483</v>
      </c>
      <c r="I105" s="12">
        <f t="shared" si="22"/>
        <v>0.60666666666666669</v>
      </c>
      <c r="J105" s="13">
        <f t="shared" si="23"/>
        <v>0.39333333333333331</v>
      </c>
      <c r="L105">
        <v>-3.3540000000000001</v>
      </c>
      <c r="M105" s="4">
        <f t="shared" si="24"/>
        <v>3.3540000000000001</v>
      </c>
      <c r="N105" s="13">
        <v>0.72774869109947637</v>
      </c>
    </row>
    <row r="106" spans="1:14">
      <c r="A106">
        <v>105</v>
      </c>
      <c r="B106">
        <v>-2.6970000000000001</v>
      </c>
      <c r="C106">
        <v>3</v>
      </c>
      <c r="D106">
        <v>5</v>
      </c>
      <c r="E106" s="4">
        <f t="shared" si="19"/>
        <v>114</v>
      </c>
      <c r="F106" s="12">
        <v>300</v>
      </c>
      <c r="G106" s="12">
        <f t="shared" si="20"/>
        <v>114</v>
      </c>
      <c r="H106" s="12">
        <f t="shared" si="21"/>
        <v>2.6403508771929824</v>
      </c>
      <c r="I106" s="12">
        <f t="shared" si="22"/>
        <v>0.37873754152823919</v>
      </c>
      <c r="J106" s="13">
        <f t="shared" si="23"/>
        <v>0.62126245847176076</v>
      </c>
      <c r="L106">
        <v>-3.3260000000000001</v>
      </c>
      <c r="M106" s="4">
        <f t="shared" si="24"/>
        <v>3.3260000000000001</v>
      </c>
      <c r="N106" s="13">
        <v>0.68373493975903621</v>
      </c>
    </row>
    <row r="107" spans="1:14">
      <c r="A107">
        <v>106</v>
      </c>
      <c r="B107">
        <v>-1.6839999999999999</v>
      </c>
      <c r="C107">
        <v>1</v>
      </c>
      <c r="D107">
        <v>5</v>
      </c>
      <c r="E107" s="4">
        <f t="shared" si="19"/>
        <v>132</v>
      </c>
      <c r="F107" s="12">
        <v>301</v>
      </c>
      <c r="G107" s="12">
        <f t="shared" si="20"/>
        <v>132</v>
      </c>
      <c r="H107" s="12">
        <f t="shared" si="21"/>
        <v>2.2878787878787881</v>
      </c>
      <c r="I107" s="12">
        <f t="shared" si="22"/>
        <v>0.43708609271523174</v>
      </c>
      <c r="J107" s="13">
        <f t="shared" si="23"/>
        <v>0.5629139072847682</v>
      </c>
      <c r="L107">
        <v>-3.258</v>
      </c>
      <c r="M107" s="4">
        <f t="shared" si="24"/>
        <v>3.258</v>
      </c>
      <c r="N107" s="13">
        <v>0.69714285714285706</v>
      </c>
    </row>
    <row r="108" spans="1:14">
      <c r="A108">
        <v>107</v>
      </c>
      <c r="B108">
        <v>-9.7409999999999997</v>
      </c>
      <c r="C108">
        <v>5</v>
      </c>
      <c r="D108">
        <v>2</v>
      </c>
      <c r="E108" s="4">
        <f t="shared" si="19"/>
        <v>30</v>
      </c>
      <c r="F108" s="12">
        <v>302</v>
      </c>
      <c r="G108" s="12">
        <f t="shared" si="20"/>
        <v>30</v>
      </c>
      <c r="H108" s="12">
        <f t="shared" si="21"/>
        <v>10.1</v>
      </c>
      <c r="I108" s="12">
        <f t="shared" si="22"/>
        <v>9.9009900990099015E-2</v>
      </c>
      <c r="J108" s="13">
        <f t="shared" si="23"/>
        <v>0.90099009900990101</v>
      </c>
      <c r="L108">
        <v>-3.234</v>
      </c>
      <c r="M108" s="4">
        <f t="shared" si="24"/>
        <v>3.234</v>
      </c>
      <c r="N108" s="13">
        <v>0.5347826086956522</v>
      </c>
    </row>
    <row r="109" spans="1:14">
      <c r="A109">
        <v>108</v>
      </c>
      <c r="B109">
        <v>-3.556</v>
      </c>
      <c r="C109">
        <v>1</v>
      </c>
      <c r="D109">
        <v>11</v>
      </c>
      <c r="E109" s="4">
        <f t="shared" si="19"/>
        <v>102</v>
      </c>
      <c r="F109" s="12">
        <v>303</v>
      </c>
      <c r="G109" s="12">
        <f t="shared" si="20"/>
        <v>102</v>
      </c>
      <c r="H109" s="12">
        <f t="shared" si="21"/>
        <v>2.9803921568627452</v>
      </c>
      <c r="I109" s="12">
        <f t="shared" si="22"/>
        <v>0.33552631578947367</v>
      </c>
      <c r="J109" s="13">
        <f t="shared" si="23"/>
        <v>0.66447368421052633</v>
      </c>
      <c r="L109">
        <v>-3.2069999999999999</v>
      </c>
      <c r="M109" s="4">
        <f t="shared" si="24"/>
        <v>3.2069999999999999</v>
      </c>
      <c r="N109" s="13">
        <v>0.63758389261744963</v>
      </c>
    </row>
    <row r="110" spans="1:14">
      <c r="A110">
        <v>109</v>
      </c>
      <c r="B110">
        <v>-0.61199999999999999</v>
      </c>
      <c r="C110">
        <v>1</v>
      </c>
      <c r="D110">
        <v>8</v>
      </c>
      <c r="E110" s="4">
        <f t="shared" si="19"/>
        <v>169</v>
      </c>
      <c r="F110" s="12">
        <v>304</v>
      </c>
      <c r="G110" s="12">
        <f t="shared" si="20"/>
        <v>169</v>
      </c>
      <c r="H110" s="12">
        <f t="shared" si="21"/>
        <v>1.8047337278106508</v>
      </c>
      <c r="I110" s="12">
        <f t="shared" si="22"/>
        <v>0.5540983606557377</v>
      </c>
      <c r="J110" s="13">
        <f t="shared" si="23"/>
        <v>0.4459016393442623</v>
      </c>
      <c r="L110">
        <v>-3.09</v>
      </c>
      <c r="M110" s="4">
        <f t="shared" si="24"/>
        <v>3.09</v>
      </c>
      <c r="N110" s="13">
        <v>0.64379084967320255</v>
      </c>
    </row>
    <row r="111" spans="1:14">
      <c r="A111">
        <v>110</v>
      </c>
      <c r="B111">
        <v>-3.09</v>
      </c>
      <c r="C111">
        <v>2</v>
      </c>
      <c r="D111">
        <v>2</v>
      </c>
      <c r="E111" s="4">
        <f t="shared" si="19"/>
        <v>109</v>
      </c>
      <c r="F111" s="12">
        <v>305</v>
      </c>
      <c r="G111" s="12">
        <f t="shared" si="20"/>
        <v>109</v>
      </c>
      <c r="H111" s="12">
        <f t="shared" si="21"/>
        <v>2.8073394495412844</v>
      </c>
      <c r="I111" s="12">
        <f t="shared" si="22"/>
        <v>0.3562091503267974</v>
      </c>
      <c r="J111" s="13">
        <f t="shared" si="23"/>
        <v>0.64379084967320255</v>
      </c>
      <c r="L111">
        <v>-2.992</v>
      </c>
      <c r="M111" s="4">
        <f t="shared" si="24"/>
        <v>2.992</v>
      </c>
      <c r="N111" s="13">
        <v>0.55284552845528456</v>
      </c>
    </row>
    <row r="112" spans="1:14">
      <c r="A112">
        <v>111</v>
      </c>
      <c r="B112">
        <v>-1.859</v>
      </c>
      <c r="C112">
        <v>1</v>
      </c>
      <c r="D112">
        <v>5</v>
      </c>
      <c r="E112" s="4">
        <f t="shared" si="19"/>
        <v>128</v>
      </c>
      <c r="F112" s="12">
        <v>306</v>
      </c>
      <c r="G112" s="12">
        <f t="shared" si="20"/>
        <v>128</v>
      </c>
      <c r="H112" s="12">
        <f t="shared" si="21"/>
        <v>2.3984375</v>
      </c>
      <c r="I112" s="12">
        <f t="shared" si="22"/>
        <v>0.41693811074918569</v>
      </c>
      <c r="J112" s="13">
        <f t="shared" si="23"/>
        <v>0.58306188925081437</v>
      </c>
      <c r="L112">
        <v>-2.8970000000000002</v>
      </c>
      <c r="M112" s="4">
        <f t="shared" si="24"/>
        <v>2.8970000000000002</v>
      </c>
      <c r="N112" s="13">
        <v>0.58736059479553904</v>
      </c>
    </row>
    <row r="113" spans="1:14">
      <c r="A113">
        <v>112</v>
      </c>
      <c r="B113">
        <v>-8.8049999999999997</v>
      </c>
      <c r="C113">
        <v>3</v>
      </c>
      <c r="D113">
        <v>2</v>
      </c>
      <c r="E113" s="4">
        <f t="shared" si="19"/>
        <v>35</v>
      </c>
      <c r="F113" s="12">
        <v>307</v>
      </c>
      <c r="G113" s="12">
        <f t="shared" si="20"/>
        <v>35</v>
      </c>
      <c r="H113" s="12">
        <f t="shared" si="21"/>
        <v>8.8000000000000007</v>
      </c>
      <c r="I113" s="12">
        <f t="shared" si="22"/>
        <v>0.11363636363636363</v>
      </c>
      <c r="J113" s="13">
        <f t="shared" si="23"/>
        <v>0.88636363636363635</v>
      </c>
      <c r="L113">
        <v>-2.8530000000000002</v>
      </c>
      <c r="M113" s="4">
        <f t="shared" si="24"/>
        <v>2.8530000000000002</v>
      </c>
      <c r="N113" s="13">
        <v>0.68975069252077559</v>
      </c>
    </row>
    <row r="114" spans="1:14">
      <c r="A114">
        <v>113</v>
      </c>
      <c r="B114">
        <v>-6.2509999999999994</v>
      </c>
      <c r="C114">
        <v>3</v>
      </c>
      <c r="D114">
        <v>5</v>
      </c>
      <c r="E114" s="4">
        <f t="shared" si="19"/>
        <v>67</v>
      </c>
      <c r="F114" s="12">
        <v>308</v>
      </c>
      <c r="G114" s="12">
        <f t="shared" si="20"/>
        <v>67</v>
      </c>
      <c r="H114" s="12">
        <f t="shared" si="21"/>
        <v>4.6119402985074629</v>
      </c>
      <c r="I114" s="12">
        <f t="shared" si="22"/>
        <v>0.21682847896440127</v>
      </c>
      <c r="J114" s="13">
        <f t="shared" si="23"/>
        <v>0.78317152103559873</v>
      </c>
      <c r="L114">
        <v>-2.8179999999999996</v>
      </c>
      <c r="M114" s="4">
        <f t="shared" si="24"/>
        <v>2.8179999999999996</v>
      </c>
      <c r="N114" s="13">
        <v>0.6807909604519774</v>
      </c>
    </row>
    <row r="115" spans="1:14">
      <c r="A115">
        <v>114</v>
      </c>
      <c r="B115">
        <v>-1.4259999999999999</v>
      </c>
      <c r="C115">
        <v>1</v>
      </c>
      <c r="D115">
        <v>8</v>
      </c>
      <c r="E115" s="4">
        <f t="shared" si="19"/>
        <v>146</v>
      </c>
      <c r="F115" s="12">
        <v>309</v>
      </c>
      <c r="G115" s="12">
        <f t="shared" si="20"/>
        <v>146</v>
      </c>
      <c r="H115" s="12">
        <f t="shared" si="21"/>
        <v>2.1232876712328768</v>
      </c>
      <c r="I115" s="12">
        <f t="shared" si="22"/>
        <v>0.47096774193548385</v>
      </c>
      <c r="J115" s="13">
        <f t="shared" si="23"/>
        <v>0.52903225806451615</v>
      </c>
      <c r="L115">
        <v>-2.6970000000000001</v>
      </c>
      <c r="M115" s="4">
        <f t="shared" si="24"/>
        <v>2.6970000000000001</v>
      </c>
      <c r="N115" s="13">
        <v>0.62126245847176076</v>
      </c>
    </row>
    <row r="116" spans="1:14">
      <c r="A116">
        <v>115</v>
      </c>
      <c r="B116">
        <v>-14.693999999999999</v>
      </c>
      <c r="C116">
        <v>8</v>
      </c>
      <c r="D116">
        <v>3</v>
      </c>
      <c r="E116" s="4">
        <f t="shared" si="19"/>
        <v>15</v>
      </c>
      <c r="F116" s="12">
        <v>310</v>
      </c>
      <c r="G116" s="12">
        <f t="shared" si="20"/>
        <v>15</v>
      </c>
      <c r="H116" s="12">
        <f t="shared" si="21"/>
        <v>20.733333333333334</v>
      </c>
      <c r="I116" s="12">
        <f t="shared" si="22"/>
        <v>4.8231511254019289E-2</v>
      </c>
      <c r="J116" s="13">
        <f t="shared" si="23"/>
        <v>0.95176848874598075</v>
      </c>
      <c r="L116">
        <v>-2.673</v>
      </c>
      <c r="M116" s="4">
        <f t="shared" si="24"/>
        <v>2.673</v>
      </c>
      <c r="N116" s="13">
        <v>0.69251336898395721</v>
      </c>
    </row>
    <row r="117" spans="1:14">
      <c r="A117">
        <v>116</v>
      </c>
      <c r="B117">
        <v>-0.91900000000000004</v>
      </c>
      <c r="C117">
        <v>1</v>
      </c>
      <c r="D117">
        <v>11</v>
      </c>
      <c r="E117" s="4">
        <f t="shared" si="19"/>
        <v>155</v>
      </c>
      <c r="F117" s="12">
        <v>311</v>
      </c>
      <c r="G117" s="12">
        <f t="shared" si="20"/>
        <v>155</v>
      </c>
      <c r="H117" s="12">
        <f t="shared" si="21"/>
        <v>2.0129032258064514</v>
      </c>
      <c r="I117" s="12">
        <f t="shared" si="22"/>
        <v>0.49679487179487186</v>
      </c>
      <c r="J117" s="13">
        <f t="shared" si="23"/>
        <v>0.50320512820512819</v>
      </c>
      <c r="L117">
        <v>-2.5219999999999998</v>
      </c>
      <c r="M117" s="4">
        <f t="shared" si="24"/>
        <v>2.5219999999999998</v>
      </c>
      <c r="N117" s="13">
        <v>0.56716417910447758</v>
      </c>
    </row>
    <row r="118" spans="1:14">
      <c r="A118">
        <v>117</v>
      </c>
      <c r="B118">
        <v>-4.0890000000000004</v>
      </c>
      <c r="C118">
        <v>1</v>
      </c>
      <c r="D118">
        <v>2</v>
      </c>
      <c r="E118" s="4">
        <f t="shared" si="19"/>
        <v>91</v>
      </c>
      <c r="F118" s="12">
        <v>312</v>
      </c>
      <c r="G118" s="12">
        <f t="shared" si="20"/>
        <v>91</v>
      </c>
      <c r="H118" s="12">
        <f t="shared" si="21"/>
        <v>3.4395604395604398</v>
      </c>
      <c r="I118" s="12">
        <f t="shared" si="22"/>
        <v>0.29073482428115016</v>
      </c>
      <c r="J118" s="13">
        <f t="shared" si="23"/>
        <v>0.70926517571884984</v>
      </c>
      <c r="L118">
        <v>-2.4350000000000001</v>
      </c>
      <c r="M118" s="4">
        <f t="shared" si="24"/>
        <v>2.4350000000000001</v>
      </c>
      <c r="N118" s="13">
        <v>0.69610389610389611</v>
      </c>
    </row>
    <row r="119" spans="1:14">
      <c r="A119">
        <v>118</v>
      </c>
      <c r="B119">
        <v>-0.74299999999999999</v>
      </c>
      <c r="C119">
        <v>1</v>
      </c>
      <c r="D119">
        <v>2</v>
      </c>
      <c r="E119" s="4">
        <f t="shared" si="19"/>
        <v>163</v>
      </c>
      <c r="F119" s="12">
        <v>313</v>
      </c>
      <c r="G119" s="12">
        <f t="shared" si="20"/>
        <v>163</v>
      </c>
      <c r="H119" s="12">
        <f t="shared" si="21"/>
        <v>1.9263803680981595</v>
      </c>
      <c r="I119" s="12">
        <f t="shared" si="22"/>
        <v>0.51910828025477707</v>
      </c>
      <c r="J119" s="13">
        <f t="shared" si="23"/>
        <v>0.48089171974522293</v>
      </c>
      <c r="L119">
        <v>-2.3149999999999999</v>
      </c>
      <c r="M119" s="4">
        <f t="shared" si="24"/>
        <v>2.3149999999999999</v>
      </c>
      <c r="N119" s="13">
        <v>0.52800000000000002</v>
      </c>
    </row>
    <row r="120" spans="1:14">
      <c r="A120">
        <v>119</v>
      </c>
      <c r="B120">
        <v>-2.1860000000000004</v>
      </c>
      <c r="C120">
        <v>2</v>
      </c>
      <c r="D120">
        <v>2</v>
      </c>
      <c r="E120" s="4">
        <f t="shared" si="19"/>
        <v>122</v>
      </c>
      <c r="F120" s="12">
        <v>314</v>
      </c>
      <c r="G120" s="12">
        <f t="shared" si="20"/>
        <v>122</v>
      </c>
      <c r="H120" s="12">
        <f t="shared" si="21"/>
        <v>2.581967213114754</v>
      </c>
      <c r="I120" s="12">
        <f t="shared" si="22"/>
        <v>0.38730158730158731</v>
      </c>
      <c r="J120" s="13">
        <f t="shared" si="23"/>
        <v>0.61269841269841274</v>
      </c>
      <c r="L120">
        <v>-2.2959999999999998</v>
      </c>
      <c r="M120" s="4">
        <f t="shared" si="24"/>
        <v>2.2959999999999998</v>
      </c>
      <c r="N120" s="13">
        <v>0.54924242424242431</v>
      </c>
    </row>
    <row r="121" spans="1:14">
      <c r="A121">
        <v>120</v>
      </c>
      <c r="B121">
        <v>-0.312</v>
      </c>
      <c r="C121">
        <v>1</v>
      </c>
      <c r="D121">
        <v>3</v>
      </c>
      <c r="E121" s="4">
        <f t="shared" si="19"/>
        <v>185</v>
      </c>
      <c r="F121" s="12">
        <v>315</v>
      </c>
      <c r="G121" s="12">
        <f t="shared" si="20"/>
        <v>185</v>
      </c>
      <c r="H121" s="12">
        <f t="shared" si="21"/>
        <v>1.7081081081081082</v>
      </c>
      <c r="I121" s="12">
        <f t="shared" si="22"/>
        <v>0.58544303797468356</v>
      </c>
      <c r="J121" s="13">
        <f t="shared" si="23"/>
        <v>0.41455696202531644</v>
      </c>
      <c r="L121">
        <v>-2.2650000000000001</v>
      </c>
      <c r="M121" s="4">
        <f t="shared" si="24"/>
        <v>2.2650000000000001</v>
      </c>
      <c r="N121" s="13">
        <v>0.66666666666666674</v>
      </c>
    </row>
    <row r="122" spans="1:14">
      <c r="A122">
        <v>121</v>
      </c>
      <c r="B122">
        <v>-1.623</v>
      </c>
      <c r="C122">
        <v>1</v>
      </c>
      <c r="D122">
        <v>3</v>
      </c>
      <c r="E122" s="4">
        <f t="shared" si="19"/>
        <v>136</v>
      </c>
      <c r="F122" s="12">
        <v>316</v>
      </c>
      <c r="G122" s="12">
        <f t="shared" si="20"/>
        <v>136</v>
      </c>
      <c r="H122" s="12">
        <f t="shared" si="21"/>
        <v>2.3308823529411766</v>
      </c>
      <c r="I122" s="12">
        <f t="shared" si="22"/>
        <v>0.42902208201892744</v>
      </c>
      <c r="J122" s="13">
        <f t="shared" si="23"/>
        <v>0.57097791798107256</v>
      </c>
      <c r="L122">
        <v>-2.246</v>
      </c>
      <c r="M122" s="4">
        <f t="shared" si="24"/>
        <v>2.246</v>
      </c>
      <c r="N122" s="13">
        <v>0.53639846743295028</v>
      </c>
    </row>
    <row r="123" spans="1:14">
      <c r="A123">
        <v>122</v>
      </c>
      <c r="B123">
        <v>-0.629</v>
      </c>
      <c r="C123">
        <v>1</v>
      </c>
      <c r="D123">
        <v>2</v>
      </c>
      <c r="E123" s="4">
        <f t="shared" si="19"/>
        <v>168</v>
      </c>
      <c r="F123" s="12">
        <v>317</v>
      </c>
      <c r="G123" s="12">
        <f t="shared" si="20"/>
        <v>168</v>
      </c>
      <c r="H123" s="12">
        <f t="shared" si="21"/>
        <v>1.8928571428571428</v>
      </c>
      <c r="I123" s="12">
        <f t="shared" si="22"/>
        <v>0.52830188679245282</v>
      </c>
      <c r="J123" s="13">
        <f t="shared" si="23"/>
        <v>0.47169811320754718</v>
      </c>
      <c r="L123">
        <v>-2.1860000000000004</v>
      </c>
      <c r="M123" s="4">
        <f t="shared" si="24"/>
        <v>2.1860000000000004</v>
      </c>
      <c r="N123" s="13">
        <v>0.61269841269841274</v>
      </c>
    </row>
    <row r="124" spans="1:14">
      <c r="A124">
        <v>123</v>
      </c>
      <c r="B124">
        <v>-3.613</v>
      </c>
      <c r="C124">
        <v>1</v>
      </c>
      <c r="D124">
        <v>4</v>
      </c>
      <c r="E124" s="4">
        <f t="shared" si="19"/>
        <v>100</v>
      </c>
      <c r="F124" s="12">
        <v>318</v>
      </c>
      <c r="G124" s="12">
        <f t="shared" si="20"/>
        <v>100</v>
      </c>
      <c r="H124" s="12">
        <f t="shared" si="21"/>
        <v>3.19</v>
      </c>
      <c r="I124" s="12">
        <f t="shared" si="22"/>
        <v>0.31347962382445144</v>
      </c>
      <c r="J124" s="13">
        <f t="shared" si="23"/>
        <v>0.68652037617554851</v>
      </c>
      <c r="L124">
        <v>-2.089</v>
      </c>
      <c r="M124" s="4">
        <f t="shared" si="24"/>
        <v>2.089</v>
      </c>
      <c r="N124" s="13">
        <v>0.55755395683453246</v>
      </c>
    </row>
    <row r="125" spans="1:14">
      <c r="A125">
        <v>124</v>
      </c>
      <c r="B125">
        <v>-0.59799999999999998</v>
      </c>
      <c r="C125">
        <v>1</v>
      </c>
      <c r="D125">
        <v>3</v>
      </c>
      <c r="E125" s="4">
        <f t="shared" si="19"/>
        <v>170</v>
      </c>
      <c r="F125" s="12">
        <v>319</v>
      </c>
      <c r="G125" s="12">
        <f t="shared" si="20"/>
        <v>170</v>
      </c>
      <c r="H125" s="12">
        <f t="shared" si="21"/>
        <v>1.8823529411764706</v>
      </c>
      <c r="I125" s="12">
        <f t="shared" si="22"/>
        <v>0.53125</v>
      </c>
      <c r="J125" s="13">
        <f t="shared" si="23"/>
        <v>0.46875</v>
      </c>
      <c r="L125">
        <v>-2.0619999999999998</v>
      </c>
      <c r="M125" s="4">
        <f t="shared" si="24"/>
        <v>2.0619999999999998</v>
      </c>
      <c r="N125" s="13">
        <v>0.67958656330749356</v>
      </c>
    </row>
    <row r="126" spans="1:14">
      <c r="A126">
        <v>125</v>
      </c>
      <c r="B126">
        <v>-5.8360000000000003</v>
      </c>
      <c r="C126">
        <v>2</v>
      </c>
      <c r="D126">
        <v>2</v>
      </c>
      <c r="E126" s="4">
        <f t="shared" si="19"/>
        <v>70</v>
      </c>
      <c r="F126" s="12">
        <v>320</v>
      </c>
      <c r="G126" s="12">
        <f t="shared" si="20"/>
        <v>70</v>
      </c>
      <c r="H126" s="12">
        <f t="shared" si="21"/>
        <v>4.5857142857142854</v>
      </c>
      <c r="I126" s="12">
        <f t="shared" si="22"/>
        <v>0.2180685358255452</v>
      </c>
      <c r="J126" s="13">
        <f t="shared" si="23"/>
        <v>0.7819314641744548</v>
      </c>
      <c r="L126">
        <v>-1.9140000000000001</v>
      </c>
      <c r="M126" s="4">
        <f t="shared" si="24"/>
        <v>1.9140000000000001</v>
      </c>
      <c r="N126" s="13">
        <v>0.375</v>
      </c>
    </row>
    <row r="127" spans="1:14">
      <c r="A127">
        <v>126</v>
      </c>
      <c r="B127">
        <v>-5.76</v>
      </c>
      <c r="C127">
        <v>2</v>
      </c>
      <c r="D127">
        <v>6</v>
      </c>
      <c r="E127" s="4">
        <f t="shared" si="19"/>
        <v>71</v>
      </c>
      <c r="F127" s="12">
        <v>321</v>
      </c>
      <c r="G127" s="12">
        <f t="shared" si="20"/>
        <v>71</v>
      </c>
      <c r="H127" s="12">
        <f t="shared" si="21"/>
        <v>4.535211267605634</v>
      </c>
      <c r="I127" s="12">
        <f t="shared" si="22"/>
        <v>0.22049689440993789</v>
      </c>
      <c r="J127" s="13">
        <f t="shared" si="23"/>
        <v>0.77950310559006208</v>
      </c>
      <c r="L127">
        <v>-1.911</v>
      </c>
      <c r="M127" s="4">
        <f t="shared" si="24"/>
        <v>1.911</v>
      </c>
      <c r="N127" s="13">
        <v>0.63583815028901736</v>
      </c>
    </row>
    <row r="128" spans="1:14">
      <c r="A128">
        <v>127</v>
      </c>
      <c r="B128">
        <v>-4.5780000000000003</v>
      </c>
      <c r="C128">
        <v>2</v>
      </c>
      <c r="D128">
        <v>3</v>
      </c>
      <c r="E128" s="4">
        <f t="shared" si="19"/>
        <v>83</v>
      </c>
      <c r="F128" s="12">
        <v>322</v>
      </c>
      <c r="G128" s="12">
        <f t="shared" si="20"/>
        <v>83</v>
      </c>
      <c r="H128" s="12">
        <f t="shared" si="21"/>
        <v>3.8915662650602409</v>
      </c>
      <c r="I128" s="12">
        <f t="shared" si="22"/>
        <v>0.25696594427244585</v>
      </c>
      <c r="J128" s="13">
        <f t="shared" si="23"/>
        <v>0.7430340557275541</v>
      </c>
      <c r="L128">
        <v>-1.8660000000000001</v>
      </c>
      <c r="M128" s="4">
        <f t="shared" si="24"/>
        <v>1.8660000000000001</v>
      </c>
      <c r="N128" s="13">
        <v>0.48582995951417007</v>
      </c>
    </row>
    <row r="129" spans="1:14">
      <c r="A129">
        <v>128</v>
      </c>
      <c r="B129">
        <v>-5.6079999999999997</v>
      </c>
      <c r="C129">
        <v>5</v>
      </c>
      <c r="D129">
        <v>3</v>
      </c>
      <c r="E129" s="4">
        <f t="shared" si="19"/>
        <v>73</v>
      </c>
      <c r="F129" s="12">
        <v>323</v>
      </c>
      <c r="G129" s="12">
        <f t="shared" si="20"/>
        <v>73</v>
      </c>
      <c r="H129" s="12">
        <f t="shared" si="21"/>
        <v>4.4383561643835616</v>
      </c>
      <c r="I129" s="12">
        <f t="shared" si="22"/>
        <v>0.22530864197530864</v>
      </c>
      <c r="J129" s="13">
        <f t="shared" si="23"/>
        <v>0.77469135802469136</v>
      </c>
      <c r="L129">
        <v>-1.859</v>
      </c>
      <c r="M129" s="4">
        <f t="shared" si="24"/>
        <v>1.859</v>
      </c>
      <c r="N129" s="13">
        <v>0.58306188925081437</v>
      </c>
    </row>
    <row r="130" spans="1:14">
      <c r="A130">
        <v>129</v>
      </c>
      <c r="B130">
        <v>-0.14599999999999999</v>
      </c>
      <c r="C130">
        <v>1</v>
      </c>
      <c r="D130">
        <v>6</v>
      </c>
      <c r="E130" s="4">
        <f t="shared" ref="E130:E161" si="25">RANK(B130,$B$2:$B$196,1)</f>
        <v>190</v>
      </c>
      <c r="F130" s="12">
        <v>324</v>
      </c>
      <c r="G130" s="12">
        <f t="shared" ref="G130:G161" si="26">E130</f>
        <v>190</v>
      </c>
      <c r="H130" s="12">
        <f t="shared" ref="H130:H161" si="27">(F130+1)/G130</f>
        <v>1.7105263157894737</v>
      </c>
      <c r="I130" s="12">
        <f t="shared" ref="I130:I161" si="28">1/H130</f>
        <v>0.58461538461538465</v>
      </c>
      <c r="J130" s="13">
        <f t="shared" ref="J130:J161" si="29">(1-I130)^$K$2</f>
        <v>0.41538461538461535</v>
      </c>
      <c r="L130">
        <v>-1.7729999999999999</v>
      </c>
      <c r="M130" s="4">
        <f t="shared" ref="M130:M161" si="30">ABS(L130)</f>
        <v>1.7729999999999999</v>
      </c>
      <c r="N130" s="13">
        <v>0.55670103092783507</v>
      </c>
    </row>
    <row r="131" spans="1:14">
      <c r="A131">
        <v>130</v>
      </c>
      <c r="B131">
        <v>-7.0190000000000001</v>
      </c>
      <c r="C131">
        <v>4</v>
      </c>
      <c r="D131">
        <v>3</v>
      </c>
      <c r="E131" s="4">
        <f t="shared" si="25"/>
        <v>54</v>
      </c>
      <c r="F131" s="12">
        <v>325</v>
      </c>
      <c r="G131" s="12">
        <f t="shared" si="26"/>
        <v>54</v>
      </c>
      <c r="H131" s="12">
        <f t="shared" si="27"/>
        <v>6.0370370370370372</v>
      </c>
      <c r="I131" s="12">
        <f t="shared" si="28"/>
        <v>0.16564417177914109</v>
      </c>
      <c r="J131" s="13">
        <f t="shared" si="29"/>
        <v>0.83435582822085896</v>
      </c>
      <c r="L131">
        <v>-1.752</v>
      </c>
      <c r="M131" s="4">
        <f t="shared" si="30"/>
        <v>1.752</v>
      </c>
      <c r="N131" s="13">
        <v>0.55782312925170063</v>
      </c>
    </row>
    <row r="132" spans="1:14">
      <c r="A132">
        <v>131</v>
      </c>
      <c r="B132">
        <v>-7.8360000000000003</v>
      </c>
      <c r="C132">
        <v>3</v>
      </c>
      <c r="D132">
        <v>7</v>
      </c>
      <c r="E132" s="4">
        <f t="shared" si="25"/>
        <v>44</v>
      </c>
      <c r="F132" s="12">
        <v>326</v>
      </c>
      <c r="G132" s="12">
        <f t="shared" si="26"/>
        <v>44</v>
      </c>
      <c r="H132" s="12">
        <f t="shared" si="27"/>
        <v>7.4318181818181817</v>
      </c>
      <c r="I132" s="12">
        <f t="shared" si="28"/>
        <v>0.13455657492354742</v>
      </c>
      <c r="J132" s="13">
        <f t="shared" si="29"/>
        <v>0.86544342507645255</v>
      </c>
      <c r="L132">
        <v>-1.7250000000000001</v>
      </c>
      <c r="M132" s="4">
        <f t="shared" si="30"/>
        <v>1.7250000000000001</v>
      </c>
      <c r="N132" s="13">
        <v>0.4377682403433476</v>
      </c>
    </row>
    <row r="133" spans="1:14">
      <c r="A133">
        <v>132</v>
      </c>
      <c r="B133">
        <v>-3.5939999999999999</v>
      </c>
      <c r="C133">
        <v>3</v>
      </c>
      <c r="D133">
        <v>5</v>
      </c>
      <c r="E133" s="4">
        <f t="shared" si="25"/>
        <v>101</v>
      </c>
      <c r="F133" s="12">
        <v>327</v>
      </c>
      <c r="G133" s="12">
        <f t="shared" si="26"/>
        <v>101</v>
      </c>
      <c r="H133" s="12">
        <f t="shared" si="27"/>
        <v>3.2475247524752477</v>
      </c>
      <c r="I133" s="12">
        <f t="shared" si="28"/>
        <v>0.30792682926829268</v>
      </c>
      <c r="J133" s="13">
        <f t="shared" si="29"/>
        <v>0.69207317073170738</v>
      </c>
      <c r="L133">
        <v>-1.6839999999999999</v>
      </c>
      <c r="M133" s="4">
        <f t="shared" si="30"/>
        <v>1.6839999999999999</v>
      </c>
      <c r="N133" s="13">
        <v>0.5629139072847682</v>
      </c>
    </row>
    <row r="134" spans="1:14">
      <c r="A134">
        <v>133</v>
      </c>
      <c r="B134">
        <v>-0.42699999999999999</v>
      </c>
      <c r="C134">
        <v>1</v>
      </c>
      <c r="D134">
        <v>4</v>
      </c>
      <c r="E134" s="4">
        <f t="shared" si="25"/>
        <v>174</v>
      </c>
      <c r="F134" s="12">
        <v>328</v>
      </c>
      <c r="G134" s="12">
        <f t="shared" si="26"/>
        <v>174</v>
      </c>
      <c r="H134" s="12">
        <f t="shared" si="27"/>
        <v>1.8908045977011494</v>
      </c>
      <c r="I134" s="12">
        <f t="shared" si="28"/>
        <v>0.52887537993920974</v>
      </c>
      <c r="J134" s="13">
        <f t="shared" si="29"/>
        <v>0.47112462006079026</v>
      </c>
      <c r="L134">
        <v>-1.657</v>
      </c>
      <c r="M134" s="4">
        <f t="shared" si="30"/>
        <v>1.657</v>
      </c>
      <c r="N134" s="13">
        <v>0.60882352941176476</v>
      </c>
    </row>
    <row r="135" spans="1:14">
      <c r="A135">
        <v>134</v>
      </c>
      <c r="B135">
        <v>-7.6539999999999999</v>
      </c>
      <c r="C135">
        <v>4</v>
      </c>
      <c r="D135">
        <v>2</v>
      </c>
      <c r="E135" s="4">
        <f t="shared" si="25"/>
        <v>45</v>
      </c>
      <c r="F135" s="12">
        <v>329</v>
      </c>
      <c r="G135" s="12">
        <f t="shared" si="26"/>
        <v>45</v>
      </c>
      <c r="H135" s="12">
        <f t="shared" si="27"/>
        <v>7.333333333333333</v>
      </c>
      <c r="I135" s="12">
        <f t="shared" si="28"/>
        <v>0.13636363636363638</v>
      </c>
      <c r="J135" s="13">
        <f t="shared" si="29"/>
        <v>0.86363636363636365</v>
      </c>
      <c r="L135">
        <v>-1.649</v>
      </c>
      <c r="M135" s="4">
        <f t="shared" si="30"/>
        <v>1.649</v>
      </c>
      <c r="N135" s="13">
        <v>0.595166163141994</v>
      </c>
    </row>
    <row r="136" spans="1:14">
      <c r="A136">
        <v>135</v>
      </c>
      <c r="B136">
        <v>-1.649</v>
      </c>
      <c r="C136">
        <v>1</v>
      </c>
      <c r="D136">
        <v>8</v>
      </c>
      <c r="E136" s="4">
        <f t="shared" si="25"/>
        <v>134</v>
      </c>
      <c r="F136" s="12">
        <v>330</v>
      </c>
      <c r="G136" s="12">
        <f t="shared" si="26"/>
        <v>134</v>
      </c>
      <c r="H136" s="12">
        <f t="shared" si="27"/>
        <v>2.4701492537313432</v>
      </c>
      <c r="I136" s="12">
        <f t="shared" si="28"/>
        <v>0.40483383685800606</v>
      </c>
      <c r="J136" s="13">
        <f t="shared" si="29"/>
        <v>0.595166163141994</v>
      </c>
      <c r="L136">
        <v>-1.6459999999999999</v>
      </c>
      <c r="M136" s="4">
        <f t="shared" si="30"/>
        <v>1.6459999999999999</v>
      </c>
      <c r="N136" s="13">
        <v>0.63215258855585832</v>
      </c>
    </row>
    <row r="137" spans="1:14">
      <c r="A137">
        <v>136</v>
      </c>
      <c r="B137">
        <v>-3.3260000000000001</v>
      </c>
      <c r="C137">
        <v>2</v>
      </c>
      <c r="D137">
        <v>2</v>
      </c>
      <c r="E137" s="4">
        <f t="shared" si="25"/>
        <v>105</v>
      </c>
      <c r="F137" s="12">
        <v>331</v>
      </c>
      <c r="G137" s="12">
        <f t="shared" si="26"/>
        <v>105</v>
      </c>
      <c r="H137" s="12">
        <f t="shared" si="27"/>
        <v>3.1619047619047618</v>
      </c>
      <c r="I137" s="12">
        <f t="shared" si="28"/>
        <v>0.31626506024096385</v>
      </c>
      <c r="J137" s="13">
        <f t="shared" si="29"/>
        <v>0.68373493975903621</v>
      </c>
      <c r="L137">
        <v>-1.623</v>
      </c>
      <c r="M137" s="4">
        <f t="shared" si="30"/>
        <v>1.623</v>
      </c>
      <c r="N137" s="13">
        <v>0.57097791798107256</v>
      </c>
    </row>
    <row r="138" spans="1:14">
      <c r="A138">
        <v>137</v>
      </c>
      <c r="B138">
        <v>-11.206000000000001</v>
      </c>
      <c r="C138">
        <v>5</v>
      </c>
      <c r="D138">
        <v>3</v>
      </c>
      <c r="E138" s="4">
        <f t="shared" si="25"/>
        <v>23</v>
      </c>
      <c r="F138" s="12">
        <v>332</v>
      </c>
      <c r="G138" s="12">
        <f t="shared" si="26"/>
        <v>23</v>
      </c>
      <c r="H138" s="12">
        <f t="shared" si="27"/>
        <v>14.478260869565217</v>
      </c>
      <c r="I138" s="12">
        <f t="shared" si="28"/>
        <v>6.9069069069069067E-2</v>
      </c>
      <c r="J138" s="13">
        <f t="shared" si="29"/>
        <v>0.93093093093093093</v>
      </c>
      <c r="L138">
        <v>-1.619</v>
      </c>
      <c r="M138" s="4">
        <f t="shared" si="30"/>
        <v>1.619</v>
      </c>
      <c r="N138" s="13">
        <v>0.6478149100257069</v>
      </c>
    </row>
    <row r="139" spans="1:14">
      <c r="A139">
        <v>138</v>
      </c>
      <c r="B139">
        <v>-0.376</v>
      </c>
      <c r="C139">
        <v>1</v>
      </c>
      <c r="D139">
        <v>7</v>
      </c>
      <c r="E139" s="4">
        <f t="shared" si="25"/>
        <v>177</v>
      </c>
      <c r="F139" s="12">
        <v>333</v>
      </c>
      <c r="G139" s="12">
        <f t="shared" si="26"/>
        <v>177</v>
      </c>
      <c r="H139" s="12">
        <f t="shared" si="27"/>
        <v>1.8870056497175141</v>
      </c>
      <c r="I139" s="12">
        <f t="shared" si="28"/>
        <v>0.52994011976047906</v>
      </c>
      <c r="J139" s="13">
        <f t="shared" si="29"/>
        <v>0.47005988023952094</v>
      </c>
      <c r="L139">
        <v>-1.617</v>
      </c>
      <c r="M139" s="4">
        <f t="shared" si="30"/>
        <v>1.617</v>
      </c>
      <c r="N139" s="13">
        <v>0.64248704663212441</v>
      </c>
    </row>
    <row r="140" spans="1:14">
      <c r="A140">
        <v>139</v>
      </c>
      <c r="B140">
        <v>-6.5690000000000008</v>
      </c>
      <c r="C140">
        <v>3</v>
      </c>
      <c r="D140">
        <v>2</v>
      </c>
      <c r="E140" s="4">
        <f t="shared" si="25"/>
        <v>62</v>
      </c>
      <c r="F140" s="12">
        <v>334</v>
      </c>
      <c r="G140" s="12">
        <f t="shared" si="26"/>
        <v>62</v>
      </c>
      <c r="H140" s="12">
        <f t="shared" si="27"/>
        <v>5.403225806451613</v>
      </c>
      <c r="I140" s="12">
        <f t="shared" si="28"/>
        <v>0.18507462686567164</v>
      </c>
      <c r="J140" s="13">
        <f t="shared" si="29"/>
        <v>0.81492537313432833</v>
      </c>
      <c r="L140">
        <v>-1.6</v>
      </c>
      <c r="M140" s="4">
        <f t="shared" si="30"/>
        <v>1.6</v>
      </c>
      <c r="N140" s="13">
        <v>0.46946564885496189</v>
      </c>
    </row>
    <row r="141" spans="1:14">
      <c r="A141">
        <v>140</v>
      </c>
      <c r="B141">
        <v>-3.8689999999999998</v>
      </c>
      <c r="C141">
        <v>3</v>
      </c>
      <c r="D141">
        <v>5</v>
      </c>
      <c r="E141" s="4">
        <f t="shared" si="25"/>
        <v>97</v>
      </c>
      <c r="F141" s="12">
        <v>335</v>
      </c>
      <c r="G141" s="12">
        <f t="shared" si="26"/>
        <v>97</v>
      </c>
      <c r="H141" s="12">
        <f t="shared" si="27"/>
        <v>3.463917525773196</v>
      </c>
      <c r="I141" s="12">
        <f t="shared" si="28"/>
        <v>0.28869047619047616</v>
      </c>
      <c r="J141" s="13">
        <f t="shared" si="29"/>
        <v>0.71130952380952384</v>
      </c>
      <c r="L141">
        <v>-1.583</v>
      </c>
      <c r="M141" s="4">
        <f t="shared" si="30"/>
        <v>1.583</v>
      </c>
      <c r="N141" s="13">
        <v>0.4042553191489362</v>
      </c>
    </row>
    <row r="142" spans="1:14">
      <c r="A142">
        <v>141</v>
      </c>
      <c r="B142">
        <v>-14.353</v>
      </c>
      <c r="C142">
        <v>8</v>
      </c>
      <c r="D142">
        <v>9</v>
      </c>
      <c r="E142" s="4">
        <f t="shared" si="25"/>
        <v>17</v>
      </c>
      <c r="F142" s="12">
        <v>336</v>
      </c>
      <c r="G142" s="12">
        <f t="shared" si="26"/>
        <v>17</v>
      </c>
      <c r="H142" s="12">
        <f t="shared" si="27"/>
        <v>19.823529411764707</v>
      </c>
      <c r="I142" s="12">
        <f t="shared" si="28"/>
        <v>5.0445103857566766E-2</v>
      </c>
      <c r="J142" s="13">
        <f t="shared" si="29"/>
        <v>0.94955489614243327</v>
      </c>
      <c r="L142">
        <v>-1.569</v>
      </c>
      <c r="M142" s="4">
        <f t="shared" si="30"/>
        <v>1.569</v>
      </c>
      <c r="N142" s="13">
        <v>0.61891891891891893</v>
      </c>
    </row>
    <row r="143" spans="1:14">
      <c r="A143">
        <v>142</v>
      </c>
      <c r="B143">
        <v>-6.87</v>
      </c>
      <c r="C143">
        <v>7</v>
      </c>
      <c r="D143">
        <v>13</v>
      </c>
      <c r="E143" s="4">
        <f t="shared" si="25"/>
        <v>56</v>
      </c>
      <c r="F143" s="12">
        <v>337</v>
      </c>
      <c r="G143" s="12">
        <f t="shared" si="26"/>
        <v>56</v>
      </c>
      <c r="H143" s="12">
        <f t="shared" si="27"/>
        <v>6.0357142857142856</v>
      </c>
      <c r="I143" s="12">
        <f t="shared" si="28"/>
        <v>0.16568047337278108</v>
      </c>
      <c r="J143" s="13">
        <f t="shared" si="29"/>
        <v>0.83431952662721898</v>
      </c>
      <c r="L143">
        <v>-1.5640000000000001</v>
      </c>
      <c r="M143" s="4">
        <f t="shared" si="30"/>
        <v>1.5640000000000001</v>
      </c>
      <c r="N143" s="13">
        <v>0.41078838174273857</v>
      </c>
    </row>
    <row r="144" spans="1:14">
      <c r="A144">
        <v>143</v>
      </c>
      <c r="B144">
        <v>-14.530999999999999</v>
      </c>
      <c r="C144">
        <v>7</v>
      </c>
      <c r="D144">
        <v>9</v>
      </c>
      <c r="E144" s="4">
        <f t="shared" si="25"/>
        <v>16</v>
      </c>
      <c r="F144" s="12">
        <v>338</v>
      </c>
      <c r="G144" s="12">
        <f t="shared" si="26"/>
        <v>16</v>
      </c>
      <c r="H144" s="12">
        <f t="shared" si="27"/>
        <v>21.1875</v>
      </c>
      <c r="I144" s="12">
        <f t="shared" si="28"/>
        <v>4.71976401179941E-2</v>
      </c>
      <c r="J144" s="13">
        <f t="shared" si="29"/>
        <v>0.9528023598820059</v>
      </c>
      <c r="L144">
        <v>-1.5489999999999999</v>
      </c>
      <c r="M144" s="4">
        <f t="shared" si="30"/>
        <v>1.5489999999999999</v>
      </c>
      <c r="N144" s="13">
        <v>0.44787644787644787</v>
      </c>
    </row>
    <row r="145" spans="1:14">
      <c r="A145">
        <v>144</v>
      </c>
      <c r="B145">
        <v>-1.657</v>
      </c>
      <c r="C145">
        <v>1</v>
      </c>
      <c r="D145">
        <v>8</v>
      </c>
      <c r="E145" s="4">
        <f t="shared" si="25"/>
        <v>133</v>
      </c>
      <c r="F145" s="12">
        <v>339</v>
      </c>
      <c r="G145" s="12">
        <f t="shared" si="26"/>
        <v>133</v>
      </c>
      <c r="H145" s="12">
        <f t="shared" si="27"/>
        <v>2.5563909774436091</v>
      </c>
      <c r="I145" s="12">
        <f t="shared" si="28"/>
        <v>0.39117647058823529</v>
      </c>
      <c r="J145" s="13">
        <f t="shared" si="29"/>
        <v>0.60882352941176476</v>
      </c>
      <c r="L145">
        <v>-1.544</v>
      </c>
      <c r="M145" s="4">
        <f t="shared" si="30"/>
        <v>1.544</v>
      </c>
      <c r="N145" s="13">
        <v>0.45660377358490567</v>
      </c>
    </row>
    <row r="146" spans="1:14">
      <c r="A146">
        <v>145</v>
      </c>
      <c r="B146">
        <v>-7</v>
      </c>
      <c r="C146">
        <v>2</v>
      </c>
      <c r="D146">
        <v>5</v>
      </c>
      <c r="E146" s="4">
        <f t="shared" si="25"/>
        <v>55</v>
      </c>
      <c r="F146" s="12">
        <v>340</v>
      </c>
      <c r="G146" s="12">
        <f t="shared" si="26"/>
        <v>55</v>
      </c>
      <c r="H146" s="12">
        <f t="shared" si="27"/>
        <v>6.2</v>
      </c>
      <c r="I146" s="12">
        <f t="shared" si="28"/>
        <v>0.16129032258064516</v>
      </c>
      <c r="J146" s="13">
        <f t="shared" si="29"/>
        <v>0.83870967741935487</v>
      </c>
      <c r="L146">
        <v>-1.5349999999999999</v>
      </c>
      <c r="M146" s="4">
        <f t="shared" si="30"/>
        <v>1.5349999999999999</v>
      </c>
      <c r="N146" s="13">
        <v>0.58923512747875351</v>
      </c>
    </row>
    <row r="147" spans="1:14">
      <c r="A147">
        <v>146</v>
      </c>
      <c r="B147">
        <v>-8.6590000000000007</v>
      </c>
      <c r="C147">
        <v>3</v>
      </c>
      <c r="D147">
        <v>4</v>
      </c>
      <c r="E147" s="4">
        <f t="shared" si="25"/>
        <v>37</v>
      </c>
      <c r="F147" s="12">
        <v>341</v>
      </c>
      <c r="G147" s="12">
        <f t="shared" si="26"/>
        <v>37</v>
      </c>
      <c r="H147" s="12">
        <f t="shared" si="27"/>
        <v>9.2432432432432439</v>
      </c>
      <c r="I147" s="12">
        <f t="shared" si="28"/>
        <v>0.10818713450292397</v>
      </c>
      <c r="J147" s="13">
        <f t="shared" si="29"/>
        <v>0.89181286549707606</v>
      </c>
      <c r="L147">
        <v>-1.4259999999999999</v>
      </c>
      <c r="M147" s="4">
        <f t="shared" si="30"/>
        <v>1.4259999999999999</v>
      </c>
      <c r="N147" s="13">
        <v>0.52903225806451615</v>
      </c>
    </row>
    <row r="148" spans="1:14">
      <c r="A148">
        <v>147</v>
      </c>
      <c r="B148">
        <v>-0.80400000000000005</v>
      </c>
      <c r="C148">
        <v>1</v>
      </c>
      <c r="D148">
        <v>9</v>
      </c>
      <c r="E148" s="4">
        <f t="shared" si="25"/>
        <v>159</v>
      </c>
      <c r="F148" s="12">
        <v>342</v>
      </c>
      <c r="G148" s="12">
        <f t="shared" si="26"/>
        <v>159</v>
      </c>
      <c r="H148" s="12">
        <f t="shared" si="27"/>
        <v>2.1572327044025159</v>
      </c>
      <c r="I148" s="12">
        <f t="shared" si="28"/>
        <v>0.46355685131195329</v>
      </c>
      <c r="J148" s="13">
        <f t="shared" si="29"/>
        <v>0.53644314868804677</v>
      </c>
      <c r="L148">
        <v>-1.4239999999999999</v>
      </c>
      <c r="M148" s="4">
        <f t="shared" si="30"/>
        <v>1.4239999999999999</v>
      </c>
      <c r="N148" s="13">
        <v>0.50836120401337781</v>
      </c>
    </row>
    <row r="149" spans="1:14">
      <c r="A149">
        <v>148</v>
      </c>
      <c r="B149">
        <v>-4.476</v>
      </c>
      <c r="C149">
        <v>2</v>
      </c>
      <c r="D149">
        <v>2</v>
      </c>
      <c r="E149" s="4">
        <f t="shared" si="25"/>
        <v>86</v>
      </c>
      <c r="F149" s="12">
        <v>343</v>
      </c>
      <c r="G149" s="12">
        <f t="shared" si="26"/>
        <v>86</v>
      </c>
      <c r="H149" s="12">
        <f t="shared" si="27"/>
        <v>4</v>
      </c>
      <c r="I149" s="12">
        <f t="shared" si="28"/>
        <v>0.25</v>
      </c>
      <c r="J149" s="13">
        <f t="shared" si="29"/>
        <v>0.75</v>
      </c>
      <c r="L149">
        <v>-1.3220000000000001</v>
      </c>
      <c r="M149" s="4">
        <f t="shared" si="30"/>
        <v>1.3220000000000001</v>
      </c>
      <c r="N149" s="13">
        <v>0.35371179039301315</v>
      </c>
    </row>
    <row r="150" spans="1:14">
      <c r="A150">
        <v>149</v>
      </c>
      <c r="B150">
        <v>-6.6189999999999998</v>
      </c>
      <c r="C150">
        <v>2</v>
      </c>
      <c r="D150">
        <v>5</v>
      </c>
      <c r="E150" s="4">
        <f t="shared" si="25"/>
        <v>61</v>
      </c>
      <c r="F150" s="12">
        <v>344</v>
      </c>
      <c r="G150" s="12">
        <f t="shared" si="26"/>
        <v>61</v>
      </c>
      <c r="H150" s="12">
        <f t="shared" si="27"/>
        <v>5.6557377049180326</v>
      </c>
      <c r="I150" s="12">
        <f t="shared" si="28"/>
        <v>0.17681159420289855</v>
      </c>
      <c r="J150" s="13">
        <f t="shared" si="29"/>
        <v>0.82318840579710151</v>
      </c>
      <c r="L150">
        <v>-1.32</v>
      </c>
      <c r="M150" s="4">
        <f t="shared" si="30"/>
        <v>1.32</v>
      </c>
      <c r="N150" s="13">
        <v>0.38934426229508201</v>
      </c>
    </row>
    <row r="151" spans="1:14">
      <c r="A151">
        <v>150</v>
      </c>
      <c r="B151">
        <v>-1.911</v>
      </c>
      <c r="C151">
        <v>1</v>
      </c>
      <c r="D151">
        <v>3</v>
      </c>
      <c r="E151" s="4">
        <f t="shared" si="25"/>
        <v>126</v>
      </c>
      <c r="F151" s="12">
        <v>345</v>
      </c>
      <c r="G151" s="12">
        <f t="shared" si="26"/>
        <v>126</v>
      </c>
      <c r="H151" s="12">
        <f t="shared" si="27"/>
        <v>2.746031746031746</v>
      </c>
      <c r="I151" s="12">
        <f t="shared" si="28"/>
        <v>0.36416184971098264</v>
      </c>
      <c r="J151" s="13">
        <f t="shared" si="29"/>
        <v>0.63583815028901736</v>
      </c>
      <c r="L151">
        <v>-1.306</v>
      </c>
      <c r="M151" s="4">
        <f t="shared" si="30"/>
        <v>1.306</v>
      </c>
      <c r="N151" s="13">
        <v>0.61340206185567014</v>
      </c>
    </row>
    <row r="152" spans="1:14">
      <c r="A152">
        <v>151</v>
      </c>
      <c r="B152">
        <v>-0.9</v>
      </c>
      <c r="C152">
        <v>1</v>
      </c>
      <c r="D152">
        <v>4</v>
      </c>
      <c r="E152" s="4">
        <f t="shared" si="25"/>
        <v>156</v>
      </c>
      <c r="F152" s="12">
        <v>346</v>
      </c>
      <c r="G152" s="12">
        <f t="shared" si="26"/>
        <v>156</v>
      </c>
      <c r="H152" s="12">
        <f t="shared" si="27"/>
        <v>2.2243589743589745</v>
      </c>
      <c r="I152" s="12">
        <f t="shared" si="28"/>
        <v>0.44956772334293948</v>
      </c>
      <c r="J152" s="13">
        <f t="shared" si="29"/>
        <v>0.55043227665706052</v>
      </c>
      <c r="L152">
        <v>-1.2210000000000001</v>
      </c>
      <c r="M152" s="4">
        <f t="shared" si="30"/>
        <v>1.2210000000000001</v>
      </c>
      <c r="N152" s="13">
        <v>0.47017543859649125</v>
      </c>
    </row>
    <row r="153" spans="1:14">
      <c r="A153">
        <v>152</v>
      </c>
      <c r="B153">
        <v>-0.373</v>
      </c>
      <c r="C153">
        <v>1</v>
      </c>
      <c r="D153">
        <v>4</v>
      </c>
      <c r="E153" s="4">
        <f t="shared" si="25"/>
        <v>179</v>
      </c>
      <c r="F153" s="12">
        <v>347</v>
      </c>
      <c r="G153" s="12">
        <f t="shared" si="26"/>
        <v>179</v>
      </c>
      <c r="H153" s="12">
        <f t="shared" si="27"/>
        <v>1.9441340782122905</v>
      </c>
      <c r="I153" s="12">
        <f t="shared" si="28"/>
        <v>0.51436781609195403</v>
      </c>
      <c r="J153" s="13">
        <f t="shared" si="29"/>
        <v>0.48563218390804597</v>
      </c>
      <c r="L153">
        <v>-1.1870000000000001</v>
      </c>
      <c r="M153" s="4">
        <f t="shared" si="30"/>
        <v>1.1870000000000001</v>
      </c>
      <c r="N153" s="13">
        <v>0.40392156862745099</v>
      </c>
    </row>
    <row r="154" spans="1:14">
      <c r="A154">
        <v>153</v>
      </c>
      <c r="B154">
        <v>-3.367</v>
      </c>
      <c r="C154">
        <v>2</v>
      </c>
      <c r="D154">
        <v>3</v>
      </c>
      <c r="E154" s="4">
        <f t="shared" si="25"/>
        <v>103</v>
      </c>
      <c r="F154" s="12">
        <v>348</v>
      </c>
      <c r="G154" s="12">
        <f t="shared" si="26"/>
        <v>103</v>
      </c>
      <c r="H154" s="12">
        <f t="shared" si="27"/>
        <v>3.3883495145631066</v>
      </c>
      <c r="I154" s="12">
        <f t="shared" si="28"/>
        <v>0.29512893982808025</v>
      </c>
      <c r="J154" s="13">
        <f t="shared" si="29"/>
        <v>0.70487106017191969</v>
      </c>
      <c r="L154">
        <v>-1.018</v>
      </c>
      <c r="M154" s="4">
        <f t="shared" si="30"/>
        <v>1.018</v>
      </c>
      <c r="N154" s="13">
        <v>0.41153846153846152</v>
      </c>
    </row>
    <row r="155" spans="1:14">
      <c r="A155">
        <v>154</v>
      </c>
      <c r="B155">
        <v>-3.258</v>
      </c>
      <c r="C155">
        <v>1</v>
      </c>
      <c r="D155">
        <v>3</v>
      </c>
      <c r="E155" s="4">
        <f t="shared" si="25"/>
        <v>106</v>
      </c>
      <c r="F155" s="12">
        <v>349</v>
      </c>
      <c r="G155" s="12">
        <f t="shared" si="26"/>
        <v>106</v>
      </c>
      <c r="H155" s="12">
        <f t="shared" si="27"/>
        <v>3.3018867924528301</v>
      </c>
      <c r="I155" s="12">
        <f t="shared" si="28"/>
        <v>0.30285714285714288</v>
      </c>
      <c r="J155" s="13">
        <f t="shared" si="29"/>
        <v>0.69714285714285706</v>
      </c>
      <c r="L155">
        <v>-1.0029999999999999</v>
      </c>
      <c r="M155" s="4">
        <f t="shared" si="30"/>
        <v>1.0029999999999999</v>
      </c>
      <c r="N155" s="13">
        <v>0.4031007751937985</v>
      </c>
    </row>
    <row r="156" spans="1:14">
      <c r="A156">
        <v>155</v>
      </c>
      <c r="B156">
        <v>-3.95</v>
      </c>
      <c r="C156">
        <v>1</v>
      </c>
      <c r="D156">
        <v>2</v>
      </c>
      <c r="E156" s="4">
        <f t="shared" si="25"/>
        <v>95</v>
      </c>
      <c r="F156" s="12">
        <v>350</v>
      </c>
      <c r="G156" s="12">
        <f t="shared" si="26"/>
        <v>95</v>
      </c>
      <c r="H156" s="12">
        <f t="shared" si="27"/>
        <v>3.6947368421052631</v>
      </c>
      <c r="I156" s="12">
        <f t="shared" si="28"/>
        <v>0.27065527065527067</v>
      </c>
      <c r="J156" s="13">
        <f t="shared" si="29"/>
        <v>0.72934472934472927</v>
      </c>
      <c r="L156">
        <v>-0.91900000000000004</v>
      </c>
      <c r="M156" s="4">
        <f t="shared" si="30"/>
        <v>0.91900000000000004</v>
      </c>
      <c r="N156" s="13">
        <v>0.50320512820512819</v>
      </c>
    </row>
    <row r="157" spans="1:14">
      <c r="A157">
        <v>156</v>
      </c>
      <c r="B157">
        <v>-5.176000000000001</v>
      </c>
      <c r="C157">
        <v>4</v>
      </c>
      <c r="D157">
        <v>5</v>
      </c>
      <c r="E157" s="4">
        <f t="shared" si="25"/>
        <v>76</v>
      </c>
      <c r="F157" s="12">
        <v>351</v>
      </c>
      <c r="G157" s="12">
        <f t="shared" si="26"/>
        <v>76</v>
      </c>
      <c r="H157" s="12">
        <f t="shared" si="27"/>
        <v>4.6315789473684212</v>
      </c>
      <c r="I157" s="12">
        <f t="shared" si="28"/>
        <v>0.21590909090909091</v>
      </c>
      <c r="J157" s="13">
        <f t="shared" si="29"/>
        <v>0.78409090909090906</v>
      </c>
      <c r="L157">
        <v>-0.9</v>
      </c>
      <c r="M157" s="4">
        <f t="shared" si="30"/>
        <v>0.9</v>
      </c>
      <c r="N157" s="13">
        <v>0.55043227665706052</v>
      </c>
    </row>
    <row r="158" spans="1:14">
      <c r="A158">
        <v>157</v>
      </c>
      <c r="B158">
        <v>-1.5349999999999999</v>
      </c>
      <c r="C158">
        <v>1</v>
      </c>
      <c r="D158">
        <v>6</v>
      </c>
      <c r="E158" s="4">
        <f t="shared" si="25"/>
        <v>145</v>
      </c>
      <c r="F158" s="12">
        <v>352</v>
      </c>
      <c r="G158" s="12">
        <f t="shared" si="26"/>
        <v>145</v>
      </c>
      <c r="H158" s="12">
        <f t="shared" si="27"/>
        <v>2.4344827586206899</v>
      </c>
      <c r="I158" s="12">
        <f t="shared" si="28"/>
        <v>0.41076487252124644</v>
      </c>
      <c r="J158" s="13">
        <f t="shared" si="29"/>
        <v>0.58923512747875351</v>
      </c>
      <c r="L158">
        <v>-0.9</v>
      </c>
      <c r="M158" s="4">
        <f t="shared" si="30"/>
        <v>0.9</v>
      </c>
      <c r="N158" s="13">
        <v>0.57024793388429762</v>
      </c>
    </row>
    <row r="159" spans="1:14">
      <c r="A159">
        <v>158</v>
      </c>
      <c r="B159">
        <v>-2.8179999999999996</v>
      </c>
      <c r="C159">
        <v>3</v>
      </c>
      <c r="D159">
        <v>2</v>
      </c>
      <c r="E159" s="4">
        <f t="shared" si="25"/>
        <v>113</v>
      </c>
      <c r="F159" s="12">
        <v>353</v>
      </c>
      <c r="G159" s="12">
        <f t="shared" si="26"/>
        <v>113</v>
      </c>
      <c r="H159" s="12">
        <f t="shared" si="27"/>
        <v>3.1327433628318584</v>
      </c>
      <c r="I159" s="12">
        <f t="shared" si="28"/>
        <v>0.3192090395480226</v>
      </c>
      <c r="J159" s="13">
        <f t="shared" si="29"/>
        <v>0.6807909604519774</v>
      </c>
      <c r="L159">
        <v>-0.88600000000000001</v>
      </c>
      <c r="M159" s="4">
        <f t="shared" si="30"/>
        <v>0.88600000000000001</v>
      </c>
      <c r="N159" s="13">
        <v>0.41911764705882359</v>
      </c>
    </row>
    <row r="160" spans="1:14">
      <c r="A160">
        <v>159</v>
      </c>
      <c r="B160">
        <v>-6.6619999999999999</v>
      </c>
      <c r="C160">
        <v>2</v>
      </c>
      <c r="D160">
        <v>4</v>
      </c>
      <c r="E160" s="4">
        <f t="shared" si="25"/>
        <v>60</v>
      </c>
      <c r="F160" s="12">
        <v>354</v>
      </c>
      <c r="G160" s="12">
        <f t="shared" si="26"/>
        <v>60</v>
      </c>
      <c r="H160" s="12">
        <f t="shared" si="27"/>
        <v>5.916666666666667</v>
      </c>
      <c r="I160" s="12">
        <f t="shared" si="28"/>
        <v>0.16901408450704225</v>
      </c>
      <c r="J160" s="13">
        <f t="shared" si="29"/>
        <v>0.83098591549295775</v>
      </c>
      <c r="L160">
        <v>-0.80400000000000005</v>
      </c>
      <c r="M160" s="4">
        <f t="shared" si="30"/>
        <v>0.80400000000000005</v>
      </c>
      <c r="N160" s="13">
        <v>0.53644314868804677</v>
      </c>
    </row>
    <row r="161" spans="1:14">
      <c r="A161">
        <v>160</v>
      </c>
      <c r="B161">
        <v>-4.2450000000000001</v>
      </c>
      <c r="C161">
        <v>4</v>
      </c>
      <c r="D161">
        <v>4</v>
      </c>
      <c r="E161" s="4">
        <f t="shared" si="25"/>
        <v>89</v>
      </c>
      <c r="F161" s="12">
        <v>355</v>
      </c>
      <c r="G161" s="12">
        <f t="shared" si="26"/>
        <v>89</v>
      </c>
      <c r="H161" s="12">
        <f t="shared" si="27"/>
        <v>4</v>
      </c>
      <c r="I161" s="12">
        <f t="shared" si="28"/>
        <v>0.25</v>
      </c>
      <c r="J161" s="13">
        <f t="shared" si="29"/>
        <v>0.75</v>
      </c>
      <c r="L161">
        <v>-0.78500000000000003</v>
      </c>
      <c r="M161" s="4">
        <f t="shared" si="30"/>
        <v>0.78500000000000003</v>
      </c>
      <c r="N161" s="13">
        <v>0.44055944055944063</v>
      </c>
    </row>
    <row r="162" spans="1:14">
      <c r="A162">
        <v>161</v>
      </c>
      <c r="B162">
        <v>-0.441</v>
      </c>
      <c r="C162">
        <v>1</v>
      </c>
      <c r="D162">
        <v>7</v>
      </c>
      <c r="E162" s="4">
        <f t="shared" ref="E162:E196" si="31">RANK(B162,$B$2:$B$196,1)</f>
        <v>173</v>
      </c>
      <c r="F162" s="12">
        <v>356</v>
      </c>
      <c r="G162" s="12">
        <f t="shared" ref="G162:G196" si="32">E162</f>
        <v>173</v>
      </c>
      <c r="H162" s="12">
        <f t="shared" ref="H162:H193" si="33">(F162+1)/G162</f>
        <v>2.0635838150289016</v>
      </c>
      <c r="I162" s="12">
        <f t="shared" ref="I162:I193" si="34">1/H162</f>
        <v>0.484593837535014</v>
      </c>
      <c r="J162" s="13">
        <f t="shared" ref="J162:J193" si="35">(1-I162)^$K$2</f>
        <v>0.51540616246498594</v>
      </c>
      <c r="L162">
        <v>-0.755</v>
      </c>
      <c r="M162" s="4">
        <f t="shared" ref="M162:M193" si="36">ABS(L162)</f>
        <v>0.755</v>
      </c>
      <c r="N162" s="13">
        <v>0.25806451612903225</v>
      </c>
    </row>
    <row r="163" spans="1:14">
      <c r="A163">
        <v>162</v>
      </c>
      <c r="B163">
        <v>-10.876999999999999</v>
      </c>
      <c r="C163">
        <v>4</v>
      </c>
      <c r="D163">
        <v>2</v>
      </c>
      <c r="E163" s="4">
        <f t="shared" si="31"/>
        <v>28</v>
      </c>
      <c r="F163" s="12">
        <v>357</v>
      </c>
      <c r="G163" s="12">
        <f t="shared" si="32"/>
        <v>28</v>
      </c>
      <c r="H163" s="12">
        <f t="shared" si="33"/>
        <v>12.785714285714286</v>
      </c>
      <c r="I163" s="12">
        <f t="shared" si="34"/>
        <v>7.8212290502793297E-2</v>
      </c>
      <c r="J163" s="13">
        <f t="shared" si="35"/>
        <v>0.92178770949720668</v>
      </c>
      <c r="L163">
        <v>-0.753</v>
      </c>
      <c r="M163" s="4">
        <f t="shared" si="36"/>
        <v>0.753</v>
      </c>
      <c r="N163" s="13">
        <v>0.28947368421052633</v>
      </c>
    </row>
    <row r="164" spans="1:14">
      <c r="A164">
        <v>163</v>
      </c>
      <c r="B164">
        <v>-17.239000000000001</v>
      </c>
      <c r="C164">
        <v>6</v>
      </c>
      <c r="D164">
        <v>5</v>
      </c>
      <c r="E164" s="4">
        <f t="shared" si="31"/>
        <v>10</v>
      </c>
      <c r="F164" s="12">
        <v>358</v>
      </c>
      <c r="G164" s="12">
        <f t="shared" si="32"/>
        <v>10</v>
      </c>
      <c r="H164" s="12">
        <f t="shared" si="33"/>
        <v>35.9</v>
      </c>
      <c r="I164" s="12">
        <f t="shared" si="34"/>
        <v>2.7855153203342621E-2</v>
      </c>
      <c r="J164" s="13">
        <f t="shared" si="35"/>
        <v>0.97214484679665736</v>
      </c>
      <c r="L164">
        <v>-0.74299999999999999</v>
      </c>
      <c r="M164" s="4">
        <f t="shared" si="36"/>
        <v>0.74299999999999999</v>
      </c>
      <c r="N164" s="13">
        <v>0.48089171974522293</v>
      </c>
    </row>
    <row r="165" spans="1:14">
      <c r="A165">
        <v>164</v>
      </c>
      <c r="B165">
        <v>-2.2650000000000001</v>
      </c>
      <c r="C165">
        <v>1</v>
      </c>
      <c r="D165">
        <v>15</v>
      </c>
      <c r="E165" s="4">
        <f t="shared" si="31"/>
        <v>120</v>
      </c>
      <c r="F165" s="12">
        <v>359</v>
      </c>
      <c r="G165" s="12">
        <f t="shared" si="32"/>
        <v>120</v>
      </c>
      <c r="H165" s="12">
        <f t="shared" si="33"/>
        <v>3</v>
      </c>
      <c r="I165" s="12">
        <f t="shared" si="34"/>
        <v>0.33333333333333331</v>
      </c>
      <c r="J165" s="13">
        <f t="shared" si="35"/>
        <v>0.66666666666666674</v>
      </c>
      <c r="L165">
        <v>-0.74</v>
      </c>
      <c r="M165" s="4">
        <f t="shared" si="36"/>
        <v>0.74</v>
      </c>
      <c r="N165" s="13">
        <v>0.19607843137254899</v>
      </c>
    </row>
    <row r="166" spans="1:14">
      <c r="A166">
        <v>165</v>
      </c>
      <c r="B166">
        <v>-2.8530000000000002</v>
      </c>
      <c r="C166">
        <v>2</v>
      </c>
      <c r="D166">
        <v>5</v>
      </c>
      <c r="E166" s="4">
        <f t="shared" si="31"/>
        <v>112</v>
      </c>
      <c r="F166" s="12">
        <v>360</v>
      </c>
      <c r="G166" s="12">
        <f t="shared" si="32"/>
        <v>112</v>
      </c>
      <c r="H166" s="12">
        <f t="shared" si="33"/>
        <v>3.2232142857142856</v>
      </c>
      <c r="I166" s="12">
        <f t="shared" si="34"/>
        <v>0.31024930747922441</v>
      </c>
      <c r="J166" s="13">
        <f t="shared" si="35"/>
        <v>0.68975069252077559</v>
      </c>
      <c r="L166">
        <v>-0.72599999999999998</v>
      </c>
      <c r="M166" s="4">
        <f t="shared" si="36"/>
        <v>0.72599999999999998</v>
      </c>
      <c r="N166" s="13">
        <v>0.57800511508951402</v>
      </c>
    </row>
    <row r="167" spans="1:14">
      <c r="A167">
        <v>166</v>
      </c>
      <c r="B167">
        <v>-7.5780000000000003</v>
      </c>
      <c r="C167">
        <v>2</v>
      </c>
      <c r="D167">
        <v>7</v>
      </c>
      <c r="E167" s="4">
        <f t="shared" si="31"/>
        <v>47</v>
      </c>
      <c r="F167" s="12">
        <v>361</v>
      </c>
      <c r="G167" s="12">
        <f t="shared" si="32"/>
        <v>47</v>
      </c>
      <c r="H167" s="12">
        <f t="shared" si="33"/>
        <v>7.7021276595744679</v>
      </c>
      <c r="I167" s="12">
        <f t="shared" si="34"/>
        <v>0.12983425414364641</v>
      </c>
      <c r="J167" s="13">
        <f t="shared" si="35"/>
        <v>0.87016574585635365</v>
      </c>
      <c r="L167">
        <v>-0.68600000000000005</v>
      </c>
      <c r="M167" s="4">
        <f t="shared" si="36"/>
        <v>0.68600000000000005</v>
      </c>
      <c r="N167" s="13">
        <v>0.29059829059829057</v>
      </c>
    </row>
    <row r="168" spans="1:14">
      <c r="A168">
        <v>167</v>
      </c>
      <c r="B168">
        <v>-0.9</v>
      </c>
      <c r="C168">
        <v>1</v>
      </c>
      <c r="D168">
        <v>3</v>
      </c>
      <c r="E168" s="4">
        <f t="shared" si="31"/>
        <v>156</v>
      </c>
      <c r="F168" s="12">
        <v>362</v>
      </c>
      <c r="G168" s="12">
        <f t="shared" si="32"/>
        <v>156</v>
      </c>
      <c r="H168" s="12">
        <f t="shared" si="33"/>
        <v>2.3269230769230771</v>
      </c>
      <c r="I168" s="12">
        <f t="shared" si="34"/>
        <v>0.42975206611570244</v>
      </c>
      <c r="J168" s="13">
        <f t="shared" si="35"/>
        <v>0.57024793388429762</v>
      </c>
      <c r="L168">
        <v>-0.67600000000000005</v>
      </c>
      <c r="M168" s="4">
        <f t="shared" si="36"/>
        <v>0.67600000000000005</v>
      </c>
      <c r="N168" s="13">
        <v>0.23394495412844041</v>
      </c>
    </row>
    <row r="169" spans="1:14">
      <c r="A169">
        <v>168</v>
      </c>
      <c r="B169">
        <v>-7.8369999999999997</v>
      </c>
      <c r="C169">
        <v>5</v>
      </c>
      <c r="D169">
        <v>4</v>
      </c>
      <c r="E169" s="4">
        <f t="shared" si="31"/>
        <v>43</v>
      </c>
      <c r="F169" s="12">
        <v>363</v>
      </c>
      <c r="G169" s="12">
        <f t="shared" si="32"/>
        <v>43</v>
      </c>
      <c r="H169" s="12">
        <f t="shared" si="33"/>
        <v>8.4651162790697683</v>
      </c>
      <c r="I169" s="12">
        <f t="shared" si="34"/>
        <v>0.11813186813186811</v>
      </c>
      <c r="J169" s="13">
        <f t="shared" si="35"/>
        <v>0.88186813186813184</v>
      </c>
      <c r="L169">
        <v>-0.629</v>
      </c>
      <c r="M169" s="4">
        <f t="shared" si="36"/>
        <v>0.629</v>
      </c>
      <c r="N169" s="13">
        <v>0.47169811320754718</v>
      </c>
    </row>
    <row r="170" spans="1:14">
      <c r="A170">
        <v>169</v>
      </c>
      <c r="B170">
        <v>-0.28499999999999998</v>
      </c>
      <c r="C170">
        <v>1</v>
      </c>
      <c r="D170">
        <v>6</v>
      </c>
      <c r="E170" s="4">
        <f t="shared" si="31"/>
        <v>186</v>
      </c>
      <c r="F170" s="12">
        <v>364</v>
      </c>
      <c r="G170" s="12">
        <f t="shared" si="32"/>
        <v>186</v>
      </c>
      <c r="H170" s="12">
        <f t="shared" si="33"/>
        <v>1.9623655913978495</v>
      </c>
      <c r="I170" s="12">
        <f t="shared" si="34"/>
        <v>0.50958904109589043</v>
      </c>
      <c r="J170" s="13">
        <f t="shared" si="35"/>
        <v>0.49041095890410957</v>
      </c>
      <c r="L170">
        <v>-0.61199999999999999</v>
      </c>
      <c r="M170" s="4">
        <f t="shared" si="36"/>
        <v>0.61199999999999999</v>
      </c>
      <c r="N170" s="13">
        <v>0.4459016393442623</v>
      </c>
    </row>
    <row r="171" spans="1:14">
      <c r="A171">
        <v>170</v>
      </c>
      <c r="B171">
        <v>-5.0419999999999998</v>
      </c>
      <c r="C171">
        <v>2</v>
      </c>
      <c r="D171">
        <v>2</v>
      </c>
      <c r="E171" s="4">
        <f t="shared" si="31"/>
        <v>77</v>
      </c>
      <c r="F171" s="12">
        <v>365</v>
      </c>
      <c r="G171" s="12">
        <f t="shared" si="32"/>
        <v>77</v>
      </c>
      <c r="H171" s="12">
        <f t="shared" si="33"/>
        <v>4.7532467532467528</v>
      </c>
      <c r="I171" s="12">
        <f t="shared" si="34"/>
        <v>0.2103825136612022</v>
      </c>
      <c r="J171" s="13">
        <f t="shared" si="35"/>
        <v>0.7896174863387978</v>
      </c>
      <c r="L171">
        <v>-0.59799999999999998</v>
      </c>
      <c r="M171" s="4">
        <f t="shared" si="36"/>
        <v>0.59799999999999998</v>
      </c>
      <c r="N171" s="13">
        <v>0.46875</v>
      </c>
    </row>
    <row r="172" spans="1:14">
      <c r="A172">
        <v>171</v>
      </c>
      <c r="B172">
        <v>-1.6459999999999999</v>
      </c>
      <c r="C172">
        <v>1</v>
      </c>
      <c r="D172">
        <v>3</v>
      </c>
      <c r="E172" s="4">
        <f t="shared" si="31"/>
        <v>135</v>
      </c>
      <c r="F172" s="12">
        <v>366</v>
      </c>
      <c r="G172" s="12">
        <f t="shared" si="32"/>
        <v>135</v>
      </c>
      <c r="H172" s="12">
        <f t="shared" si="33"/>
        <v>2.7185185185185183</v>
      </c>
      <c r="I172" s="12">
        <f t="shared" si="34"/>
        <v>0.36784741144414174</v>
      </c>
      <c r="J172" s="13">
        <f t="shared" si="35"/>
        <v>0.63215258855585832</v>
      </c>
      <c r="L172">
        <v>-0.56100000000000005</v>
      </c>
      <c r="M172" s="4">
        <f t="shared" si="36"/>
        <v>0.56100000000000005</v>
      </c>
      <c r="N172" s="13">
        <v>0.42229729729729726</v>
      </c>
    </row>
    <row r="173" spans="1:14">
      <c r="A173">
        <v>172</v>
      </c>
      <c r="B173">
        <v>-0.51800000000000002</v>
      </c>
      <c r="C173">
        <v>1</v>
      </c>
      <c r="D173">
        <v>2</v>
      </c>
      <c r="E173" s="4">
        <f t="shared" si="31"/>
        <v>172</v>
      </c>
      <c r="F173" s="12">
        <v>367</v>
      </c>
      <c r="G173" s="12">
        <f t="shared" si="32"/>
        <v>172</v>
      </c>
      <c r="H173" s="12">
        <f t="shared" si="33"/>
        <v>2.13953488372093</v>
      </c>
      <c r="I173" s="12">
        <f t="shared" si="34"/>
        <v>0.46739130434782611</v>
      </c>
      <c r="J173" s="13">
        <f t="shared" si="35"/>
        <v>0.53260869565217384</v>
      </c>
      <c r="L173">
        <v>-0.51800000000000002</v>
      </c>
      <c r="M173" s="4">
        <f t="shared" si="36"/>
        <v>0.51800000000000002</v>
      </c>
      <c r="N173" s="13">
        <v>0.53260869565217384</v>
      </c>
    </row>
    <row r="174" spans="1:14">
      <c r="A174">
        <v>173</v>
      </c>
      <c r="B174">
        <v>-4.4160000000000004</v>
      </c>
      <c r="C174">
        <v>3</v>
      </c>
      <c r="D174">
        <v>3</v>
      </c>
      <c r="E174" s="4">
        <f t="shared" si="31"/>
        <v>87</v>
      </c>
      <c r="F174" s="12">
        <v>368</v>
      </c>
      <c r="G174" s="12">
        <f t="shared" si="32"/>
        <v>87</v>
      </c>
      <c r="H174" s="12">
        <f t="shared" si="33"/>
        <v>4.2413793103448274</v>
      </c>
      <c r="I174" s="12">
        <f t="shared" si="34"/>
        <v>0.23577235772357724</v>
      </c>
      <c r="J174" s="13">
        <f t="shared" si="35"/>
        <v>0.7642276422764227</v>
      </c>
      <c r="L174">
        <v>-0.441</v>
      </c>
      <c r="M174" s="4">
        <f t="shared" si="36"/>
        <v>0.441</v>
      </c>
      <c r="N174" s="13">
        <v>0.51540616246498594</v>
      </c>
    </row>
    <row r="175" spans="1:14">
      <c r="A175">
        <v>174</v>
      </c>
      <c r="B175">
        <v>-1.569</v>
      </c>
      <c r="C175">
        <v>1</v>
      </c>
      <c r="D175">
        <v>4</v>
      </c>
      <c r="E175" s="4">
        <f t="shared" si="31"/>
        <v>141</v>
      </c>
      <c r="F175" s="12">
        <v>369</v>
      </c>
      <c r="G175" s="12">
        <f t="shared" si="32"/>
        <v>141</v>
      </c>
      <c r="H175" s="12">
        <f t="shared" si="33"/>
        <v>2.624113475177305</v>
      </c>
      <c r="I175" s="12">
        <f t="shared" si="34"/>
        <v>0.38108108108108107</v>
      </c>
      <c r="J175" s="13">
        <f t="shared" si="35"/>
        <v>0.61891891891891893</v>
      </c>
      <c r="L175">
        <v>-0.42699999999999999</v>
      </c>
      <c r="M175" s="4">
        <f t="shared" si="36"/>
        <v>0.42699999999999999</v>
      </c>
      <c r="N175" s="13">
        <v>0.47112462006079026</v>
      </c>
    </row>
    <row r="176" spans="1:14">
      <c r="A176">
        <v>175</v>
      </c>
      <c r="B176">
        <v>-7.9190000000000005</v>
      </c>
      <c r="C176">
        <v>3</v>
      </c>
      <c r="D176">
        <v>3</v>
      </c>
      <c r="E176" s="4">
        <f t="shared" si="31"/>
        <v>42</v>
      </c>
      <c r="F176" s="12">
        <v>370</v>
      </c>
      <c r="G176" s="12">
        <f t="shared" si="32"/>
        <v>42</v>
      </c>
      <c r="H176" s="12">
        <f t="shared" si="33"/>
        <v>8.8333333333333339</v>
      </c>
      <c r="I176" s="12">
        <f t="shared" si="34"/>
        <v>0.11320754716981131</v>
      </c>
      <c r="J176" s="13">
        <f t="shared" si="35"/>
        <v>0.8867924528301887</v>
      </c>
      <c r="L176">
        <v>-0.42</v>
      </c>
      <c r="M176" s="4">
        <f t="shared" si="36"/>
        <v>0.42</v>
      </c>
      <c r="N176" s="13">
        <v>0.3902439024390244</v>
      </c>
    </row>
    <row r="177" spans="1:14">
      <c r="A177">
        <v>176</v>
      </c>
      <c r="B177">
        <v>-6.444</v>
      </c>
      <c r="C177">
        <v>1</v>
      </c>
      <c r="D177">
        <v>9</v>
      </c>
      <c r="E177" s="4">
        <f t="shared" si="31"/>
        <v>65</v>
      </c>
      <c r="F177" s="12">
        <v>371</v>
      </c>
      <c r="G177" s="12">
        <f t="shared" si="32"/>
        <v>65</v>
      </c>
      <c r="H177" s="12">
        <f t="shared" si="33"/>
        <v>5.7230769230769232</v>
      </c>
      <c r="I177" s="12">
        <f t="shared" si="34"/>
        <v>0.17473118279569891</v>
      </c>
      <c r="J177" s="13">
        <f t="shared" si="35"/>
        <v>0.82526881720430112</v>
      </c>
      <c r="L177">
        <v>-0.41699999999999998</v>
      </c>
      <c r="M177" s="4">
        <f t="shared" si="36"/>
        <v>0.41699999999999998</v>
      </c>
      <c r="N177" s="13">
        <v>0.53562005277044855</v>
      </c>
    </row>
    <row r="178" spans="1:14">
      <c r="A178">
        <v>177</v>
      </c>
      <c r="B178">
        <v>-0.20899999999999999</v>
      </c>
      <c r="C178">
        <v>1</v>
      </c>
      <c r="D178">
        <v>6</v>
      </c>
      <c r="E178" s="4">
        <f t="shared" si="31"/>
        <v>188</v>
      </c>
      <c r="F178" s="12">
        <v>372</v>
      </c>
      <c r="G178" s="12">
        <f t="shared" si="32"/>
        <v>188</v>
      </c>
      <c r="H178" s="12">
        <f t="shared" si="33"/>
        <v>1.9840425531914894</v>
      </c>
      <c r="I178" s="12">
        <f t="shared" si="34"/>
        <v>0.50402144772117963</v>
      </c>
      <c r="J178" s="13">
        <f t="shared" si="35"/>
        <v>0.49597855227882037</v>
      </c>
      <c r="L178">
        <v>-0.376</v>
      </c>
      <c r="M178" s="4">
        <f t="shared" si="36"/>
        <v>0.376</v>
      </c>
      <c r="N178" s="13">
        <v>0.47005988023952094</v>
      </c>
    </row>
    <row r="179" spans="1:14">
      <c r="A179">
        <v>178</v>
      </c>
      <c r="B179">
        <v>-2.673</v>
      </c>
      <c r="C179">
        <v>1</v>
      </c>
      <c r="D179">
        <v>3</v>
      </c>
      <c r="E179" s="4">
        <f t="shared" si="31"/>
        <v>115</v>
      </c>
      <c r="F179" s="12">
        <v>373</v>
      </c>
      <c r="G179" s="12">
        <f t="shared" si="32"/>
        <v>115</v>
      </c>
      <c r="H179" s="12">
        <f t="shared" si="33"/>
        <v>3.2521739130434781</v>
      </c>
      <c r="I179" s="12">
        <f t="shared" si="34"/>
        <v>0.30748663101604279</v>
      </c>
      <c r="J179" s="13">
        <f t="shared" si="35"/>
        <v>0.69251336898395721</v>
      </c>
      <c r="L179">
        <v>-0.375</v>
      </c>
      <c r="M179" s="4">
        <f t="shared" si="36"/>
        <v>0.375</v>
      </c>
      <c r="N179" s="13">
        <v>0.39249146757679176</v>
      </c>
    </row>
    <row r="180" spans="1:14">
      <c r="A180">
        <v>179</v>
      </c>
      <c r="B180">
        <v>-6.4749999999999996</v>
      </c>
      <c r="C180">
        <v>5</v>
      </c>
      <c r="D180">
        <v>2</v>
      </c>
      <c r="E180" s="4">
        <f t="shared" si="31"/>
        <v>64</v>
      </c>
      <c r="F180" s="12">
        <v>374</v>
      </c>
      <c r="G180" s="12">
        <f t="shared" si="32"/>
        <v>64</v>
      </c>
      <c r="H180" s="12">
        <f t="shared" si="33"/>
        <v>5.859375</v>
      </c>
      <c r="I180" s="12">
        <f t="shared" si="34"/>
        <v>0.17066666666666666</v>
      </c>
      <c r="J180" s="13">
        <f t="shared" si="35"/>
        <v>0.82933333333333337</v>
      </c>
      <c r="L180">
        <v>-0.373</v>
      </c>
      <c r="M180" s="4">
        <f t="shared" si="36"/>
        <v>0.373</v>
      </c>
      <c r="N180" s="13">
        <v>0.48563218390804597</v>
      </c>
    </row>
    <row r="181" spans="1:14">
      <c r="A181">
        <v>180</v>
      </c>
      <c r="B181">
        <v>-0.10199999999999999</v>
      </c>
      <c r="C181">
        <v>1</v>
      </c>
      <c r="D181">
        <v>7</v>
      </c>
      <c r="E181" s="4">
        <f t="shared" si="31"/>
        <v>193</v>
      </c>
      <c r="F181" s="12">
        <v>375</v>
      </c>
      <c r="G181" s="12">
        <f t="shared" si="32"/>
        <v>193</v>
      </c>
      <c r="H181" s="12">
        <f t="shared" si="33"/>
        <v>1.9481865284974094</v>
      </c>
      <c r="I181" s="12">
        <f t="shared" si="34"/>
        <v>0.51329787234042556</v>
      </c>
      <c r="J181" s="13">
        <f t="shared" si="35"/>
        <v>0.48670212765957444</v>
      </c>
      <c r="L181">
        <v>-0.371</v>
      </c>
      <c r="M181" s="4">
        <f t="shared" si="36"/>
        <v>0.371</v>
      </c>
      <c r="N181" s="13">
        <v>0.33333333333333337</v>
      </c>
    </row>
    <row r="182" spans="1:14">
      <c r="A182">
        <v>181</v>
      </c>
      <c r="B182">
        <v>-0.246</v>
      </c>
      <c r="C182">
        <v>1</v>
      </c>
      <c r="D182">
        <v>5</v>
      </c>
      <c r="E182" s="4">
        <f t="shared" si="31"/>
        <v>187</v>
      </c>
      <c r="F182" s="12">
        <v>376</v>
      </c>
      <c r="G182" s="12">
        <f t="shared" si="32"/>
        <v>187</v>
      </c>
      <c r="H182" s="12">
        <f t="shared" si="33"/>
        <v>2.0160427807486632</v>
      </c>
      <c r="I182" s="12">
        <f t="shared" si="34"/>
        <v>0.49602122015915118</v>
      </c>
      <c r="J182" s="13">
        <f t="shared" si="35"/>
        <v>0.50397877984084882</v>
      </c>
      <c r="L182">
        <v>-0.36299999999999999</v>
      </c>
      <c r="M182" s="4">
        <f t="shared" si="36"/>
        <v>0.36299999999999999</v>
      </c>
      <c r="N182" s="13">
        <v>0.52368421052631575</v>
      </c>
    </row>
    <row r="183" spans="1:14">
      <c r="A183">
        <v>182</v>
      </c>
      <c r="B183">
        <v>-18.978000000000002</v>
      </c>
      <c r="C183">
        <v>6</v>
      </c>
      <c r="D183">
        <v>3</v>
      </c>
      <c r="E183" s="4">
        <f t="shared" si="31"/>
        <v>8</v>
      </c>
      <c r="F183" s="12">
        <v>377</v>
      </c>
      <c r="G183" s="12">
        <f t="shared" si="32"/>
        <v>8</v>
      </c>
      <c r="H183" s="12">
        <f t="shared" si="33"/>
        <v>47.25</v>
      </c>
      <c r="I183" s="12">
        <f t="shared" si="34"/>
        <v>2.1164021164021163E-2</v>
      </c>
      <c r="J183" s="13">
        <f t="shared" si="35"/>
        <v>0.97883597883597884</v>
      </c>
      <c r="L183">
        <v>-0.36</v>
      </c>
      <c r="M183" s="4">
        <f t="shared" si="36"/>
        <v>0.36</v>
      </c>
      <c r="N183" s="13">
        <v>0.39333333333333331</v>
      </c>
    </row>
    <row r="184" spans="1:14">
      <c r="A184">
        <v>183</v>
      </c>
      <c r="B184">
        <v>-0.41699999999999998</v>
      </c>
      <c r="C184">
        <v>1</v>
      </c>
      <c r="D184">
        <v>8</v>
      </c>
      <c r="E184" s="4">
        <f t="shared" si="31"/>
        <v>176</v>
      </c>
      <c r="F184" s="12">
        <v>378</v>
      </c>
      <c r="G184" s="12">
        <f t="shared" si="32"/>
        <v>176</v>
      </c>
      <c r="H184" s="12">
        <f t="shared" si="33"/>
        <v>2.1534090909090908</v>
      </c>
      <c r="I184" s="12">
        <f t="shared" si="34"/>
        <v>0.46437994722955145</v>
      </c>
      <c r="J184" s="13">
        <f t="shared" si="35"/>
        <v>0.53562005277044855</v>
      </c>
      <c r="L184">
        <v>-0.34200000000000003</v>
      </c>
      <c r="M184" s="4">
        <f t="shared" si="36"/>
        <v>0.34200000000000003</v>
      </c>
      <c r="N184" s="13">
        <v>0.5234375</v>
      </c>
    </row>
    <row r="185" spans="1:14">
      <c r="A185">
        <v>184</v>
      </c>
      <c r="B185">
        <v>-0.36299999999999999</v>
      </c>
      <c r="C185">
        <v>1</v>
      </c>
      <c r="D185">
        <v>2</v>
      </c>
      <c r="E185" s="4">
        <f t="shared" si="31"/>
        <v>181</v>
      </c>
      <c r="F185" s="12">
        <v>379</v>
      </c>
      <c r="G185" s="12">
        <f t="shared" si="32"/>
        <v>181</v>
      </c>
      <c r="H185" s="12">
        <f t="shared" si="33"/>
        <v>2.0994475138121547</v>
      </c>
      <c r="I185" s="12">
        <f t="shared" si="34"/>
        <v>0.47631578947368419</v>
      </c>
      <c r="J185" s="13">
        <f t="shared" si="35"/>
        <v>0.52368421052631575</v>
      </c>
      <c r="L185">
        <v>-0.32400000000000001</v>
      </c>
      <c r="M185" s="4">
        <f t="shared" si="36"/>
        <v>0.32400000000000001</v>
      </c>
      <c r="N185" s="13">
        <v>0.32600732600732607</v>
      </c>
    </row>
    <row r="186" spans="1:14">
      <c r="A186">
        <v>185</v>
      </c>
      <c r="B186">
        <v>-4.609</v>
      </c>
      <c r="C186">
        <v>2</v>
      </c>
      <c r="D186">
        <v>2</v>
      </c>
      <c r="E186" s="4">
        <f t="shared" si="31"/>
        <v>82</v>
      </c>
      <c r="F186" s="12">
        <v>380</v>
      </c>
      <c r="G186" s="12">
        <f t="shared" si="32"/>
        <v>82</v>
      </c>
      <c r="H186" s="12">
        <f t="shared" si="33"/>
        <v>4.6463414634146343</v>
      </c>
      <c r="I186" s="12">
        <f t="shared" si="34"/>
        <v>0.21522309711286089</v>
      </c>
      <c r="J186" s="13">
        <f t="shared" si="35"/>
        <v>0.78477690288713908</v>
      </c>
      <c r="L186">
        <v>-0.312</v>
      </c>
      <c r="M186" s="4">
        <f t="shared" si="36"/>
        <v>0.312</v>
      </c>
      <c r="N186" s="13">
        <v>0.41455696202531644</v>
      </c>
    </row>
    <row r="187" spans="1:14">
      <c r="A187">
        <v>186</v>
      </c>
      <c r="B187">
        <v>-3.3540000000000001</v>
      </c>
      <c r="C187">
        <v>2</v>
      </c>
      <c r="D187">
        <v>3</v>
      </c>
      <c r="E187" s="4">
        <f t="shared" si="31"/>
        <v>104</v>
      </c>
      <c r="F187" s="12">
        <v>381</v>
      </c>
      <c r="G187" s="12">
        <f t="shared" si="32"/>
        <v>104</v>
      </c>
      <c r="H187" s="12">
        <f t="shared" si="33"/>
        <v>3.6730769230769229</v>
      </c>
      <c r="I187" s="12">
        <f t="shared" si="34"/>
        <v>0.27225130890052357</v>
      </c>
      <c r="J187" s="13">
        <f t="shared" si="35"/>
        <v>0.72774869109947637</v>
      </c>
      <c r="L187">
        <v>-0.28499999999999998</v>
      </c>
      <c r="M187" s="4">
        <f t="shared" si="36"/>
        <v>0.28499999999999998</v>
      </c>
      <c r="N187" s="13">
        <v>0.49041095890410957</v>
      </c>
    </row>
    <row r="188" spans="1:14">
      <c r="A188">
        <v>187</v>
      </c>
      <c r="B188">
        <v>-5.399</v>
      </c>
      <c r="C188">
        <v>2</v>
      </c>
      <c r="D188">
        <v>5</v>
      </c>
      <c r="E188" s="4">
        <f t="shared" si="31"/>
        <v>74</v>
      </c>
      <c r="F188" s="12">
        <v>382</v>
      </c>
      <c r="G188" s="12">
        <f t="shared" si="32"/>
        <v>74</v>
      </c>
      <c r="H188" s="12">
        <f t="shared" si="33"/>
        <v>5.1756756756756754</v>
      </c>
      <c r="I188" s="12">
        <f t="shared" si="34"/>
        <v>0.19321148825065276</v>
      </c>
      <c r="J188" s="13">
        <f t="shared" si="35"/>
        <v>0.80678851174934718</v>
      </c>
      <c r="L188">
        <v>-0.246</v>
      </c>
      <c r="M188" s="4">
        <f t="shared" si="36"/>
        <v>0.246</v>
      </c>
      <c r="N188" s="13">
        <v>0.50397877984084882</v>
      </c>
    </row>
    <row r="189" spans="1:14">
      <c r="A189">
        <v>188</v>
      </c>
      <c r="B189">
        <v>-0.34200000000000003</v>
      </c>
      <c r="C189">
        <v>1</v>
      </c>
      <c r="D189">
        <v>3</v>
      </c>
      <c r="E189" s="4">
        <f t="shared" si="31"/>
        <v>183</v>
      </c>
      <c r="F189" s="12">
        <v>383</v>
      </c>
      <c r="G189" s="12">
        <f t="shared" si="32"/>
        <v>183</v>
      </c>
      <c r="H189" s="12">
        <f t="shared" si="33"/>
        <v>2.098360655737705</v>
      </c>
      <c r="I189" s="12">
        <f t="shared" si="34"/>
        <v>0.4765625</v>
      </c>
      <c r="J189" s="13">
        <f t="shared" si="35"/>
        <v>0.5234375</v>
      </c>
      <c r="L189">
        <v>-0.20899999999999999</v>
      </c>
      <c r="M189" s="4">
        <f t="shared" si="36"/>
        <v>0.20899999999999999</v>
      </c>
      <c r="N189" s="13">
        <v>0.49597855227882037</v>
      </c>
    </row>
    <row r="190" spans="1:14">
      <c r="A190">
        <v>189</v>
      </c>
      <c r="B190">
        <v>-2.4350000000000001</v>
      </c>
      <c r="C190">
        <v>1</v>
      </c>
      <c r="D190">
        <v>4</v>
      </c>
      <c r="E190" s="4">
        <f t="shared" si="31"/>
        <v>117</v>
      </c>
      <c r="F190" s="12">
        <v>384</v>
      </c>
      <c r="G190" s="12">
        <f t="shared" si="32"/>
        <v>117</v>
      </c>
      <c r="H190" s="12">
        <f t="shared" si="33"/>
        <v>3.2905982905982905</v>
      </c>
      <c r="I190" s="12">
        <f t="shared" si="34"/>
        <v>0.30389610389610389</v>
      </c>
      <c r="J190" s="13">
        <f t="shared" si="35"/>
        <v>0.69610389610389611</v>
      </c>
      <c r="L190">
        <v>-0.192</v>
      </c>
      <c r="M190" s="4">
        <f t="shared" si="36"/>
        <v>0.192</v>
      </c>
      <c r="N190" s="13">
        <v>0.18181818181818188</v>
      </c>
    </row>
    <row r="191" spans="1:14">
      <c r="A191">
        <v>190</v>
      </c>
      <c r="B191">
        <v>-1.617</v>
      </c>
      <c r="C191">
        <v>1</v>
      </c>
      <c r="D191">
        <v>2</v>
      </c>
      <c r="E191" s="4">
        <f t="shared" si="31"/>
        <v>138</v>
      </c>
      <c r="F191" s="12">
        <v>385</v>
      </c>
      <c r="G191" s="12">
        <f t="shared" si="32"/>
        <v>138</v>
      </c>
      <c r="H191" s="12">
        <f t="shared" si="33"/>
        <v>2.7971014492753623</v>
      </c>
      <c r="I191" s="12">
        <f t="shared" si="34"/>
        <v>0.35751295336787564</v>
      </c>
      <c r="J191" s="13">
        <f t="shared" si="35"/>
        <v>0.64248704663212441</v>
      </c>
      <c r="L191">
        <v>-0.14599999999999999</v>
      </c>
      <c r="M191" s="4">
        <f t="shared" si="36"/>
        <v>0.14599999999999999</v>
      </c>
      <c r="N191" s="13">
        <v>0.41538461538461535</v>
      </c>
    </row>
    <row r="192" spans="1:14">
      <c r="A192">
        <v>191</v>
      </c>
      <c r="B192">
        <v>-2.0619999999999998</v>
      </c>
      <c r="C192">
        <v>1</v>
      </c>
      <c r="D192">
        <v>4</v>
      </c>
      <c r="E192" s="4">
        <f t="shared" si="31"/>
        <v>124</v>
      </c>
      <c r="F192" s="12">
        <v>386</v>
      </c>
      <c r="G192" s="12">
        <f t="shared" si="32"/>
        <v>124</v>
      </c>
      <c r="H192" s="12">
        <f t="shared" si="33"/>
        <v>3.120967741935484</v>
      </c>
      <c r="I192" s="12">
        <f t="shared" si="34"/>
        <v>0.32041343669250644</v>
      </c>
      <c r="J192" s="13">
        <f t="shared" si="35"/>
        <v>0.67958656330749356</v>
      </c>
      <c r="L192">
        <v>-0.13800000000000001</v>
      </c>
      <c r="M192" s="4">
        <f t="shared" si="36"/>
        <v>0.13800000000000001</v>
      </c>
      <c r="N192" s="13">
        <v>0.2204081632653061</v>
      </c>
    </row>
    <row r="193" spans="1:14">
      <c r="A193">
        <v>192</v>
      </c>
      <c r="B193">
        <v>-1.306</v>
      </c>
      <c r="C193">
        <v>1</v>
      </c>
      <c r="D193">
        <v>4</v>
      </c>
      <c r="E193" s="4">
        <f t="shared" si="31"/>
        <v>150</v>
      </c>
      <c r="F193" s="12">
        <v>387</v>
      </c>
      <c r="G193" s="12">
        <f t="shared" si="32"/>
        <v>150</v>
      </c>
      <c r="H193" s="12">
        <f t="shared" si="33"/>
        <v>2.5866666666666664</v>
      </c>
      <c r="I193" s="12">
        <f t="shared" si="34"/>
        <v>0.38659793814432991</v>
      </c>
      <c r="J193" s="13">
        <f t="shared" si="35"/>
        <v>0.61340206185567014</v>
      </c>
      <c r="L193">
        <v>-0.13200000000000001</v>
      </c>
      <c r="M193" s="4">
        <f t="shared" si="36"/>
        <v>0.13200000000000001</v>
      </c>
      <c r="N193" s="13">
        <v>6.796116504854377E-2</v>
      </c>
    </row>
    <row r="194" spans="1:14">
      <c r="A194">
        <v>193</v>
      </c>
      <c r="B194">
        <v>-1.619</v>
      </c>
      <c r="C194">
        <v>1</v>
      </c>
      <c r="D194">
        <v>8</v>
      </c>
      <c r="E194" s="4">
        <f t="shared" si="31"/>
        <v>137</v>
      </c>
      <c r="F194" s="12">
        <v>388</v>
      </c>
      <c r="G194" s="12">
        <f t="shared" si="32"/>
        <v>137</v>
      </c>
      <c r="H194" s="12">
        <f>(F194+1)/G194</f>
        <v>2.8394160583941606</v>
      </c>
      <c r="I194" s="12">
        <f>1/H194</f>
        <v>0.35218508997429304</v>
      </c>
      <c r="J194" s="13">
        <f>(1-I194)^$K$2</f>
        <v>0.6478149100257069</v>
      </c>
      <c r="L194">
        <v>-0.10199999999999999</v>
      </c>
      <c r="M194" s="4">
        <f>ABS(L194)</f>
        <v>0.10199999999999999</v>
      </c>
      <c r="N194" s="13">
        <v>0.48670212765957444</v>
      </c>
    </row>
    <row r="195" spans="1:14">
      <c r="A195">
        <v>194</v>
      </c>
      <c r="B195">
        <v>-4.101</v>
      </c>
      <c r="C195">
        <v>3</v>
      </c>
      <c r="D195">
        <v>2</v>
      </c>
      <c r="E195" s="4">
        <f t="shared" si="31"/>
        <v>90</v>
      </c>
      <c r="F195" s="12">
        <v>389</v>
      </c>
      <c r="G195" s="12">
        <f t="shared" si="32"/>
        <v>90</v>
      </c>
      <c r="H195" s="12">
        <f>(F195+1)/G195</f>
        <v>4.333333333333333</v>
      </c>
      <c r="I195" s="12">
        <f>1/H195</f>
        <v>0.23076923076923078</v>
      </c>
      <c r="J195" s="13">
        <f>(1-I195)^$K$2</f>
        <v>0.76923076923076916</v>
      </c>
      <c r="L195">
        <v>-8.9999999999999993E-3</v>
      </c>
      <c r="M195" s="4">
        <f>ABS(L195)</f>
        <v>8.9999999999999993E-3</v>
      </c>
      <c r="N195" s="13">
        <v>0.30960854092526691</v>
      </c>
    </row>
    <row r="196" spans="1:14">
      <c r="A196">
        <v>195</v>
      </c>
      <c r="B196">
        <v>-0.72599999999999998</v>
      </c>
      <c r="C196">
        <v>1</v>
      </c>
      <c r="D196">
        <v>5</v>
      </c>
      <c r="E196" s="4">
        <f t="shared" si="31"/>
        <v>165</v>
      </c>
      <c r="F196" s="12">
        <v>390</v>
      </c>
      <c r="G196" s="12">
        <f t="shared" si="32"/>
        <v>165</v>
      </c>
      <c r="H196" s="12">
        <f>(F196+1)/G196</f>
        <v>2.3696969696969696</v>
      </c>
      <c r="I196" s="12">
        <f>1/H196</f>
        <v>0.42199488491048592</v>
      </c>
      <c r="J196" s="13">
        <f>(1-I196)^$K$2</f>
        <v>0.57800511508951402</v>
      </c>
      <c r="L196">
        <v>-7.0000000000000001E-3</v>
      </c>
      <c r="M196" s="4">
        <f>ABS(L196)</f>
        <v>7.0000000000000001E-3</v>
      </c>
      <c r="N196" s="13">
        <v>0.30107526881720437</v>
      </c>
    </row>
  </sheetData>
  <pageMargins left="0.74791666666666667" right="0.74791666666666667" top="0.98402777777777772" bottom="0.98402777777777772" header="0.51180555555555551" footer="0.51180555555555551"/>
  <pageSetup firstPageNumber="0" orientation="portrait" horizontalDpi="300" verticalDpi="300"/>
  <headerFooter alignWithMargins="0"/>
  <drawing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8"/>
  <dimension ref="A1:M196"/>
  <sheetViews>
    <sheetView workbookViewId="0">
      <selection activeCell="E8" sqref="E8"/>
    </sheetView>
  </sheetViews>
  <sheetFormatPr defaultRowHeight="12.75"/>
  <cols>
    <col min="1" max="1" width="12" customWidth="1"/>
    <col min="4" max="4" width="13.5703125" customWidth="1"/>
    <col min="5" max="5" width="20.140625" customWidth="1"/>
    <col min="7" max="7" width="9.5703125" customWidth="1"/>
  </cols>
  <sheetData>
    <row r="1" spans="1:13">
      <c r="A1" t="s">
        <v>43</v>
      </c>
      <c r="B1" s="33" t="s">
        <v>38</v>
      </c>
      <c r="C1" s="33" t="s">
        <v>39</v>
      </c>
      <c r="D1" s="33" t="s">
        <v>44</v>
      </c>
      <c r="E1" s="33" t="s">
        <v>45</v>
      </c>
    </row>
    <row r="2" spans="1:13">
      <c r="A2">
        <v>1</v>
      </c>
      <c r="B2">
        <v>-0.755</v>
      </c>
      <c r="C2">
        <v>1</v>
      </c>
      <c r="D2">
        <v>19</v>
      </c>
      <c r="E2" s="4">
        <f t="shared" ref="E2:E33" si="0">RANK(B2,$B$2:$B$176,1)</f>
        <v>143</v>
      </c>
      <c r="G2" s="10" t="s">
        <v>48</v>
      </c>
      <c r="H2" s="10" t="s">
        <v>29</v>
      </c>
      <c r="I2" s="10" t="s">
        <v>30</v>
      </c>
      <c r="J2" s="10" t="s">
        <v>31</v>
      </c>
      <c r="K2" s="10" t="s">
        <v>32</v>
      </c>
      <c r="L2" s="10" t="s">
        <v>33</v>
      </c>
      <c r="M2" s="10" t="s">
        <v>34</v>
      </c>
    </row>
    <row r="3" spans="1:13">
      <c r="A3">
        <v>2</v>
      </c>
      <c r="B3">
        <v>-0.67600000000000005</v>
      </c>
      <c r="C3">
        <v>1</v>
      </c>
      <c r="D3">
        <v>14</v>
      </c>
      <c r="E3" s="4">
        <f t="shared" si="0"/>
        <v>148</v>
      </c>
      <c r="G3" s="11" t="s">
        <v>49</v>
      </c>
      <c r="H3" s="12">
        <v>196</v>
      </c>
      <c r="I3" s="12">
        <f>E163</f>
        <v>4</v>
      </c>
      <c r="J3" s="12">
        <f>(H3+1)/I3</f>
        <v>49.25</v>
      </c>
      <c r="K3" s="12">
        <f>1/J3</f>
        <v>2.030456852791878E-2</v>
      </c>
      <c r="L3" s="13">
        <f t="shared" ref="L3:L9" si="1">1-(1-$K$3)^M3</f>
        <v>2.0304568527918732E-2</v>
      </c>
      <c r="M3" s="14">
        <v>1</v>
      </c>
    </row>
    <row r="4" spans="1:13">
      <c r="A4">
        <v>3</v>
      </c>
      <c r="B4">
        <v>-7.6520000000000001</v>
      </c>
      <c r="C4">
        <v>5</v>
      </c>
      <c r="D4">
        <v>2</v>
      </c>
      <c r="E4" s="4">
        <f t="shared" si="0"/>
        <v>36</v>
      </c>
      <c r="G4" s="15"/>
      <c r="H4" s="16"/>
      <c r="I4" s="16"/>
      <c r="J4" s="16"/>
      <c r="K4" s="16"/>
      <c r="L4" s="13">
        <f t="shared" si="1"/>
        <v>9.7482951966333276E-2</v>
      </c>
      <c r="M4" s="18">
        <v>5</v>
      </c>
    </row>
    <row r="5" spans="1:13">
      <c r="A5">
        <v>4</v>
      </c>
      <c r="B5">
        <v>-4.5460000000000003</v>
      </c>
      <c r="C5">
        <v>4</v>
      </c>
      <c r="D5">
        <v>9</v>
      </c>
      <c r="E5" s="4">
        <f t="shared" si="0"/>
        <v>68</v>
      </c>
      <c r="G5" s="15"/>
      <c r="H5" s="16"/>
      <c r="I5" s="16"/>
      <c r="J5" s="16"/>
      <c r="K5" s="16"/>
      <c r="L5" s="13">
        <f t="shared" si="1"/>
        <v>0.18546297800859612</v>
      </c>
      <c r="M5" s="18">
        <v>10</v>
      </c>
    </row>
    <row r="6" spans="1:13">
      <c r="A6">
        <v>5</v>
      </c>
      <c r="B6">
        <v>-16.47</v>
      </c>
      <c r="C6">
        <v>7</v>
      </c>
      <c r="D6">
        <v>6</v>
      </c>
      <c r="E6" s="4">
        <f t="shared" si="0"/>
        <v>7</v>
      </c>
      <c r="G6" s="15"/>
      <c r="H6" s="16"/>
      <c r="I6" s="16"/>
      <c r="J6" s="16"/>
      <c r="K6" s="16"/>
      <c r="L6" s="13">
        <f t="shared" si="1"/>
        <v>0.3365294398053752</v>
      </c>
      <c r="M6" s="18">
        <v>20</v>
      </c>
    </row>
    <row r="7" spans="1:13">
      <c r="A7">
        <v>6</v>
      </c>
      <c r="B7">
        <v>-27.78</v>
      </c>
      <c r="C7">
        <v>11</v>
      </c>
      <c r="D7">
        <v>9</v>
      </c>
      <c r="E7" s="4">
        <f t="shared" si="0"/>
        <v>2</v>
      </c>
      <c r="G7" s="15"/>
      <c r="H7" s="16"/>
      <c r="I7" s="16"/>
      <c r="J7" s="16"/>
      <c r="K7" s="16"/>
      <c r="L7" s="13">
        <f t="shared" si="1"/>
        <v>0.45957866572010186</v>
      </c>
      <c r="M7" s="20">
        <v>30</v>
      </c>
    </row>
    <row r="8" spans="1:13">
      <c r="A8">
        <v>7</v>
      </c>
      <c r="B8">
        <v>-13.637</v>
      </c>
      <c r="C8">
        <v>6</v>
      </c>
      <c r="D8">
        <v>14</v>
      </c>
      <c r="E8" s="4">
        <f t="shared" si="0"/>
        <v>12</v>
      </c>
      <c r="G8" s="15"/>
      <c r="H8" s="16"/>
      <c r="I8" s="16"/>
      <c r="J8" s="16"/>
      <c r="K8" s="16"/>
      <c r="L8" s="13">
        <f t="shared" si="1"/>
        <v>0.64144635460418942</v>
      </c>
      <c r="M8" s="22">
        <v>50</v>
      </c>
    </row>
    <row r="9" spans="1:13">
      <c r="A9">
        <v>8</v>
      </c>
      <c r="B9">
        <v>-17.312000000000001</v>
      </c>
      <c r="C9">
        <v>6</v>
      </c>
      <c r="D9">
        <v>8</v>
      </c>
      <c r="E9" s="4">
        <f t="shared" si="0"/>
        <v>5</v>
      </c>
      <c r="G9" s="23"/>
      <c r="H9" s="24"/>
      <c r="I9" s="24"/>
      <c r="J9" s="24"/>
      <c r="K9" s="24"/>
      <c r="L9" s="13">
        <f t="shared" si="1"/>
        <v>0.87143928337337528</v>
      </c>
      <c r="M9" s="26">
        <v>100</v>
      </c>
    </row>
    <row r="10" spans="1:13">
      <c r="A10">
        <v>9</v>
      </c>
      <c r="B10">
        <v>-19.756999999999998</v>
      </c>
      <c r="C10">
        <v>7</v>
      </c>
      <c r="D10">
        <v>7</v>
      </c>
      <c r="E10" s="4">
        <f t="shared" si="0"/>
        <v>3</v>
      </c>
    </row>
    <row r="11" spans="1:13">
      <c r="A11">
        <v>10</v>
      </c>
      <c r="B11">
        <v>-12.442000000000002</v>
      </c>
      <c r="C11">
        <v>8</v>
      </c>
      <c r="D11">
        <v>8</v>
      </c>
      <c r="E11" s="4">
        <f t="shared" si="0"/>
        <v>14</v>
      </c>
    </row>
    <row r="12" spans="1:13">
      <c r="A12">
        <v>11</v>
      </c>
      <c r="B12">
        <v>-10.241</v>
      </c>
      <c r="C12">
        <v>3</v>
      </c>
      <c r="D12">
        <v>10</v>
      </c>
      <c r="E12" s="4">
        <f t="shared" si="0"/>
        <v>22</v>
      </c>
    </row>
    <row r="13" spans="1:13">
      <c r="A13">
        <v>12</v>
      </c>
      <c r="B13">
        <v>-0.753</v>
      </c>
      <c r="C13">
        <v>1</v>
      </c>
      <c r="D13">
        <v>4</v>
      </c>
      <c r="E13" s="4">
        <f t="shared" si="0"/>
        <v>144</v>
      </c>
    </row>
    <row r="14" spans="1:13">
      <c r="A14">
        <v>13</v>
      </c>
      <c r="B14">
        <v>-1.3220000000000001</v>
      </c>
      <c r="C14">
        <v>2</v>
      </c>
      <c r="D14">
        <v>2</v>
      </c>
      <c r="E14" s="4">
        <f t="shared" si="0"/>
        <v>130</v>
      </c>
    </row>
    <row r="15" spans="1:13">
      <c r="A15">
        <v>14</v>
      </c>
      <c r="B15">
        <v>-3.234</v>
      </c>
      <c r="C15">
        <v>2</v>
      </c>
      <c r="D15">
        <v>9</v>
      </c>
      <c r="E15" s="4">
        <f t="shared" si="0"/>
        <v>90</v>
      </c>
    </row>
    <row r="16" spans="1:13">
      <c r="A16">
        <v>15</v>
      </c>
      <c r="B16">
        <v>-0.192</v>
      </c>
      <c r="C16">
        <v>1</v>
      </c>
      <c r="D16">
        <v>3</v>
      </c>
      <c r="E16" s="4">
        <f t="shared" si="0"/>
        <v>170</v>
      </c>
    </row>
    <row r="17" spans="1:5">
      <c r="A17">
        <v>16</v>
      </c>
      <c r="B17">
        <v>-8.6339999999999986</v>
      </c>
      <c r="C17">
        <v>4</v>
      </c>
      <c r="D17">
        <v>2</v>
      </c>
      <c r="E17" s="4">
        <f t="shared" si="0"/>
        <v>29</v>
      </c>
    </row>
    <row r="18" spans="1:5">
      <c r="A18">
        <v>17</v>
      </c>
      <c r="B18">
        <v>-1.7250000000000001</v>
      </c>
      <c r="C18">
        <v>1</v>
      </c>
      <c r="D18">
        <v>5</v>
      </c>
      <c r="E18" s="4">
        <f t="shared" si="0"/>
        <v>113</v>
      </c>
    </row>
    <row r="19" spans="1:5">
      <c r="A19">
        <v>18</v>
      </c>
      <c r="B19">
        <v>-0.68600000000000005</v>
      </c>
      <c r="C19">
        <v>1</v>
      </c>
      <c r="D19">
        <v>2</v>
      </c>
      <c r="E19" s="4">
        <f t="shared" si="0"/>
        <v>147</v>
      </c>
    </row>
    <row r="20" spans="1:5">
      <c r="A20">
        <v>19</v>
      </c>
      <c r="B20">
        <v>-1.583</v>
      </c>
      <c r="C20">
        <v>1</v>
      </c>
      <c r="D20">
        <v>2</v>
      </c>
      <c r="E20" s="4">
        <f t="shared" si="0"/>
        <v>122</v>
      </c>
    </row>
    <row r="21" spans="1:5">
      <c r="A21">
        <v>20</v>
      </c>
      <c r="B21">
        <v>-4.7089999999999996</v>
      </c>
      <c r="C21">
        <v>3</v>
      </c>
      <c r="D21">
        <v>4</v>
      </c>
      <c r="E21" s="4">
        <f t="shared" si="0"/>
        <v>64</v>
      </c>
    </row>
    <row r="22" spans="1:5">
      <c r="A22">
        <v>21</v>
      </c>
      <c r="B22">
        <v>-11.071</v>
      </c>
      <c r="C22">
        <v>4</v>
      </c>
      <c r="D22">
        <v>4</v>
      </c>
      <c r="E22" s="4">
        <f t="shared" si="0"/>
        <v>19</v>
      </c>
    </row>
    <row r="23" spans="1:5">
      <c r="A23">
        <v>22</v>
      </c>
      <c r="B23">
        <v>-3.64</v>
      </c>
      <c r="C23">
        <v>2</v>
      </c>
      <c r="D23">
        <v>5</v>
      </c>
      <c r="E23" s="4">
        <f t="shared" si="0"/>
        <v>82</v>
      </c>
    </row>
    <row r="24" spans="1:5">
      <c r="A24">
        <v>23</v>
      </c>
      <c r="B24">
        <v>-7.2539999999999996</v>
      </c>
      <c r="C24">
        <v>5</v>
      </c>
      <c r="D24">
        <v>3</v>
      </c>
      <c r="E24" s="4">
        <f t="shared" si="0"/>
        <v>39</v>
      </c>
    </row>
    <row r="25" spans="1:5">
      <c r="A25">
        <v>24</v>
      </c>
      <c r="B25">
        <v>-8.8840000000000003</v>
      </c>
      <c r="C25">
        <v>4</v>
      </c>
      <c r="D25">
        <v>6</v>
      </c>
      <c r="E25" s="4">
        <f t="shared" si="0"/>
        <v>24</v>
      </c>
    </row>
    <row r="26" spans="1:5">
      <c r="A26">
        <v>25</v>
      </c>
      <c r="B26">
        <v>-1.5640000000000001</v>
      </c>
      <c r="C26">
        <v>1</v>
      </c>
      <c r="D26">
        <v>5</v>
      </c>
      <c r="E26" s="4">
        <f t="shared" si="0"/>
        <v>124</v>
      </c>
    </row>
    <row r="27" spans="1:5">
      <c r="A27">
        <v>26</v>
      </c>
      <c r="B27">
        <v>-8.1109999999999989</v>
      </c>
      <c r="C27">
        <v>3</v>
      </c>
      <c r="D27">
        <v>5</v>
      </c>
      <c r="E27" s="4">
        <f t="shared" si="0"/>
        <v>31</v>
      </c>
    </row>
    <row r="28" spans="1:5">
      <c r="A28">
        <v>27</v>
      </c>
      <c r="B28">
        <v>-4.0609999999999999</v>
      </c>
      <c r="C28">
        <v>2</v>
      </c>
      <c r="D28">
        <v>4</v>
      </c>
      <c r="E28" s="4">
        <f t="shared" si="0"/>
        <v>75</v>
      </c>
    </row>
    <row r="29" spans="1:5">
      <c r="A29">
        <v>28</v>
      </c>
      <c r="B29">
        <v>-1.32</v>
      </c>
      <c r="C29">
        <v>1</v>
      </c>
      <c r="D29">
        <v>3</v>
      </c>
      <c r="E29" s="4">
        <f t="shared" si="0"/>
        <v>131</v>
      </c>
    </row>
    <row r="30" spans="1:5">
      <c r="A30">
        <v>29</v>
      </c>
      <c r="B30">
        <v>-0.13800000000000001</v>
      </c>
      <c r="C30">
        <v>1</v>
      </c>
      <c r="D30">
        <v>3</v>
      </c>
      <c r="E30" s="4">
        <f t="shared" si="0"/>
        <v>172</v>
      </c>
    </row>
    <row r="31" spans="1:5">
      <c r="A31">
        <v>30</v>
      </c>
      <c r="B31">
        <v>-2.992</v>
      </c>
      <c r="C31">
        <v>3</v>
      </c>
      <c r="D31">
        <v>2</v>
      </c>
      <c r="E31" s="4">
        <f t="shared" si="0"/>
        <v>93</v>
      </c>
    </row>
    <row r="32" spans="1:5">
      <c r="A32">
        <v>31</v>
      </c>
      <c r="B32">
        <v>-1.8660000000000001</v>
      </c>
      <c r="C32">
        <v>1</v>
      </c>
      <c r="D32">
        <v>9</v>
      </c>
      <c r="E32" s="4">
        <f t="shared" si="0"/>
        <v>109</v>
      </c>
    </row>
    <row r="33" spans="1:5">
      <c r="A33">
        <v>32</v>
      </c>
      <c r="B33">
        <v>-7.1280000000000001</v>
      </c>
      <c r="C33">
        <v>3</v>
      </c>
      <c r="D33">
        <v>9</v>
      </c>
      <c r="E33" s="4">
        <f t="shared" si="0"/>
        <v>41</v>
      </c>
    </row>
    <row r="34" spans="1:5">
      <c r="A34">
        <v>33</v>
      </c>
      <c r="B34">
        <v>-10.96</v>
      </c>
      <c r="C34">
        <v>7</v>
      </c>
      <c r="D34">
        <v>4</v>
      </c>
      <c r="E34" s="4">
        <f t="shared" ref="E34:E65" si="2">RANK(B34,$B$2:$B$176,1)</f>
        <v>20</v>
      </c>
    </row>
    <row r="35" spans="1:5">
      <c r="A35">
        <v>34</v>
      </c>
      <c r="B35">
        <v>-2.3149999999999999</v>
      </c>
      <c r="C35">
        <v>1</v>
      </c>
      <c r="D35">
        <v>9</v>
      </c>
      <c r="E35" s="4">
        <f t="shared" si="2"/>
        <v>101</v>
      </c>
    </row>
    <row r="36" spans="1:5">
      <c r="A36">
        <v>35</v>
      </c>
      <c r="B36">
        <v>-4.8079999999999998</v>
      </c>
      <c r="C36">
        <v>2</v>
      </c>
      <c r="D36">
        <v>2</v>
      </c>
      <c r="E36" s="4">
        <f t="shared" si="2"/>
        <v>63</v>
      </c>
    </row>
    <row r="37" spans="1:5">
      <c r="A37">
        <v>36</v>
      </c>
      <c r="B37">
        <v>-8.4130000000000003</v>
      </c>
      <c r="C37">
        <v>4</v>
      </c>
      <c r="D37">
        <v>4</v>
      </c>
      <c r="E37" s="4">
        <f t="shared" si="2"/>
        <v>30</v>
      </c>
    </row>
    <row r="38" spans="1:5">
      <c r="A38">
        <v>37</v>
      </c>
      <c r="B38">
        <v>-11.102</v>
      </c>
      <c r="C38">
        <v>4</v>
      </c>
      <c r="D38">
        <v>5</v>
      </c>
      <c r="E38" s="4">
        <f t="shared" si="2"/>
        <v>18</v>
      </c>
    </row>
    <row r="39" spans="1:5">
      <c r="A39">
        <v>38</v>
      </c>
      <c r="B39">
        <v>-6.3220000000000001</v>
      </c>
      <c r="C39">
        <v>3</v>
      </c>
      <c r="D39">
        <v>5</v>
      </c>
      <c r="E39" s="4">
        <f t="shared" si="2"/>
        <v>53</v>
      </c>
    </row>
    <row r="40" spans="1:5">
      <c r="A40">
        <v>39</v>
      </c>
      <c r="B40">
        <v>-1.1870000000000001</v>
      </c>
      <c r="C40">
        <v>2</v>
      </c>
      <c r="D40">
        <v>4</v>
      </c>
      <c r="E40" s="4">
        <f t="shared" si="2"/>
        <v>134</v>
      </c>
    </row>
    <row r="41" spans="1:5">
      <c r="A41">
        <v>40</v>
      </c>
      <c r="B41">
        <v>-6.8009999999999993</v>
      </c>
      <c r="C41">
        <v>4</v>
      </c>
      <c r="D41">
        <v>3</v>
      </c>
      <c r="E41" s="4">
        <f t="shared" si="2"/>
        <v>45</v>
      </c>
    </row>
    <row r="42" spans="1:5">
      <c r="A42">
        <v>41</v>
      </c>
      <c r="B42">
        <v>-5.9559999999999995</v>
      </c>
      <c r="C42">
        <v>2</v>
      </c>
      <c r="D42">
        <v>5</v>
      </c>
      <c r="E42" s="4">
        <f t="shared" si="2"/>
        <v>55</v>
      </c>
    </row>
    <row r="43" spans="1:5">
      <c r="A43">
        <v>42</v>
      </c>
      <c r="B43">
        <v>-1.0029999999999999</v>
      </c>
      <c r="C43">
        <v>1</v>
      </c>
      <c r="D43">
        <v>4</v>
      </c>
      <c r="E43" s="4">
        <f t="shared" si="2"/>
        <v>136</v>
      </c>
    </row>
    <row r="44" spans="1:5">
      <c r="A44">
        <v>43</v>
      </c>
      <c r="B44">
        <v>-1.5489999999999999</v>
      </c>
      <c r="C44">
        <v>2</v>
      </c>
      <c r="D44">
        <v>2</v>
      </c>
      <c r="E44" s="4">
        <f t="shared" si="2"/>
        <v>125</v>
      </c>
    </row>
    <row r="45" spans="1:5">
      <c r="A45">
        <v>44</v>
      </c>
      <c r="B45">
        <v>-1.018</v>
      </c>
      <c r="C45">
        <v>1</v>
      </c>
      <c r="D45">
        <v>5</v>
      </c>
      <c r="E45" s="4">
        <f t="shared" si="2"/>
        <v>135</v>
      </c>
    </row>
    <row r="46" spans="1:5">
      <c r="A46">
        <v>45</v>
      </c>
      <c r="B46">
        <v>-2.246</v>
      </c>
      <c r="C46">
        <v>3</v>
      </c>
      <c r="D46">
        <v>3</v>
      </c>
      <c r="E46" s="4">
        <f t="shared" si="2"/>
        <v>104</v>
      </c>
    </row>
    <row r="47" spans="1:5">
      <c r="A47">
        <v>46</v>
      </c>
      <c r="B47">
        <v>-1.6</v>
      </c>
      <c r="C47">
        <v>2</v>
      </c>
      <c r="D47">
        <v>4</v>
      </c>
      <c r="E47" s="4">
        <f t="shared" si="2"/>
        <v>121</v>
      </c>
    </row>
    <row r="48" spans="1:5">
      <c r="A48">
        <v>47</v>
      </c>
      <c r="B48">
        <v>-6.4770000000000003</v>
      </c>
      <c r="C48">
        <v>3</v>
      </c>
      <c r="D48">
        <v>6</v>
      </c>
      <c r="E48" s="4">
        <f t="shared" si="2"/>
        <v>50</v>
      </c>
    </row>
    <row r="49" spans="1:5">
      <c r="A49">
        <v>48</v>
      </c>
      <c r="B49">
        <v>-2.2959999999999998</v>
      </c>
      <c r="C49">
        <v>1</v>
      </c>
      <c r="D49">
        <v>5</v>
      </c>
      <c r="E49" s="4">
        <f t="shared" si="2"/>
        <v>102</v>
      </c>
    </row>
    <row r="50" spans="1:5">
      <c r="A50">
        <v>49</v>
      </c>
      <c r="B50">
        <v>-1.544</v>
      </c>
      <c r="C50">
        <v>2</v>
      </c>
      <c r="D50">
        <v>3</v>
      </c>
      <c r="E50" s="4">
        <f t="shared" si="2"/>
        <v>126</v>
      </c>
    </row>
    <row r="51" spans="1:5">
      <c r="A51">
        <v>50</v>
      </c>
      <c r="B51">
        <v>-7.1870000000000003</v>
      </c>
      <c r="C51">
        <v>2</v>
      </c>
      <c r="D51">
        <v>3</v>
      </c>
      <c r="E51" s="4">
        <f t="shared" si="2"/>
        <v>40</v>
      </c>
    </row>
    <row r="52" spans="1:5">
      <c r="A52">
        <v>51</v>
      </c>
      <c r="B52">
        <v>-3.948</v>
      </c>
      <c r="C52">
        <v>2</v>
      </c>
      <c r="D52">
        <v>3</v>
      </c>
      <c r="E52" s="4">
        <f t="shared" si="2"/>
        <v>79</v>
      </c>
    </row>
    <row r="53" spans="1:5">
      <c r="A53">
        <v>52</v>
      </c>
      <c r="B53">
        <v>-2.5219999999999998</v>
      </c>
      <c r="C53">
        <v>1</v>
      </c>
      <c r="D53">
        <v>3</v>
      </c>
      <c r="E53" s="4">
        <f t="shared" si="2"/>
        <v>99</v>
      </c>
    </row>
    <row r="54" spans="1:5">
      <c r="A54">
        <v>53</v>
      </c>
      <c r="B54">
        <v>-2.8970000000000002</v>
      </c>
      <c r="C54">
        <v>2</v>
      </c>
      <c r="D54">
        <v>3</v>
      </c>
      <c r="E54" s="4">
        <f t="shared" si="2"/>
        <v>94</v>
      </c>
    </row>
    <row r="55" spans="1:5">
      <c r="A55">
        <v>54</v>
      </c>
      <c r="B55">
        <v>-0.371</v>
      </c>
      <c r="C55">
        <v>1</v>
      </c>
      <c r="D55">
        <v>3</v>
      </c>
      <c r="E55" s="4">
        <f t="shared" si="2"/>
        <v>161</v>
      </c>
    </row>
    <row r="56" spans="1:5">
      <c r="A56">
        <v>55</v>
      </c>
      <c r="B56">
        <v>-4.04</v>
      </c>
      <c r="C56">
        <v>2</v>
      </c>
      <c r="D56">
        <v>3</v>
      </c>
      <c r="E56" s="4">
        <f t="shared" si="2"/>
        <v>76</v>
      </c>
    </row>
    <row r="57" spans="1:5">
      <c r="A57">
        <v>56</v>
      </c>
      <c r="B57">
        <v>-0.88600000000000001</v>
      </c>
      <c r="C57">
        <v>1</v>
      </c>
      <c r="D57">
        <v>4</v>
      </c>
      <c r="E57" s="4">
        <f t="shared" si="2"/>
        <v>140</v>
      </c>
    </row>
    <row r="58" spans="1:5">
      <c r="A58">
        <v>57</v>
      </c>
      <c r="B58">
        <v>-0.32400000000000001</v>
      </c>
      <c r="C58">
        <v>1</v>
      </c>
      <c r="D58">
        <v>2</v>
      </c>
      <c r="E58" s="4">
        <f t="shared" si="2"/>
        <v>165</v>
      </c>
    </row>
    <row r="59" spans="1:5">
      <c r="A59">
        <v>58</v>
      </c>
      <c r="B59">
        <v>-11.140999999999998</v>
      </c>
      <c r="C59">
        <v>4</v>
      </c>
      <c r="D59">
        <v>2</v>
      </c>
      <c r="E59" s="4">
        <f t="shared" si="2"/>
        <v>17</v>
      </c>
    </row>
    <row r="60" spans="1:5">
      <c r="A60">
        <v>59</v>
      </c>
      <c r="B60">
        <v>-4.3209999999999997</v>
      </c>
      <c r="C60">
        <v>2</v>
      </c>
      <c r="D60">
        <v>6</v>
      </c>
      <c r="E60" s="4">
        <f t="shared" si="2"/>
        <v>71</v>
      </c>
    </row>
    <row r="61" spans="1:5">
      <c r="A61">
        <v>60</v>
      </c>
      <c r="B61">
        <v>-29.376999999999999</v>
      </c>
      <c r="C61">
        <v>11</v>
      </c>
      <c r="D61">
        <v>3</v>
      </c>
      <c r="E61" s="4">
        <f t="shared" si="2"/>
        <v>1</v>
      </c>
    </row>
    <row r="62" spans="1:5">
      <c r="A62">
        <v>61</v>
      </c>
      <c r="B62">
        <v>-11.721</v>
      </c>
      <c r="C62">
        <v>6</v>
      </c>
      <c r="D62">
        <v>15</v>
      </c>
      <c r="E62" s="4">
        <f t="shared" si="2"/>
        <v>15</v>
      </c>
    </row>
    <row r="63" spans="1:5">
      <c r="A63">
        <v>62</v>
      </c>
      <c r="B63">
        <v>-2.089</v>
      </c>
      <c r="C63">
        <v>1</v>
      </c>
      <c r="D63">
        <v>13</v>
      </c>
      <c r="E63" s="4">
        <f t="shared" si="2"/>
        <v>106</v>
      </c>
    </row>
    <row r="64" spans="1:5">
      <c r="A64">
        <v>63</v>
      </c>
      <c r="B64">
        <v>-7.0000000000000001E-3</v>
      </c>
      <c r="C64">
        <v>1</v>
      </c>
      <c r="D64">
        <v>2</v>
      </c>
      <c r="E64" s="4">
        <f t="shared" si="2"/>
        <v>175</v>
      </c>
    </row>
    <row r="65" spans="1:5">
      <c r="A65">
        <v>64</v>
      </c>
      <c r="B65">
        <v>-3.6629999999999998</v>
      </c>
      <c r="C65">
        <v>3</v>
      </c>
      <c r="D65">
        <v>5</v>
      </c>
      <c r="E65" s="4">
        <f t="shared" si="2"/>
        <v>81</v>
      </c>
    </row>
    <row r="66" spans="1:5">
      <c r="A66">
        <v>65</v>
      </c>
      <c r="B66">
        <v>-8.9999999999999993E-3</v>
      </c>
      <c r="C66">
        <v>1</v>
      </c>
      <c r="D66">
        <v>4</v>
      </c>
      <c r="E66" s="4">
        <f t="shared" ref="E66:E97" si="3">RANK(B66,$B$2:$B$176,1)</f>
        <v>174</v>
      </c>
    </row>
    <row r="67" spans="1:5">
      <c r="A67">
        <v>66</v>
      </c>
      <c r="B67">
        <v>-8.7859999999999996</v>
      </c>
      <c r="C67">
        <v>2</v>
      </c>
      <c r="D67">
        <v>4</v>
      </c>
      <c r="E67" s="4">
        <f t="shared" si="3"/>
        <v>27</v>
      </c>
    </row>
    <row r="68" spans="1:5">
      <c r="A68">
        <v>67</v>
      </c>
      <c r="B68">
        <v>-12.855</v>
      </c>
      <c r="C68">
        <v>7</v>
      </c>
      <c r="D68">
        <v>5</v>
      </c>
      <c r="E68" s="4">
        <f t="shared" si="3"/>
        <v>13</v>
      </c>
    </row>
    <row r="69" spans="1:5">
      <c r="A69">
        <v>68</v>
      </c>
      <c r="B69">
        <v>-6.7930000000000001</v>
      </c>
      <c r="C69">
        <v>3</v>
      </c>
      <c r="D69">
        <v>9</v>
      </c>
      <c r="E69" s="4">
        <f t="shared" si="3"/>
        <v>46</v>
      </c>
    </row>
    <row r="70" spans="1:5">
      <c r="A70">
        <v>69</v>
      </c>
      <c r="B70">
        <v>-1.2210000000000001</v>
      </c>
      <c r="C70">
        <v>3</v>
      </c>
      <c r="D70">
        <v>4</v>
      </c>
      <c r="E70" s="4">
        <f t="shared" si="3"/>
        <v>133</v>
      </c>
    </row>
    <row r="71" spans="1:5">
      <c r="A71">
        <v>70</v>
      </c>
      <c r="B71">
        <v>-0.78500000000000003</v>
      </c>
      <c r="C71">
        <v>1</v>
      </c>
      <c r="D71">
        <v>4</v>
      </c>
      <c r="E71" s="4">
        <f t="shared" si="3"/>
        <v>142</v>
      </c>
    </row>
    <row r="72" spans="1:5">
      <c r="A72">
        <v>71</v>
      </c>
      <c r="B72">
        <v>-0.42</v>
      </c>
      <c r="C72">
        <v>1</v>
      </c>
      <c r="D72">
        <v>3</v>
      </c>
      <c r="E72" s="4">
        <f t="shared" si="3"/>
        <v>156</v>
      </c>
    </row>
    <row r="73" spans="1:5">
      <c r="A73">
        <v>72</v>
      </c>
      <c r="B73">
        <v>-5.7210000000000001</v>
      </c>
      <c r="C73">
        <v>2</v>
      </c>
      <c r="D73">
        <v>3</v>
      </c>
      <c r="E73" s="4">
        <f t="shared" si="3"/>
        <v>58</v>
      </c>
    </row>
    <row r="74" spans="1:5">
      <c r="A74">
        <v>73</v>
      </c>
      <c r="B74">
        <v>-7.4380000000000006</v>
      </c>
      <c r="C74">
        <v>4</v>
      </c>
      <c r="D74">
        <v>3</v>
      </c>
      <c r="E74" s="4">
        <f t="shared" si="3"/>
        <v>38</v>
      </c>
    </row>
    <row r="75" spans="1:5">
      <c r="A75">
        <v>74</v>
      </c>
      <c r="B75">
        <v>-3.9689999999999999</v>
      </c>
      <c r="C75">
        <v>2</v>
      </c>
      <c r="D75">
        <v>5</v>
      </c>
      <c r="E75" s="4">
        <f t="shared" si="3"/>
        <v>77</v>
      </c>
    </row>
    <row r="76" spans="1:5">
      <c r="A76">
        <v>75</v>
      </c>
      <c r="B76">
        <v>-1.7729999999999999</v>
      </c>
      <c r="C76">
        <v>1</v>
      </c>
      <c r="D76">
        <v>3</v>
      </c>
      <c r="E76" s="4">
        <f t="shared" si="3"/>
        <v>111</v>
      </c>
    </row>
    <row r="77" spans="1:5">
      <c r="A77">
        <v>76</v>
      </c>
      <c r="B77">
        <v>-8.8390000000000004</v>
      </c>
      <c r="C77">
        <v>3</v>
      </c>
      <c r="D77">
        <v>7</v>
      </c>
      <c r="E77" s="4">
        <f t="shared" si="3"/>
        <v>25</v>
      </c>
    </row>
    <row r="78" spans="1:5">
      <c r="A78">
        <v>77</v>
      </c>
      <c r="B78">
        <v>-0.375</v>
      </c>
      <c r="C78">
        <v>1</v>
      </c>
      <c r="D78">
        <v>5</v>
      </c>
      <c r="E78" s="4">
        <f t="shared" si="3"/>
        <v>159</v>
      </c>
    </row>
    <row r="79" spans="1:5">
      <c r="A79">
        <v>78</v>
      </c>
      <c r="B79">
        <v>-1.752</v>
      </c>
      <c r="C79">
        <v>2</v>
      </c>
      <c r="D79">
        <v>8</v>
      </c>
      <c r="E79" s="4">
        <f t="shared" si="3"/>
        <v>112</v>
      </c>
    </row>
    <row r="80" spans="1:5">
      <c r="A80">
        <v>79</v>
      </c>
      <c r="B80">
        <v>-4.6189999999999998</v>
      </c>
      <c r="C80">
        <v>2</v>
      </c>
      <c r="D80">
        <v>5</v>
      </c>
      <c r="E80" s="4">
        <f t="shared" si="3"/>
        <v>65</v>
      </c>
    </row>
    <row r="81" spans="1:5">
      <c r="A81">
        <v>80</v>
      </c>
      <c r="B81">
        <v>-0.56100000000000005</v>
      </c>
      <c r="C81">
        <v>1</v>
      </c>
      <c r="D81">
        <v>3</v>
      </c>
      <c r="E81" s="4">
        <f t="shared" si="3"/>
        <v>152</v>
      </c>
    </row>
    <row r="82" spans="1:5">
      <c r="A82">
        <v>81</v>
      </c>
      <c r="B82">
        <v>-15.484999999999999</v>
      </c>
      <c r="C82">
        <v>9</v>
      </c>
      <c r="D82">
        <v>3</v>
      </c>
      <c r="E82" s="4">
        <f t="shared" si="3"/>
        <v>8</v>
      </c>
    </row>
    <row r="83" spans="1:5">
      <c r="A83">
        <v>82</v>
      </c>
      <c r="B83">
        <v>-3.2069999999999999</v>
      </c>
      <c r="C83">
        <v>1</v>
      </c>
      <c r="D83">
        <v>11</v>
      </c>
      <c r="E83" s="4">
        <f t="shared" si="3"/>
        <v>91</v>
      </c>
    </row>
    <row r="84" spans="1:5">
      <c r="A84">
        <v>83</v>
      </c>
      <c r="B84">
        <v>-1.4239999999999999</v>
      </c>
      <c r="C84">
        <v>2</v>
      </c>
      <c r="D84">
        <v>4</v>
      </c>
      <c r="E84" s="4">
        <f t="shared" si="3"/>
        <v>129</v>
      </c>
    </row>
    <row r="85" spans="1:5">
      <c r="A85">
        <v>84</v>
      </c>
      <c r="B85">
        <v>-0.36</v>
      </c>
      <c r="C85">
        <v>1</v>
      </c>
      <c r="D85">
        <v>4</v>
      </c>
      <c r="E85" s="4">
        <f t="shared" si="3"/>
        <v>163</v>
      </c>
    </row>
    <row r="86" spans="1:5">
      <c r="A86">
        <v>85</v>
      </c>
      <c r="B86">
        <v>-2.6970000000000001</v>
      </c>
      <c r="C86">
        <v>3</v>
      </c>
      <c r="D86">
        <v>5</v>
      </c>
      <c r="E86" s="4">
        <f t="shared" si="3"/>
        <v>97</v>
      </c>
    </row>
    <row r="87" spans="1:5">
      <c r="A87">
        <v>86</v>
      </c>
      <c r="B87">
        <v>-1.6839999999999999</v>
      </c>
      <c r="C87">
        <v>1</v>
      </c>
      <c r="D87">
        <v>5</v>
      </c>
      <c r="E87" s="4">
        <f t="shared" si="3"/>
        <v>114</v>
      </c>
    </row>
    <row r="88" spans="1:5">
      <c r="A88">
        <v>87</v>
      </c>
      <c r="B88">
        <v>-9.7409999999999997</v>
      </c>
      <c r="C88">
        <v>5</v>
      </c>
      <c r="D88">
        <v>2</v>
      </c>
      <c r="E88" s="4">
        <f t="shared" si="3"/>
        <v>23</v>
      </c>
    </row>
    <row r="89" spans="1:5">
      <c r="A89">
        <v>88</v>
      </c>
      <c r="B89">
        <v>-3.556</v>
      </c>
      <c r="C89">
        <v>1</v>
      </c>
      <c r="D89">
        <v>11</v>
      </c>
      <c r="E89" s="4">
        <f t="shared" si="3"/>
        <v>85</v>
      </c>
    </row>
    <row r="90" spans="1:5">
      <c r="A90">
        <v>89</v>
      </c>
      <c r="B90">
        <v>-0.61199999999999999</v>
      </c>
      <c r="C90">
        <v>1</v>
      </c>
      <c r="D90">
        <v>8</v>
      </c>
      <c r="E90" s="4">
        <f t="shared" si="3"/>
        <v>150</v>
      </c>
    </row>
    <row r="91" spans="1:5">
      <c r="A91">
        <v>90</v>
      </c>
      <c r="B91">
        <v>-3.09</v>
      </c>
      <c r="C91">
        <v>2</v>
      </c>
      <c r="D91">
        <v>2</v>
      </c>
      <c r="E91" s="4">
        <f t="shared" si="3"/>
        <v>92</v>
      </c>
    </row>
    <row r="92" spans="1:5">
      <c r="A92">
        <v>91</v>
      </c>
      <c r="B92">
        <v>-1.859</v>
      </c>
      <c r="C92">
        <v>1</v>
      </c>
      <c r="D92">
        <v>5</v>
      </c>
      <c r="E92" s="4">
        <f t="shared" si="3"/>
        <v>110</v>
      </c>
    </row>
    <row r="93" spans="1:5">
      <c r="A93">
        <v>92</v>
      </c>
      <c r="B93">
        <v>-8.8049999999999997</v>
      </c>
      <c r="C93">
        <v>3</v>
      </c>
      <c r="D93">
        <v>2</v>
      </c>
      <c r="E93" s="4">
        <f t="shared" si="3"/>
        <v>26</v>
      </c>
    </row>
    <row r="94" spans="1:5">
      <c r="A94">
        <v>93</v>
      </c>
      <c r="B94">
        <v>-6.2509999999999994</v>
      </c>
      <c r="C94">
        <v>3</v>
      </c>
      <c r="D94">
        <v>5</v>
      </c>
      <c r="E94" s="4">
        <f t="shared" si="3"/>
        <v>54</v>
      </c>
    </row>
    <row r="95" spans="1:5">
      <c r="A95">
        <v>94</v>
      </c>
      <c r="B95">
        <v>-1.4259999999999999</v>
      </c>
      <c r="C95">
        <v>1</v>
      </c>
      <c r="D95">
        <v>8</v>
      </c>
      <c r="E95" s="4">
        <f t="shared" si="3"/>
        <v>128</v>
      </c>
    </row>
    <row r="96" spans="1:5">
      <c r="A96">
        <v>95</v>
      </c>
      <c r="B96">
        <v>-14.693999999999999</v>
      </c>
      <c r="C96">
        <v>8</v>
      </c>
      <c r="D96">
        <v>3</v>
      </c>
      <c r="E96" s="4">
        <f t="shared" si="3"/>
        <v>9</v>
      </c>
    </row>
    <row r="97" spans="1:5">
      <c r="A97">
        <v>96</v>
      </c>
      <c r="B97">
        <v>-0.91900000000000004</v>
      </c>
      <c r="C97">
        <v>1</v>
      </c>
      <c r="D97">
        <v>11</v>
      </c>
      <c r="E97" s="4">
        <f t="shared" si="3"/>
        <v>137</v>
      </c>
    </row>
    <row r="98" spans="1:5">
      <c r="A98">
        <v>97</v>
      </c>
      <c r="B98">
        <v>-4.0890000000000004</v>
      </c>
      <c r="C98">
        <v>1</v>
      </c>
      <c r="D98">
        <v>2</v>
      </c>
      <c r="E98" s="4">
        <f t="shared" ref="E98:E129" si="4">RANK(B98,$B$2:$B$176,1)</f>
        <v>74</v>
      </c>
    </row>
    <row r="99" spans="1:5">
      <c r="A99">
        <v>98</v>
      </c>
      <c r="B99">
        <v>-0.74299999999999999</v>
      </c>
      <c r="C99">
        <v>1</v>
      </c>
      <c r="D99">
        <v>2</v>
      </c>
      <c r="E99" s="4">
        <f t="shared" si="4"/>
        <v>145</v>
      </c>
    </row>
    <row r="100" spans="1:5">
      <c r="A100">
        <v>99</v>
      </c>
      <c r="B100">
        <v>-2.1860000000000004</v>
      </c>
      <c r="C100">
        <v>2</v>
      </c>
      <c r="D100">
        <v>2</v>
      </c>
      <c r="E100" s="4">
        <f t="shared" si="4"/>
        <v>105</v>
      </c>
    </row>
    <row r="101" spans="1:5">
      <c r="A101">
        <v>100</v>
      </c>
      <c r="B101">
        <v>-0.312</v>
      </c>
      <c r="C101">
        <v>1</v>
      </c>
      <c r="D101">
        <v>3</v>
      </c>
      <c r="E101" s="4">
        <f t="shared" si="4"/>
        <v>166</v>
      </c>
    </row>
    <row r="102" spans="1:5">
      <c r="A102">
        <v>101</v>
      </c>
      <c r="B102">
        <v>-1.623</v>
      </c>
      <c r="C102">
        <v>1</v>
      </c>
      <c r="D102">
        <v>3</v>
      </c>
      <c r="E102" s="4">
        <f t="shared" si="4"/>
        <v>118</v>
      </c>
    </row>
    <row r="103" spans="1:5">
      <c r="A103">
        <v>102</v>
      </c>
      <c r="B103">
        <v>-0.629</v>
      </c>
      <c r="C103">
        <v>1</v>
      </c>
      <c r="D103">
        <v>2</v>
      </c>
      <c r="E103" s="4">
        <f t="shared" si="4"/>
        <v>149</v>
      </c>
    </row>
    <row r="104" spans="1:5">
      <c r="A104">
        <v>103</v>
      </c>
      <c r="B104">
        <v>-3.613</v>
      </c>
      <c r="C104">
        <v>1</v>
      </c>
      <c r="D104">
        <v>4</v>
      </c>
      <c r="E104" s="4">
        <f t="shared" si="4"/>
        <v>83</v>
      </c>
    </row>
    <row r="105" spans="1:5">
      <c r="A105">
        <v>104</v>
      </c>
      <c r="B105">
        <v>-0.59799999999999998</v>
      </c>
      <c r="C105">
        <v>1</v>
      </c>
      <c r="D105">
        <v>3</v>
      </c>
      <c r="E105" s="4">
        <f t="shared" si="4"/>
        <v>151</v>
      </c>
    </row>
    <row r="106" spans="1:5">
      <c r="A106">
        <v>105</v>
      </c>
      <c r="B106">
        <v>-5.8360000000000003</v>
      </c>
      <c r="C106">
        <v>2</v>
      </c>
      <c r="D106">
        <v>2</v>
      </c>
      <c r="E106" s="4">
        <f t="shared" si="4"/>
        <v>56</v>
      </c>
    </row>
    <row r="107" spans="1:5">
      <c r="A107">
        <v>106</v>
      </c>
      <c r="B107">
        <v>-5.76</v>
      </c>
      <c r="C107">
        <v>2</v>
      </c>
      <c r="D107">
        <v>6</v>
      </c>
      <c r="E107" s="4">
        <f t="shared" si="4"/>
        <v>57</v>
      </c>
    </row>
    <row r="108" spans="1:5">
      <c r="A108">
        <v>107</v>
      </c>
      <c r="B108">
        <v>-4.5780000000000003</v>
      </c>
      <c r="C108">
        <v>2</v>
      </c>
      <c r="D108">
        <v>3</v>
      </c>
      <c r="E108" s="4">
        <f t="shared" si="4"/>
        <v>67</v>
      </c>
    </row>
    <row r="109" spans="1:5">
      <c r="A109">
        <v>108</v>
      </c>
      <c r="B109">
        <v>-5.6079999999999997</v>
      </c>
      <c r="C109">
        <v>5</v>
      </c>
      <c r="D109">
        <v>3</v>
      </c>
      <c r="E109" s="4">
        <f t="shared" si="4"/>
        <v>59</v>
      </c>
    </row>
    <row r="110" spans="1:5">
      <c r="A110">
        <v>109</v>
      </c>
      <c r="B110">
        <v>-0.14599999999999999</v>
      </c>
      <c r="C110">
        <v>1</v>
      </c>
      <c r="D110">
        <v>6</v>
      </c>
      <c r="E110" s="4">
        <f t="shared" si="4"/>
        <v>171</v>
      </c>
    </row>
    <row r="111" spans="1:5">
      <c r="A111">
        <v>110</v>
      </c>
      <c r="B111">
        <v>-7.0190000000000001</v>
      </c>
      <c r="C111">
        <v>4</v>
      </c>
      <c r="D111">
        <v>3</v>
      </c>
      <c r="E111" s="4">
        <f t="shared" si="4"/>
        <v>42</v>
      </c>
    </row>
    <row r="112" spans="1:5">
      <c r="A112">
        <v>111</v>
      </c>
      <c r="B112">
        <v>-7.8360000000000003</v>
      </c>
      <c r="C112">
        <v>3</v>
      </c>
      <c r="D112">
        <v>7</v>
      </c>
      <c r="E112" s="4">
        <f t="shared" si="4"/>
        <v>34</v>
      </c>
    </row>
    <row r="113" spans="1:5">
      <c r="A113">
        <v>112</v>
      </c>
      <c r="B113">
        <v>-3.5939999999999999</v>
      </c>
      <c r="C113">
        <v>3</v>
      </c>
      <c r="D113">
        <v>5</v>
      </c>
      <c r="E113" s="4">
        <f t="shared" si="4"/>
        <v>84</v>
      </c>
    </row>
    <row r="114" spans="1:5">
      <c r="A114">
        <v>113</v>
      </c>
      <c r="B114">
        <v>-0.42699999999999999</v>
      </c>
      <c r="C114">
        <v>1</v>
      </c>
      <c r="D114">
        <v>4</v>
      </c>
      <c r="E114" s="4">
        <f t="shared" si="4"/>
        <v>155</v>
      </c>
    </row>
    <row r="115" spans="1:5">
      <c r="A115">
        <v>114</v>
      </c>
      <c r="B115">
        <v>-7.6539999999999999</v>
      </c>
      <c r="C115">
        <v>4</v>
      </c>
      <c r="D115">
        <v>2</v>
      </c>
      <c r="E115" s="4">
        <f t="shared" si="4"/>
        <v>35</v>
      </c>
    </row>
    <row r="116" spans="1:5">
      <c r="A116">
        <v>115</v>
      </c>
      <c r="B116">
        <v>-1.649</v>
      </c>
      <c r="C116">
        <v>1</v>
      </c>
      <c r="D116">
        <v>8</v>
      </c>
      <c r="E116" s="4">
        <f t="shared" si="4"/>
        <v>116</v>
      </c>
    </row>
    <row r="117" spans="1:5">
      <c r="A117">
        <v>116</v>
      </c>
      <c r="B117">
        <v>-3.3260000000000001</v>
      </c>
      <c r="C117">
        <v>2</v>
      </c>
      <c r="D117">
        <v>2</v>
      </c>
      <c r="E117" s="4">
        <f t="shared" si="4"/>
        <v>88</v>
      </c>
    </row>
    <row r="118" spans="1:5">
      <c r="A118">
        <v>117</v>
      </c>
      <c r="B118">
        <v>-11.206000000000001</v>
      </c>
      <c r="C118">
        <v>5</v>
      </c>
      <c r="D118">
        <v>3</v>
      </c>
      <c r="E118" s="4">
        <f t="shared" si="4"/>
        <v>16</v>
      </c>
    </row>
    <row r="119" spans="1:5">
      <c r="A119">
        <v>118</v>
      </c>
      <c r="B119">
        <v>-0.376</v>
      </c>
      <c r="C119">
        <v>1</v>
      </c>
      <c r="D119">
        <v>7</v>
      </c>
      <c r="E119" s="4">
        <f t="shared" si="4"/>
        <v>158</v>
      </c>
    </row>
    <row r="120" spans="1:5">
      <c r="A120">
        <v>119</v>
      </c>
      <c r="B120">
        <v>-6.5690000000000008</v>
      </c>
      <c r="C120">
        <v>3</v>
      </c>
      <c r="D120">
        <v>2</v>
      </c>
      <c r="E120" s="4">
        <f t="shared" si="4"/>
        <v>49</v>
      </c>
    </row>
    <row r="121" spans="1:5">
      <c r="A121">
        <v>120</v>
      </c>
      <c r="B121">
        <v>-3.8689999999999998</v>
      </c>
      <c r="C121">
        <v>3</v>
      </c>
      <c r="D121">
        <v>5</v>
      </c>
      <c r="E121" s="4">
        <f t="shared" si="4"/>
        <v>80</v>
      </c>
    </row>
    <row r="122" spans="1:5">
      <c r="A122">
        <v>121</v>
      </c>
      <c r="B122">
        <v>-14.353</v>
      </c>
      <c r="C122">
        <v>8</v>
      </c>
      <c r="D122">
        <v>9</v>
      </c>
      <c r="E122" s="4">
        <f t="shared" si="4"/>
        <v>11</v>
      </c>
    </row>
    <row r="123" spans="1:5">
      <c r="A123">
        <v>122</v>
      </c>
      <c r="B123">
        <v>-6.87</v>
      </c>
      <c r="C123">
        <v>7</v>
      </c>
      <c r="D123">
        <v>13</v>
      </c>
      <c r="E123" s="4">
        <f t="shared" si="4"/>
        <v>44</v>
      </c>
    </row>
    <row r="124" spans="1:5">
      <c r="A124">
        <v>123</v>
      </c>
      <c r="B124">
        <v>-14.530999999999999</v>
      </c>
      <c r="C124">
        <v>7</v>
      </c>
      <c r="D124">
        <v>9</v>
      </c>
      <c r="E124" s="4">
        <f t="shared" si="4"/>
        <v>10</v>
      </c>
    </row>
    <row r="125" spans="1:5">
      <c r="A125">
        <v>124</v>
      </c>
      <c r="B125">
        <v>-1.657</v>
      </c>
      <c r="C125">
        <v>1</v>
      </c>
      <c r="D125">
        <v>8</v>
      </c>
      <c r="E125" s="4">
        <f t="shared" si="4"/>
        <v>115</v>
      </c>
    </row>
    <row r="126" spans="1:5">
      <c r="A126">
        <v>125</v>
      </c>
      <c r="B126">
        <v>-7</v>
      </c>
      <c r="C126">
        <v>2</v>
      </c>
      <c r="D126">
        <v>5</v>
      </c>
      <c r="E126" s="4">
        <f t="shared" si="4"/>
        <v>43</v>
      </c>
    </row>
    <row r="127" spans="1:5">
      <c r="A127">
        <v>126</v>
      </c>
      <c r="B127">
        <v>-8.6590000000000007</v>
      </c>
      <c r="C127">
        <v>3</v>
      </c>
      <c r="D127">
        <v>4</v>
      </c>
      <c r="E127" s="4">
        <f t="shared" si="4"/>
        <v>28</v>
      </c>
    </row>
    <row r="128" spans="1:5">
      <c r="A128">
        <v>127</v>
      </c>
      <c r="B128">
        <v>-0.80400000000000005</v>
      </c>
      <c r="C128">
        <v>1</v>
      </c>
      <c r="D128">
        <v>9</v>
      </c>
      <c r="E128" s="4">
        <f t="shared" si="4"/>
        <v>141</v>
      </c>
    </row>
    <row r="129" spans="1:5">
      <c r="A129">
        <v>128</v>
      </c>
      <c r="B129">
        <v>-4.476</v>
      </c>
      <c r="C129">
        <v>2</v>
      </c>
      <c r="D129">
        <v>2</v>
      </c>
      <c r="E129" s="4">
        <f t="shared" si="4"/>
        <v>69</v>
      </c>
    </row>
    <row r="130" spans="1:5">
      <c r="A130">
        <v>129</v>
      </c>
      <c r="B130">
        <v>-6.6189999999999998</v>
      </c>
      <c r="C130">
        <v>2</v>
      </c>
      <c r="D130">
        <v>5</v>
      </c>
      <c r="E130" s="4">
        <f t="shared" ref="E130:E161" si="5">RANK(B130,$B$2:$B$176,1)</f>
        <v>48</v>
      </c>
    </row>
    <row r="131" spans="1:5">
      <c r="A131">
        <v>130</v>
      </c>
      <c r="B131">
        <v>-1.911</v>
      </c>
      <c r="C131">
        <v>1</v>
      </c>
      <c r="D131">
        <v>3</v>
      </c>
      <c r="E131" s="4">
        <f t="shared" si="5"/>
        <v>108</v>
      </c>
    </row>
    <row r="132" spans="1:5">
      <c r="A132">
        <v>131</v>
      </c>
      <c r="B132">
        <v>-0.9</v>
      </c>
      <c r="C132">
        <v>1</v>
      </c>
      <c r="D132">
        <v>4</v>
      </c>
      <c r="E132" s="4">
        <f t="shared" si="5"/>
        <v>138</v>
      </c>
    </row>
    <row r="133" spans="1:5">
      <c r="A133">
        <v>132</v>
      </c>
      <c r="B133">
        <v>-0.373</v>
      </c>
      <c r="C133">
        <v>1</v>
      </c>
      <c r="D133">
        <v>4</v>
      </c>
      <c r="E133" s="4">
        <f t="shared" si="5"/>
        <v>160</v>
      </c>
    </row>
    <row r="134" spans="1:5">
      <c r="A134">
        <v>133</v>
      </c>
      <c r="B134">
        <v>-3.367</v>
      </c>
      <c r="C134">
        <v>2</v>
      </c>
      <c r="D134">
        <v>3</v>
      </c>
      <c r="E134" s="4">
        <f t="shared" si="5"/>
        <v>86</v>
      </c>
    </row>
    <row r="135" spans="1:5">
      <c r="A135">
        <v>134</v>
      </c>
      <c r="B135">
        <v>-3.258</v>
      </c>
      <c r="C135">
        <v>1</v>
      </c>
      <c r="D135">
        <v>3</v>
      </c>
      <c r="E135" s="4">
        <f t="shared" si="5"/>
        <v>89</v>
      </c>
    </row>
    <row r="136" spans="1:5">
      <c r="A136">
        <v>135</v>
      </c>
      <c r="B136">
        <v>-3.95</v>
      </c>
      <c r="C136">
        <v>1</v>
      </c>
      <c r="D136">
        <v>2</v>
      </c>
      <c r="E136" s="4">
        <f t="shared" si="5"/>
        <v>78</v>
      </c>
    </row>
    <row r="137" spans="1:5">
      <c r="A137">
        <v>136</v>
      </c>
      <c r="B137">
        <v>-5.176000000000001</v>
      </c>
      <c r="C137">
        <v>4</v>
      </c>
      <c r="D137">
        <v>5</v>
      </c>
      <c r="E137" s="4">
        <f t="shared" si="5"/>
        <v>61</v>
      </c>
    </row>
    <row r="138" spans="1:5">
      <c r="A138">
        <v>137</v>
      </c>
      <c r="B138">
        <v>-1.5349999999999999</v>
      </c>
      <c r="C138">
        <v>1</v>
      </c>
      <c r="D138">
        <v>6</v>
      </c>
      <c r="E138" s="4">
        <f t="shared" si="5"/>
        <v>127</v>
      </c>
    </row>
    <row r="139" spans="1:5">
      <c r="A139">
        <v>138</v>
      </c>
      <c r="B139">
        <v>-2.8179999999999996</v>
      </c>
      <c r="C139">
        <v>3</v>
      </c>
      <c r="D139">
        <v>2</v>
      </c>
      <c r="E139" s="4">
        <f t="shared" si="5"/>
        <v>96</v>
      </c>
    </row>
    <row r="140" spans="1:5">
      <c r="A140">
        <v>139</v>
      </c>
      <c r="B140">
        <v>-6.6619999999999999</v>
      </c>
      <c r="C140">
        <v>2</v>
      </c>
      <c r="D140">
        <v>4</v>
      </c>
      <c r="E140" s="4">
        <f t="shared" si="5"/>
        <v>47</v>
      </c>
    </row>
    <row r="141" spans="1:5">
      <c r="A141">
        <v>140</v>
      </c>
      <c r="B141">
        <v>-4.2450000000000001</v>
      </c>
      <c r="C141">
        <v>4</v>
      </c>
      <c r="D141">
        <v>4</v>
      </c>
      <c r="E141" s="4">
        <f t="shared" si="5"/>
        <v>72</v>
      </c>
    </row>
    <row r="142" spans="1:5">
      <c r="A142">
        <v>141</v>
      </c>
      <c r="B142">
        <v>-0.441</v>
      </c>
      <c r="C142">
        <v>1</v>
      </c>
      <c r="D142">
        <v>7</v>
      </c>
      <c r="E142" s="4">
        <f t="shared" si="5"/>
        <v>154</v>
      </c>
    </row>
    <row r="143" spans="1:5">
      <c r="A143">
        <v>142</v>
      </c>
      <c r="B143">
        <v>-10.876999999999999</v>
      </c>
      <c r="C143">
        <v>4</v>
      </c>
      <c r="D143">
        <v>2</v>
      </c>
      <c r="E143" s="4">
        <f t="shared" si="5"/>
        <v>21</v>
      </c>
    </row>
    <row r="144" spans="1:5">
      <c r="A144">
        <v>143</v>
      </c>
      <c r="B144">
        <v>-17.239000000000001</v>
      </c>
      <c r="C144">
        <v>6</v>
      </c>
      <c r="D144">
        <v>5</v>
      </c>
      <c r="E144" s="4">
        <f t="shared" si="5"/>
        <v>6</v>
      </c>
    </row>
    <row r="145" spans="1:5">
      <c r="A145">
        <v>144</v>
      </c>
      <c r="B145">
        <v>-2.2650000000000001</v>
      </c>
      <c r="C145">
        <v>1</v>
      </c>
      <c r="D145">
        <v>15</v>
      </c>
      <c r="E145" s="4">
        <f t="shared" si="5"/>
        <v>103</v>
      </c>
    </row>
    <row r="146" spans="1:5">
      <c r="A146">
        <v>145</v>
      </c>
      <c r="B146">
        <v>-2.8530000000000002</v>
      </c>
      <c r="C146">
        <v>2</v>
      </c>
      <c r="D146">
        <v>5</v>
      </c>
      <c r="E146" s="4">
        <f t="shared" si="5"/>
        <v>95</v>
      </c>
    </row>
    <row r="147" spans="1:5">
      <c r="A147">
        <v>146</v>
      </c>
      <c r="B147">
        <v>-7.5780000000000003</v>
      </c>
      <c r="C147">
        <v>2</v>
      </c>
      <c r="D147">
        <v>7</v>
      </c>
      <c r="E147" s="4">
        <f t="shared" si="5"/>
        <v>37</v>
      </c>
    </row>
    <row r="148" spans="1:5">
      <c r="A148">
        <v>147</v>
      </c>
      <c r="B148">
        <v>-0.9</v>
      </c>
      <c r="C148">
        <v>1</v>
      </c>
      <c r="D148">
        <v>3</v>
      </c>
      <c r="E148" s="4">
        <f t="shared" si="5"/>
        <v>138</v>
      </c>
    </row>
    <row r="149" spans="1:5">
      <c r="A149">
        <v>148</v>
      </c>
      <c r="B149">
        <v>-7.8369999999999997</v>
      </c>
      <c r="C149">
        <v>5</v>
      </c>
      <c r="D149">
        <v>4</v>
      </c>
      <c r="E149" s="4">
        <f t="shared" si="5"/>
        <v>33</v>
      </c>
    </row>
    <row r="150" spans="1:5">
      <c r="A150">
        <v>149</v>
      </c>
      <c r="B150">
        <v>-0.28499999999999998</v>
      </c>
      <c r="C150">
        <v>1</v>
      </c>
      <c r="D150">
        <v>6</v>
      </c>
      <c r="E150" s="4">
        <f t="shared" si="5"/>
        <v>167</v>
      </c>
    </row>
    <row r="151" spans="1:5">
      <c r="A151">
        <v>150</v>
      </c>
      <c r="B151">
        <v>-5.0419999999999998</v>
      </c>
      <c r="C151">
        <v>2</v>
      </c>
      <c r="D151">
        <v>2</v>
      </c>
      <c r="E151" s="4">
        <f t="shared" si="5"/>
        <v>62</v>
      </c>
    </row>
    <row r="152" spans="1:5">
      <c r="A152">
        <v>151</v>
      </c>
      <c r="B152">
        <v>-1.6459999999999999</v>
      </c>
      <c r="C152">
        <v>1</v>
      </c>
      <c r="D152">
        <v>3</v>
      </c>
      <c r="E152" s="4">
        <f t="shared" si="5"/>
        <v>117</v>
      </c>
    </row>
    <row r="153" spans="1:5">
      <c r="A153">
        <v>152</v>
      </c>
      <c r="B153">
        <v>-0.51800000000000002</v>
      </c>
      <c r="C153">
        <v>1</v>
      </c>
      <c r="D153">
        <v>2</v>
      </c>
      <c r="E153" s="4">
        <f t="shared" si="5"/>
        <v>153</v>
      </c>
    </row>
    <row r="154" spans="1:5">
      <c r="A154">
        <v>153</v>
      </c>
      <c r="B154">
        <v>-4.4160000000000004</v>
      </c>
      <c r="C154">
        <v>3</v>
      </c>
      <c r="D154">
        <v>3</v>
      </c>
      <c r="E154" s="4">
        <f t="shared" si="5"/>
        <v>70</v>
      </c>
    </row>
    <row r="155" spans="1:5">
      <c r="A155">
        <v>154</v>
      </c>
      <c r="B155">
        <v>-1.569</v>
      </c>
      <c r="C155">
        <v>1</v>
      </c>
      <c r="D155">
        <v>4</v>
      </c>
      <c r="E155" s="4">
        <f t="shared" si="5"/>
        <v>123</v>
      </c>
    </row>
    <row r="156" spans="1:5">
      <c r="A156">
        <v>155</v>
      </c>
      <c r="B156">
        <v>-7.9190000000000005</v>
      </c>
      <c r="C156">
        <v>3</v>
      </c>
      <c r="D156">
        <v>3</v>
      </c>
      <c r="E156" s="4">
        <f t="shared" si="5"/>
        <v>32</v>
      </c>
    </row>
    <row r="157" spans="1:5">
      <c r="A157">
        <v>156</v>
      </c>
      <c r="B157">
        <v>-6.444</v>
      </c>
      <c r="C157">
        <v>1</v>
      </c>
      <c r="D157">
        <v>9</v>
      </c>
      <c r="E157" s="4">
        <f t="shared" si="5"/>
        <v>52</v>
      </c>
    </row>
    <row r="158" spans="1:5">
      <c r="A158">
        <v>157</v>
      </c>
      <c r="B158">
        <v>-0.20899999999999999</v>
      </c>
      <c r="C158">
        <v>1</v>
      </c>
      <c r="D158">
        <v>6</v>
      </c>
      <c r="E158" s="4">
        <f t="shared" si="5"/>
        <v>169</v>
      </c>
    </row>
    <row r="159" spans="1:5">
      <c r="A159">
        <v>158</v>
      </c>
      <c r="B159">
        <v>-2.673</v>
      </c>
      <c r="C159">
        <v>1</v>
      </c>
      <c r="D159">
        <v>3</v>
      </c>
      <c r="E159" s="4">
        <f t="shared" si="5"/>
        <v>98</v>
      </c>
    </row>
    <row r="160" spans="1:5">
      <c r="A160">
        <v>159</v>
      </c>
      <c r="B160">
        <v>-6.4749999999999996</v>
      </c>
      <c r="C160">
        <v>5</v>
      </c>
      <c r="D160">
        <v>2</v>
      </c>
      <c r="E160" s="4">
        <f t="shared" si="5"/>
        <v>51</v>
      </c>
    </row>
    <row r="161" spans="1:5">
      <c r="A161">
        <v>160</v>
      </c>
      <c r="B161">
        <v>-0.10199999999999999</v>
      </c>
      <c r="C161">
        <v>1</v>
      </c>
      <c r="D161">
        <v>7</v>
      </c>
      <c r="E161" s="4">
        <f t="shared" si="5"/>
        <v>173</v>
      </c>
    </row>
    <row r="162" spans="1:5">
      <c r="A162">
        <v>161</v>
      </c>
      <c r="B162">
        <v>-0.246</v>
      </c>
      <c r="C162">
        <v>1</v>
      </c>
      <c r="D162">
        <v>5</v>
      </c>
      <c r="E162" s="4">
        <f t="shared" ref="E162:E176" si="6">RANK(B162,$B$2:$B$176,1)</f>
        <v>168</v>
      </c>
    </row>
    <row r="163" spans="1:5">
      <c r="A163">
        <v>162</v>
      </c>
      <c r="B163">
        <v>-18.978000000000002</v>
      </c>
      <c r="C163">
        <v>6</v>
      </c>
      <c r="D163">
        <v>3</v>
      </c>
      <c r="E163" s="4">
        <f t="shared" si="6"/>
        <v>4</v>
      </c>
    </row>
    <row r="164" spans="1:5">
      <c r="A164">
        <v>163</v>
      </c>
      <c r="B164">
        <v>-0.41699999999999998</v>
      </c>
      <c r="C164">
        <v>1</v>
      </c>
      <c r="D164">
        <v>8</v>
      </c>
      <c r="E164" s="4">
        <f t="shared" si="6"/>
        <v>157</v>
      </c>
    </row>
    <row r="165" spans="1:5">
      <c r="A165">
        <v>164</v>
      </c>
      <c r="B165">
        <v>-0.36299999999999999</v>
      </c>
      <c r="C165">
        <v>1</v>
      </c>
      <c r="D165">
        <v>2</v>
      </c>
      <c r="E165" s="4">
        <f t="shared" si="6"/>
        <v>162</v>
      </c>
    </row>
    <row r="166" spans="1:5">
      <c r="A166">
        <v>165</v>
      </c>
      <c r="B166">
        <v>-4.609</v>
      </c>
      <c r="C166">
        <v>2</v>
      </c>
      <c r="D166">
        <v>2</v>
      </c>
      <c r="E166" s="4">
        <f t="shared" si="6"/>
        <v>66</v>
      </c>
    </row>
    <row r="167" spans="1:5">
      <c r="A167">
        <v>166</v>
      </c>
      <c r="B167">
        <v>-3.3540000000000001</v>
      </c>
      <c r="C167">
        <v>2</v>
      </c>
      <c r="D167">
        <v>3</v>
      </c>
      <c r="E167" s="4">
        <f t="shared" si="6"/>
        <v>87</v>
      </c>
    </row>
    <row r="168" spans="1:5">
      <c r="A168">
        <v>167</v>
      </c>
      <c r="B168">
        <v>-5.399</v>
      </c>
      <c r="C168">
        <v>2</v>
      </c>
      <c r="D168">
        <v>5</v>
      </c>
      <c r="E168" s="4">
        <f t="shared" si="6"/>
        <v>60</v>
      </c>
    </row>
    <row r="169" spans="1:5">
      <c r="A169">
        <v>168</v>
      </c>
      <c r="B169">
        <v>-0.34200000000000003</v>
      </c>
      <c r="C169">
        <v>1</v>
      </c>
      <c r="D169">
        <v>3</v>
      </c>
      <c r="E169" s="4">
        <f t="shared" si="6"/>
        <v>164</v>
      </c>
    </row>
    <row r="170" spans="1:5">
      <c r="A170">
        <v>169</v>
      </c>
      <c r="B170">
        <v>-2.4350000000000001</v>
      </c>
      <c r="C170">
        <v>1</v>
      </c>
      <c r="D170">
        <v>4</v>
      </c>
      <c r="E170" s="4">
        <f t="shared" si="6"/>
        <v>100</v>
      </c>
    </row>
    <row r="171" spans="1:5">
      <c r="A171">
        <v>170</v>
      </c>
      <c r="B171">
        <v>-1.617</v>
      </c>
      <c r="C171">
        <v>1</v>
      </c>
      <c r="D171">
        <v>2</v>
      </c>
      <c r="E171" s="4">
        <f t="shared" si="6"/>
        <v>120</v>
      </c>
    </row>
    <row r="172" spans="1:5">
      <c r="A172">
        <v>171</v>
      </c>
      <c r="B172">
        <v>-2.0619999999999998</v>
      </c>
      <c r="C172">
        <v>1</v>
      </c>
      <c r="D172">
        <v>4</v>
      </c>
      <c r="E172" s="4">
        <f t="shared" si="6"/>
        <v>107</v>
      </c>
    </row>
    <row r="173" spans="1:5">
      <c r="A173">
        <v>172</v>
      </c>
      <c r="B173">
        <v>-1.306</v>
      </c>
      <c r="C173">
        <v>1</v>
      </c>
      <c r="D173">
        <v>4</v>
      </c>
      <c r="E173" s="4">
        <f t="shared" si="6"/>
        <v>132</v>
      </c>
    </row>
    <row r="174" spans="1:5">
      <c r="A174">
        <v>173</v>
      </c>
      <c r="B174">
        <v>-1.619</v>
      </c>
      <c r="C174">
        <v>1</v>
      </c>
      <c r="D174">
        <v>8</v>
      </c>
      <c r="E174" s="4">
        <f t="shared" si="6"/>
        <v>119</v>
      </c>
    </row>
    <row r="175" spans="1:5">
      <c r="A175">
        <v>174</v>
      </c>
      <c r="B175">
        <v>-4.101</v>
      </c>
      <c r="C175">
        <v>3</v>
      </c>
      <c r="D175">
        <v>2</v>
      </c>
      <c r="E175" s="4">
        <f t="shared" si="6"/>
        <v>73</v>
      </c>
    </row>
    <row r="176" spans="1:5">
      <c r="A176">
        <v>175</v>
      </c>
      <c r="B176">
        <v>-0.72599999999999998</v>
      </c>
      <c r="C176">
        <v>1</v>
      </c>
      <c r="D176">
        <v>5</v>
      </c>
      <c r="E176" s="4">
        <f t="shared" si="6"/>
        <v>146</v>
      </c>
    </row>
    <row r="177" spans="1:1">
      <c r="A177">
        <v>176</v>
      </c>
    </row>
    <row r="178" spans="1:1">
      <c r="A178">
        <v>177</v>
      </c>
    </row>
    <row r="179" spans="1:1">
      <c r="A179">
        <v>178</v>
      </c>
    </row>
    <row r="180" spans="1:1">
      <c r="A180">
        <v>179</v>
      </c>
    </row>
    <row r="181" spans="1:1">
      <c r="A181">
        <v>180</v>
      </c>
    </row>
    <row r="182" spans="1:1">
      <c r="A182">
        <v>181</v>
      </c>
    </row>
    <row r="183" spans="1:1">
      <c r="A183">
        <v>182</v>
      </c>
    </row>
    <row r="184" spans="1:1">
      <c r="A184">
        <v>183</v>
      </c>
    </row>
    <row r="185" spans="1:1">
      <c r="A185">
        <v>184</v>
      </c>
    </row>
    <row r="186" spans="1:1">
      <c r="A186">
        <v>185</v>
      </c>
    </row>
    <row r="187" spans="1:1">
      <c r="A187">
        <v>186</v>
      </c>
    </row>
    <row r="188" spans="1:1">
      <c r="A188">
        <v>187</v>
      </c>
    </row>
    <row r="189" spans="1:1">
      <c r="A189">
        <v>188</v>
      </c>
    </row>
    <row r="190" spans="1:1">
      <c r="A190">
        <v>189</v>
      </c>
    </row>
    <row r="191" spans="1:1">
      <c r="A191">
        <v>190</v>
      </c>
    </row>
    <row r="192" spans="1:1">
      <c r="A192">
        <v>191</v>
      </c>
    </row>
    <row r="193" spans="1:1">
      <c r="A193">
        <v>192</v>
      </c>
    </row>
    <row r="194" spans="1:1">
      <c r="A194">
        <v>193</v>
      </c>
    </row>
    <row r="195" spans="1:1">
      <c r="A195">
        <v>194</v>
      </c>
    </row>
    <row r="196" spans="1:1">
      <c r="A196">
        <v>195</v>
      </c>
    </row>
  </sheetData>
  <pageMargins left="0.74791666666666667" right="0.74791666666666667" top="0.98402777777777772" bottom="0.98402777777777772" header="0.51180555555555551" footer="0.51180555555555551"/>
  <pageSetup firstPageNumber="0" orientation="portrait" horizontalDpi="300" verticalDpi="300"/>
  <headerFooter alignWithMargins="0"/>
  <drawing r:id="rId1"/>
  <legacyDrawing r:id="rId2"/>
</worksheet>
</file>

<file path=xl/worksheets/sheet8.xml><?xml version="1.0" encoding="utf-8"?>
<worksheet xmlns="http://schemas.openxmlformats.org/spreadsheetml/2006/main" xmlns:r="http://schemas.openxmlformats.org/officeDocument/2006/relationships">
  <sheetPr codeName="Sheet9"/>
  <dimension ref="A1:J196"/>
  <sheetViews>
    <sheetView topLeftCell="A7" workbookViewId="0">
      <selection activeCell="J6" sqref="J6"/>
    </sheetView>
  </sheetViews>
  <sheetFormatPr defaultRowHeight="12.75"/>
  <cols>
    <col min="1" max="1" width="12" customWidth="1"/>
    <col min="4" max="4" width="13.5703125" customWidth="1"/>
    <col min="9" max="9" width="12.42578125" customWidth="1"/>
  </cols>
  <sheetData>
    <row r="1" spans="1:10">
      <c r="A1" t="s">
        <v>43</v>
      </c>
      <c r="B1" s="33" t="s">
        <v>38</v>
      </c>
      <c r="C1" s="33" t="s">
        <v>39</v>
      </c>
      <c r="D1" t="s">
        <v>50</v>
      </c>
      <c r="F1" t="s">
        <v>51</v>
      </c>
      <c r="H1" t="s">
        <v>52</v>
      </c>
      <c r="I1" t="s">
        <v>21</v>
      </c>
      <c r="J1" t="s">
        <v>53</v>
      </c>
    </row>
    <row r="2" spans="1:10">
      <c r="A2">
        <v>1</v>
      </c>
      <c r="B2">
        <v>-7.5449999999999999</v>
      </c>
      <c r="C2">
        <v>3</v>
      </c>
      <c r="D2">
        <v>5</v>
      </c>
      <c r="E2" s="4">
        <f t="shared" ref="E2:E33" si="0">ABS(B2)</f>
        <v>7.5449999999999999</v>
      </c>
      <c r="F2" t="s">
        <v>54</v>
      </c>
      <c r="G2" s="4">
        <f>1/(VAR(B2:B196))</f>
        <v>2.5902438189447843E-2</v>
      </c>
      <c r="H2" s="4">
        <f>VAR(B2:B196)</f>
        <v>38.606404257626252</v>
      </c>
      <c r="I2" s="4">
        <f>ABS(AVERAGE(B2:B196))</f>
        <v>5.5261435897435893</v>
      </c>
      <c r="J2" s="4">
        <f t="shared" ref="J2:J44" si="1">GAMMADIST(ABS(E2),$G$2,$G$3,TRUE)</f>
        <v>0.99488378450102233</v>
      </c>
    </row>
    <row r="3" spans="1:10">
      <c r="A3">
        <v>2</v>
      </c>
      <c r="B3">
        <v>-28.51</v>
      </c>
      <c r="C3">
        <v>14</v>
      </c>
      <c r="D3">
        <v>17</v>
      </c>
      <c r="E3" s="4">
        <f t="shared" si="0"/>
        <v>28.51</v>
      </c>
      <c r="F3" t="s">
        <v>55</v>
      </c>
      <c r="G3" s="4">
        <f>H2/I2</f>
        <v>6.9861384581607613</v>
      </c>
      <c r="J3" s="4">
        <f t="shared" si="1"/>
        <v>0.99990618028303691</v>
      </c>
    </row>
    <row r="4" spans="1:10">
      <c r="A4">
        <v>3</v>
      </c>
      <c r="B4">
        <v>-8.3949999999999996</v>
      </c>
      <c r="C4">
        <v>6</v>
      </c>
      <c r="D4">
        <v>8</v>
      </c>
      <c r="E4" s="4">
        <f t="shared" si="0"/>
        <v>8.3949999999999996</v>
      </c>
      <c r="J4" s="4">
        <f t="shared" si="1"/>
        <v>0.99578474508678061</v>
      </c>
    </row>
    <row r="5" spans="1:10">
      <c r="A5">
        <v>4</v>
      </c>
      <c r="B5">
        <v>-1.9140000000000001</v>
      </c>
      <c r="C5">
        <v>2</v>
      </c>
      <c r="D5">
        <v>4</v>
      </c>
      <c r="E5" s="4">
        <f t="shared" si="0"/>
        <v>1.9140000000000001</v>
      </c>
      <c r="J5" s="4">
        <f t="shared" si="1"/>
        <v>0.9747084832810563</v>
      </c>
    </row>
    <row r="6" spans="1:10">
      <c r="A6">
        <v>5</v>
      </c>
      <c r="B6">
        <v>-5.3760000000000003</v>
      </c>
      <c r="C6">
        <v>5</v>
      </c>
      <c r="D6">
        <v>6</v>
      </c>
      <c r="E6" s="4">
        <f t="shared" si="0"/>
        <v>5.3760000000000003</v>
      </c>
      <c r="J6" s="4">
        <f t="shared" si="1"/>
        <v>0.99131516336941139</v>
      </c>
    </row>
    <row r="7" spans="1:10">
      <c r="A7">
        <v>6</v>
      </c>
      <c r="B7">
        <v>-15.449</v>
      </c>
      <c r="C7">
        <v>8</v>
      </c>
      <c r="D7">
        <v>9</v>
      </c>
      <c r="E7" s="4">
        <f t="shared" si="0"/>
        <v>15.449</v>
      </c>
      <c r="J7" s="4">
        <f t="shared" si="1"/>
        <v>0.99901064471043266</v>
      </c>
    </row>
    <row r="8" spans="1:10">
      <c r="A8">
        <v>7</v>
      </c>
      <c r="B8">
        <v>-7.4139999999999997</v>
      </c>
      <c r="C8">
        <v>5</v>
      </c>
      <c r="D8">
        <v>10</v>
      </c>
      <c r="E8" s="4">
        <f t="shared" si="0"/>
        <v>7.4139999999999997</v>
      </c>
      <c r="J8" s="4">
        <f t="shared" si="1"/>
        <v>0.99472572298256157</v>
      </c>
    </row>
    <row r="9" spans="1:10">
      <c r="A9">
        <v>8</v>
      </c>
      <c r="B9">
        <v>-0.74</v>
      </c>
      <c r="C9">
        <v>1</v>
      </c>
      <c r="D9">
        <v>4</v>
      </c>
      <c r="E9" s="4">
        <f t="shared" si="0"/>
        <v>0.74</v>
      </c>
      <c r="J9" s="4" t="e">
        <f t="shared" si="1"/>
        <v>#NUM!</v>
      </c>
    </row>
    <row r="10" spans="1:10">
      <c r="A10">
        <v>9</v>
      </c>
      <c r="B10">
        <v>-9.1349999999999998</v>
      </c>
      <c r="C10">
        <v>3</v>
      </c>
      <c r="D10">
        <v>5</v>
      </c>
      <c r="E10" s="4">
        <f t="shared" si="0"/>
        <v>9.1349999999999998</v>
      </c>
      <c r="J10" s="4">
        <f t="shared" si="1"/>
        <v>0.9964223004147218</v>
      </c>
    </row>
    <row r="11" spans="1:10">
      <c r="A11">
        <v>10</v>
      </c>
      <c r="B11">
        <v>-0.13200000000000001</v>
      </c>
      <c r="C11">
        <v>1</v>
      </c>
      <c r="D11">
        <v>3</v>
      </c>
      <c r="E11" s="4">
        <f t="shared" si="0"/>
        <v>0.13200000000000001</v>
      </c>
      <c r="J11" s="4">
        <f t="shared" si="1"/>
        <v>0.91496241840390824</v>
      </c>
    </row>
    <row r="12" spans="1:10">
      <c r="A12">
        <v>11</v>
      </c>
      <c r="B12">
        <v>-25.858999999999998</v>
      </c>
      <c r="C12">
        <v>14</v>
      </c>
      <c r="D12">
        <v>16</v>
      </c>
      <c r="E12" s="4">
        <f t="shared" si="0"/>
        <v>25.858999999999998</v>
      </c>
      <c r="J12" s="4">
        <f t="shared" si="1"/>
        <v>0.99985144379336155</v>
      </c>
    </row>
    <row r="13" spans="1:10">
      <c r="A13">
        <v>12</v>
      </c>
      <c r="B13">
        <v>-4.4809999999999999</v>
      </c>
      <c r="C13">
        <v>2</v>
      </c>
      <c r="D13">
        <v>4</v>
      </c>
      <c r="E13" s="4">
        <f t="shared" si="0"/>
        <v>4.4809999999999999</v>
      </c>
      <c r="J13" s="4">
        <f t="shared" si="1"/>
        <v>0.98896731449443598</v>
      </c>
    </row>
    <row r="14" spans="1:10">
      <c r="A14">
        <v>13</v>
      </c>
      <c r="B14">
        <v>-6.7920000000000007</v>
      </c>
      <c r="C14">
        <v>4</v>
      </c>
      <c r="D14">
        <v>10</v>
      </c>
      <c r="E14" s="4">
        <f t="shared" si="0"/>
        <v>6.7920000000000007</v>
      </c>
      <c r="J14" s="4">
        <f t="shared" si="1"/>
        <v>0.99389154440782412</v>
      </c>
    </row>
    <row r="15" spans="1:10">
      <c r="A15">
        <v>14</v>
      </c>
      <c r="B15">
        <v>-4.9400000000000004</v>
      </c>
      <c r="C15">
        <v>3</v>
      </c>
      <c r="D15">
        <v>4</v>
      </c>
      <c r="E15" s="4">
        <f t="shared" si="0"/>
        <v>4.9400000000000004</v>
      </c>
      <c r="J15" s="4">
        <f t="shared" si="1"/>
        <v>0.99026066214020292</v>
      </c>
    </row>
    <row r="16" spans="1:10">
      <c r="A16">
        <v>15</v>
      </c>
      <c r="B16">
        <v>-6.0030000000000001</v>
      </c>
      <c r="C16">
        <v>2</v>
      </c>
      <c r="D16">
        <v>4</v>
      </c>
      <c r="E16" s="4">
        <f t="shared" si="0"/>
        <v>6.0030000000000001</v>
      </c>
      <c r="J16" s="4">
        <f t="shared" si="1"/>
        <v>0.99259369388283836</v>
      </c>
    </row>
    <row r="17" spans="1:10">
      <c r="A17">
        <v>16</v>
      </c>
      <c r="B17">
        <v>-12.244</v>
      </c>
      <c r="C17">
        <v>6</v>
      </c>
      <c r="D17">
        <v>8</v>
      </c>
      <c r="E17" s="4">
        <f t="shared" si="0"/>
        <v>12.244</v>
      </c>
      <c r="J17" s="4">
        <f t="shared" si="1"/>
        <v>0.99813882049138658</v>
      </c>
    </row>
    <row r="18" spans="1:10">
      <c r="A18">
        <v>17</v>
      </c>
      <c r="B18">
        <v>-9.0009999999999994</v>
      </c>
      <c r="C18">
        <v>5</v>
      </c>
      <c r="D18">
        <v>6</v>
      </c>
      <c r="E18" s="4">
        <f t="shared" si="0"/>
        <v>9.0009999999999994</v>
      </c>
      <c r="J18" s="4">
        <f t="shared" si="1"/>
        <v>0.99631553373287973</v>
      </c>
    </row>
    <row r="19" spans="1:10">
      <c r="A19">
        <v>18</v>
      </c>
      <c r="B19">
        <v>-36.018000000000001</v>
      </c>
      <c r="C19">
        <v>14</v>
      </c>
      <c r="D19">
        <v>16</v>
      </c>
      <c r="E19" s="4">
        <f t="shared" si="0"/>
        <v>36.018000000000001</v>
      </c>
      <c r="J19" s="4">
        <f t="shared" si="1"/>
        <v>0.99997366152957556</v>
      </c>
    </row>
    <row r="20" spans="1:10">
      <c r="A20">
        <v>19</v>
      </c>
      <c r="B20">
        <v>-16.382999999999999</v>
      </c>
      <c r="C20">
        <v>10</v>
      </c>
      <c r="D20">
        <v>11</v>
      </c>
      <c r="E20" s="4">
        <f t="shared" si="0"/>
        <v>16.382999999999999</v>
      </c>
      <c r="J20" s="4">
        <f t="shared" si="1"/>
        <v>0.99917233055184851</v>
      </c>
    </row>
    <row r="21" spans="1:10">
      <c r="A21">
        <v>20</v>
      </c>
      <c r="B21">
        <v>-34.043000000000006</v>
      </c>
      <c r="C21">
        <v>17</v>
      </c>
      <c r="D21">
        <v>19</v>
      </c>
      <c r="E21" s="4">
        <f t="shared" si="0"/>
        <v>34.043000000000006</v>
      </c>
      <c r="J21" s="4">
        <f t="shared" si="1"/>
        <v>0.99996335066048592</v>
      </c>
    </row>
    <row r="22" spans="1:10">
      <c r="A22">
        <v>21</v>
      </c>
      <c r="B22">
        <v>-0.755</v>
      </c>
      <c r="C22">
        <v>1</v>
      </c>
      <c r="D22">
        <v>14</v>
      </c>
      <c r="E22" s="4">
        <f t="shared" si="0"/>
        <v>0.755</v>
      </c>
      <c r="J22" s="4" t="e">
        <f t="shared" si="1"/>
        <v>#NUM!</v>
      </c>
    </row>
    <row r="23" spans="1:10">
      <c r="A23">
        <v>22</v>
      </c>
      <c r="B23">
        <v>-0.67600000000000005</v>
      </c>
      <c r="C23">
        <v>1</v>
      </c>
      <c r="D23">
        <v>2</v>
      </c>
      <c r="E23" s="4">
        <f t="shared" si="0"/>
        <v>0.67600000000000005</v>
      </c>
      <c r="J23" s="4" t="e">
        <f t="shared" si="1"/>
        <v>#NUM!</v>
      </c>
    </row>
    <row r="24" spans="1:10">
      <c r="A24">
        <v>23</v>
      </c>
      <c r="B24">
        <v>-7.6520000000000001</v>
      </c>
      <c r="C24">
        <v>5</v>
      </c>
      <c r="D24">
        <v>9</v>
      </c>
      <c r="E24" s="4">
        <f t="shared" si="0"/>
        <v>7.6520000000000001</v>
      </c>
      <c r="J24" s="4">
        <f t="shared" si="1"/>
        <v>0.99500876895844148</v>
      </c>
    </row>
    <row r="25" spans="1:10">
      <c r="A25">
        <v>24</v>
      </c>
      <c r="B25">
        <v>-4.5460000000000003</v>
      </c>
      <c r="C25">
        <v>4</v>
      </c>
      <c r="D25">
        <v>6</v>
      </c>
      <c r="E25" s="4">
        <f t="shared" si="0"/>
        <v>4.5460000000000003</v>
      </c>
      <c r="J25" s="4">
        <f t="shared" si="1"/>
        <v>0.98916343174452148</v>
      </c>
    </row>
    <row r="26" spans="1:10">
      <c r="A26">
        <v>25</v>
      </c>
      <c r="B26">
        <v>-16.47</v>
      </c>
      <c r="C26">
        <v>7</v>
      </c>
      <c r="D26">
        <v>9</v>
      </c>
      <c r="E26" s="4">
        <f t="shared" si="0"/>
        <v>16.47</v>
      </c>
      <c r="J26" s="4">
        <f t="shared" si="1"/>
        <v>0.99918588367340921</v>
      </c>
    </row>
    <row r="27" spans="1:10">
      <c r="A27">
        <v>26</v>
      </c>
      <c r="B27">
        <v>-27.78</v>
      </c>
      <c r="C27">
        <v>11</v>
      </c>
      <c r="D27">
        <v>14</v>
      </c>
      <c r="E27" s="4">
        <f t="shared" si="0"/>
        <v>27.78</v>
      </c>
      <c r="J27" s="4">
        <f t="shared" si="1"/>
        <v>0.99989359474135797</v>
      </c>
    </row>
    <row r="28" spans="1:10">
      <c r="A28">
        <v>27</v>
      </c>
      <c r="B28">
        <v>-13.637</v>
      </c>
      <c r="C28">
        <v>6</v>
      </c>
      <c r="D28">
        <v>8</v>
      </c>
      <c r="E28" s="4">
        <f t="shared" si="0"/>
        <v>13.637</v>
      </c>
      <c r="J28" s="4">
        <f t="shared" si="1"/>
        <v>0.99859167954812911</v>
      </c>
    </row>
    <row r="29" spans="1:10">
      <c r="A29">
        <v>28</v>
      </c>
      <c r="B29">
        <v>-17.312000000000001</v>
      </c>
      <c r="C29">
        <v>6</v>
      </c>
      <c r="D29">
        <v>7</v>
      </c>
      <c r="E29" s="4">
        <f t="shared" si="0"/>
        <v>17.312000000000001</v>
      </c>
      <c r="J29" s="4">
        <f t="shared" si="1"/>
        <v>0.99930547908113665</v>
      </c>
    </row>
    <row r="30" spans="1:10">
      <c r="A30">
        <v>29</v>
      </c>
      <c r="B30">
        <v>-19.756999999999998</v>
      </c>
      <c r="C30">
        <v>7</v>
      </c>
      <c r="D30">
        <v>8</v>
      </c>
      <c r="E30" s="4">
        <f t="shared" si="0"/>
        <v>19.756999999999998</v>
      </c>
      <c r="J30" s="4">
        <f t="shared" si="1"/>
        <v>0.99955847731596714</v>
      </c>
    </row>
    <row r="31" spans="1:10">
      <c r="A31">
        <v>30</v>
      </c>
      <c r="B31">
        <v>-12.442000000000002</v>
      </c>
      <c r="C31">
        <v>8</v>
      </c>
      <c r="D31">
        <v>10</v>
      </c>
      <c r="E31" s="4">
        <f t="shared" si="0"/>
        <v>12.442000000000002</v>
      </c>
      <c r="J31" s="4">
        <f t="shared" si="1"/>
        <v>0.99821193095329142</v>
      </c>
    </row>
    <row r="32" spans="1:10">
      <c r="A32">
        <v>31</v>
      </c>
      <c r="B32">
        <v>-10.241</v>
      </c>
      <c r="C32">
        <v>3</v>
      </c>
      <c r="D32">
        <v>4</v>
      </c>
      <c r="E32" s="4">
        <f t="shared" si="0"/>
        <v>10.241</v>
      </c>
      <c r="J32" s="4">
        <f t="shared" si="1"/>
        <v>0.99718102703240563</v>
      </c>
    </row>
    <row r="33" spans="1:10">
      <c r="A33">
        <v>32</v>
      </c>
      <c r="B33">
        <v>-0.753</v>
      </c>
      <c r="C33">
        <v>1</v>
      </c>
      <c r="D33">
        <v>2</v>
      </c>
      <c r="E33" s="4">
        <f t="shared" si="0"/>
        <v>0.753</v>
      </c>
      <c r="J33" s="4" t="e">
        <f t="shared" si="1"/>
        <v>#NUM!</v>
      </c>
    </row>
    <row r="34" spans="1:10">
      <c r="A34">
        <v>33</v>
      </c>
      <c r="B34">
        <v>-1.3220000000000001</v>
      </c>
      <c r="C34">
        <v>2</v>
      </c>
      <c r="D34">
        <v>9</v>
      </c>
      <c r="E34" s="4">
        <f t="shared" ref="E34:E65" si="2">ABS(B34)</f>
        <v>1.3220000000000001</v>
      </c>
      <c r="J34" s="4">
        <f t="shared" si="1"/>
        <v>0.96726349039921056</v>
      </c>
    </row>
    <row r="35" spans="1:10">
      <c r="A35">
        <v>34</v>
      </c>
      <c r="B35">
        <v>-3.234</v>
      </c>
      <c r="C35">
        <v>2</v>
      </c>
      <c r="D35">
        <v>3</v>
      </c>
      <c r="E35" s="4">
        <f t="shared" si="2"/>
        <v>3.234</v>
      </c>
      <c r="J35" s="4">
        <f t="shared" si="1"/>
        <v>0.98408105673451496</v>
      </c>
    </row>
    <row r="36" spans="1:10">
      <c r="A36">
        <v>35</v>
      </c>
      <c r="B36">
        <v>-0.192</v>
      </c>
      <c r="C36">
        <v>1</v>
      </c>
      <c r="D36">
        <v>2</v>
      </c>
      <c r="E36" s="4">
        <f t="shared" si="2"/>
        <v>0.192</v>
      </c>
      <c r="J36" s="4" t="e">
        <f t="shared" si="1"/>
        <v>#NUM!</v>
      </c>
    </row>
    <row r="37" spans="1:10">
      <c r="A37">
        <v>36</v>
      </c>
      <c r="B37">
        <v>-8.6339999999999986</v>
      </c>
      <c r="C37">
        <v>4</v>
      </c>
      <c r="D37">
        <v>5</v>
      </c>
      <c r="E37" s="4">
        <f t="shared" si="2"/>
        <v>8.6339999999999986</v>
      </c>
      <c r="J37" s="4">
        <f t="shared" si="1"/>
        <v>0.99600394447130358</v>
      </c>
    </row>
    <row r="38" spans="1:10">
      <c r="A38">
        <v>37</v>
      </c>
      <c r="B38">
        <v>-1.7250000000000001</v>
      </c>
      <c r="C38">
        <v>1</v>
      </c>
      <c r="D38">
        <v>2</v>
      </c>
      <c r="E38" s="4">
        <f t="shared" si="2"/>
        <v>1.7250000000000001</v>
      </c>
      <c r="J38" s="4">
        <f t="shared" si="1"/>
        <v>0.97267447007936525</v>
      </c>
    </row>
    <row r="39" spans="1:10">
      <c r="A39">
        <v>38</v>
      </c>
      <c r="B39">
        <v>-0.68600000000000005</v>
      </c>
      <c r="C39">
        <v>1</v>
      </c>
      <c r="D39">
        <v>2</v>
      </c>
      <c r="E39" s="4">
        <f t="shared" si="2"/>
        <v>0.68600000000000005</v>
      </c>
      <c r="J39" s="4" t="e">
        <f t="shared" si="1"/>
        <v>#NUM!</v>
      </c>
    </row>
    <row r="40" spans="1:10">
      <c r="A40">
        <v>39</v>
      </c>
      <c r="B40">
        <v>-1.583</v>
      </c>
      <c r="C40">
        <v>1</v>
      </c>
      <c r="D40">
        <v>4</v>
      </c>
      <c r="E40" s="4">
        <f t="shared" si="2"/>
        <v>1.583</v>
      </c>
      <c r="J40" s="4">
        <f t="shared" si="1"/>
        <v>0.97095794803110069</v>
      </c>
    </row>
    <row r="41" spans="1:10">
      <c r="A41">
        <v>40</v>
      </c>
      <c r="B41">
        <v>-4.7089999999999996</v>
      </c>
      <c r="C41">
        <v>3</v>
      </c>
      <c r="D41">
        <v>4</v>
      </c>
      <c r="E41" s="4">
        <f t="shared" si="2"/>
        <v>4.7089999999999996</v>
      </c>
      <c r="J41" s="4">
        <f t="shared" si="1"/>
        <v>0.9896357310739673</v>
      </c>
    </row>
    <row r="42" spans="1:10">
      <c r="A42">
        <v>41</v>
      </c>
      <c r="B42">
        <v>-11.071</v>
      </c>
      <c r="C42">
        <v>4</v>
      </c>
      <c r="D42">
        <v>5</v>
      </c>
      <c r="E42" s="4">
        <f t="shared" si="2"/>
        <v>11.071</v>
      </c>
      <c r="J42" s="4">
        <f t="shared" si="1"/>
        <v>0.99763204250716031</v>
      </c>
    </row>
    <row r="43" spans="1:10">
      <c r="A43">
        <v>42</v>
      </c>
      <c r="B43">
        <v>-3.64</v>
      </c>
      <c r="C43">
        <v>2</v>
      </c>
      <c r="D43">
        <v>3</v>
      </c>
      <c r="E43" s="4">
        <f t="shared" si="2"/>
        <v>3.64</v>
      </c>
      <c r="J43" s="4">
        <f t="shared" si="1"/>
        <v>0.98594783650318951</v>
      </c>
    </row>
    <row r="44" spans="1:10">
      <c r="A44">
        <v>43</v>
      </c>
      <c r="B44">
        <v>-7.2539999999999996</v>
      </c>
      <c r="C44">
        <v>5</v>
      </c>
      <c r="D44">
        <v>6</v>
      </c>
      <c r="E44" s="4">
        <f t="shared" si="2"/>
        <v>7.2539999999999996</v>
      </c>
      <c r="J44" s="4">
        <f t="shared" si="1"/>
        <v>0.99452479146131401</v>
      </c>
    </row>
    <row r="45" spans="1:10">
      <c r="A45">
        <v>44</v>
      </c>
      <c r="B45">
        <v>-8.8840000000000003</v>
      </c>
      <c r="C45">
        <v>4</v>
      </c>
      <c r="D45">
        <v>5</v>
      </c>
      <c r="E45" s="4">
        <f t="shared" si="2"/>
        <v>8.8840000000000003</v>
      </c>
    </row>
    <row r="46" spans="1:10">
      <c r="A46">
        <v>45</v>
      </c>
      <c r="B46">
        <v>-1.5640000000000001</v>
      </c>
      <c r="C46">
        <v>1</v>
      </c>
      <c r="D46">
        <v>5</v>
      </c>
      <c r="E46" s="4">
        <f t="shared" si="2"/>
        <v>1.5640000000000001</v>
      </c>
    </row>
    <row r="47" spans="1:10">
      <c r="A47">
        <v>46</v>
      </c>
      <c r="B47">
        <v>-8.1109999999999989</v>
      </c>
      <c r="C47">
        <v>3</v>
      </c>
      <c r="D47">
        <v>4</v>
      </c>
      <c r="E47" s="4">
        <f t="shared" si="2"/>
        <v>8.1109999999999989</v>
      </c>
    </row>
    <row r="48" spans="1:10">
      <c r="A48">
        <v>47</v>
      </c>
      <c r="B48">
        <v>-4.0609999999999999</v>
      </c>
      <c r="C48">
        <v>2</v>
      </c>
      <c r="D48">
        <v>3</v>
      </c>
      <c r="E48" s="4">
        <f t="shared" si="2"/>
        <v>4.0609999999999999</v>
      </c>
    </row>
    <row r="49" spans="1:5">
      <c r="A49">
        <v>48</v>
      </c>
      <c r="B49">
        <v>-1.32</v>
      </c>
      <c r="C49">
        <v>1</v>
      </c>
      <c r="D49">
        <v>3</v>
      </c>
      <c r="E49" s="4">
        <f t="shared" si="2"/>
        <v>1.32</v>
      </c>
    </row>
    <row r="50" spans="1:5">
      <c r="A50">
        <v>49</v>
      </c>
      <c r="B50">
        <v>-0.13800000000000001</v>
      </c>
      <c r="C50">
        <v>1</v>
      </c>
      <c r="D50">
        <v>2</v>
      </c>
      <c r="E50" s="4">
        <f t="shared" si="2"/>
        <v>0.13800000000000001</v>
      </c>
    </row>
    <row r="51" spans="1:5">
      <c r="A51">
        <v>50</v>
      </c>
      <c r="B51">
        <v>-2.992</v>
      </c>
      <c r="C51">
        <v>3</v>
      </c>
      <c r="D51">
        <v>9</v>
      </c>
      <c r="E51" s="4">
        <f t="shared" si="2"/>
        <v>2.992</v>
      </c>
    </row>
    <row r="52" spans="1:5">
      <c r="A52">
        <v>51</v>
      </c>
      <c r="B52">
        <v>-1.8660000000000001</v>
      </c>
      <c r="C52">
        <v>1</v>
      </c>
      <c r="D52">
        <v>9</v>
      </c>
      <c r="E52" s="4">
        <f t="shared" si="2"/>
        <v>1.8660000000000001</v>
      </c>
    </row>
    <row r="53" spans="1:5">
      <c r="A53">
        <v>52</v>
      </c>
      <c r="B53">
        <v>-7.1280000000000001</v>
      </c>
      <c r="C53">
        <v>3</v>
      </c>
      <c r="D53">
        <v>4</v>
      </c>
      <c r="E53" s="4">
        <f t="shared" si="2"/>
        <v>7.1280000000000001</v>
      </c>
    </row>
    <row r="54" spans="1:5">
      <c r="A54">
        <v>53</v>
      </c>
      <c r="B54">
        <v>-10.96</v>
      </c>
      <c r="C54">
        <v>7</v>
      </c>
      <c r="D54">
        <v>9</v>
      </c>
      <c r="E54" s="4">
        <f t="shared" si="2"/>
        <v>10.96</v>
      </c>
    </row>
    <row r="55" spans="1:5">
      <c r="A55">
        <v>54</v>
      </c>
      <c r="B55">
        <v>-2.3149999999999999</v>
      </c>
      <c r="C55">
        <v>1</v>
      </c>
      <c r="D55">
        <v>2</v>
      </c>
      <c r="E55" s="4">
        <f t="shared" si="2"/>
        <v>2.3149999999999999</v>
      </c>
    </row>
    <row r="56" spans="1:5">
      <c r="A56">
        <v>55</v>
      </c>
      <c r="B56">
        <v>-4.8079999999999998</v>
      </c>
      <c r="C56">
        <v>2</v>
      </c>
      <c r="D56">
        <v>4</v>
      </c>
      <c r="E56" s="4">
        <f t="shared" si="2"/>
        <v>4.8079999999999998</v>
      </c>
    </row>
    <row r="57" spans="1:5">
      <c r="A57">
        <v>56</v>
      </c>
      <c r="B57">
        <v>-8.4130000000000003</v>
      </c>
      <c r="C57">
        <v>4</v>
      </c>
      <c r="D57">
        <v>5</v>
      </c>
      <c r="E57" s="4">
        <f t="shared" si="2"/>
        <v>8.4130000000000003</v>
      </c>
    </row>
    <row r="58" spans="1:5">
      <c r="A58">
        <v>57</v>
      </c>
      <c r="B58">
        <v>-11.102</v>
      </c>
      <c r="C58">
        <v>4</v>
      </c>
      <c r="D58">
        <v>5</v>
      </c>
      <c r="E58" s="4">
        <f t="shared" si="2"/>
        <v>11.102</v>
      </c>
    </row>
    <row r="59" spans="1:5">
      <c r="A59">
        <v>58</v>
      </c>
      <c r="B59">
        <v>-6.3220000000000001</v>
      </c>
      <c r="C59">
        <v>3</v>
      </c>
      <c r="D59">
        <v>4</v>
      </c>
      <c r="E59" s="4">
        <f t="shared" si="2"/>
        <v>6.3220000000000001</v>
      </c>
    </row>
    <row r="60" spans="1:5">
      <c r="A60">
        <v>59</v>
      </c>
      <c r="B60">
        <v>-1.1870000000000001</v>
      </c>
      <c r="C60">
        <v>2</v>
      </c>
      <c r="D60">
        <v>3</v>
      </c>
      <c r="E60" s="4">
        <f t="shared" si="2"/>
        <v>1.1870000000000001</v>
      </c>
    </row>
    <row r="61" spans="1:5">
      <c r="A61">
        <v>60</v>
      </c>
      <c r="B61">
        <v>-6.8009999999999993</v>
      </c>
      <c r="C61">
        <v>4</v>
      </c>
      <c r="D61">
        <v>5</v>
      </c>
      <c r="E61" s="4">
        <f t="shared" si="2"/>
        <v>6.8009999999999993</v>
      </c>
    </row>
    <row r="62" spans="1:5">
      <c r="A62">
        <v>61</v>
      </c>
      <c r="B62">
        <v>-5.9559999999999995</v>
      </c>
      <c r="C62">
        <v>2</v>
      </c>
      <c r="D62">
        <v>4</v>
      </c>
      <c r="E62" s="4">
        <f t="shared" si="2"/>
        <v>5.9559999999999995</v>
      </c>
    </row>
    <row r="63" spans="1:5">
      <c r="A63">
        <v>62</v>
      </c>
      <c r="B63">
        <v>-1.0029999999999999</v>
      </c>
      <c r="C63">
        <v>1</v>
      </c>
      <c r="D63">
        <v>2</v>
      </c>
      <c r="E63" s="4">
        <f t="shared" si="2"/>
        <v>1.0029999999999999</v>
      </c>
    </row>
    <row r="64" spans="1:5">
      <c r="A64">
        <v>63</v>
      </c>
      <c r="B64">
        <v>-1.5489999999999999</v>
      </c>
      <c r="C64">
        <v>2</v>
      </c>
      <c r="D64">
        <v>5</v>
      </c>
      <c r="E64" s="4">
        <f t="shared" si="2"/>
        <v>1.5489999999999999</v>
      </c>
    </row>
    <row r="65" spans="1:5">
      <c r="A65">
        <v>64</v>
      </c>
      <c r="B65">
        <v>-1.018</v>
      </c>
      <c r="C65">
        <v>1</v>
      </c>
      <c r="D65">
        <v>3</v>
      </c>
      <c r="E65" s="4">
        <f t="shared" si="2"/>
        <v>1.018</v>
      </c>
    </row>
    <row r="66" spans="1:5">
      <c r="A66">
        <v>65</v>
      </c>
      <c r="B66">
        <v>-2.246</v>
      </c>
      <c r="C66">
        <v>3</v>
      </c>
      <c r="D66">
        <v>4</v>
      </c>
      <c r="E66" s="4">
        <f t="shared" ref="E66:E97" si="3">ABS(B66)</f>
        <v>2.246</v>
      </c>
    </row>
    <row r="67" spans="1:5">
      <c r="A67">
        <v>66</v>
      </c>
      <c r="B67">
        <v>-1.6</v>
      </c>
      <c r="C67">
        <v>2</v>
      </c>
      <c r="D67">
        <v>6</v>
      </c>
      <c r="E67" s="4">
        <f t="shared" si="3"/>
        <v>1.6</v>
      </c>
    </row>
    <row r="68" spans="1:5">
      <c r="A68">
        <v>67</v>
      </c>
      <c r="B68">
        <v>-6.4770000000000003</v>
      </c>
      <c r="C68">
        <v>3</v>
      </c>
      <c r="D68">
        <v>5</v>
      </c>
      <c r="E68" s="4">
        <f t="shared" si="3"/>
        <v>6.4770000000000003</v>
      </c>
    </row>
    <row r="69" spans="1:5">
      <c r="A69">
        <v>68</v>
      </c>
      <c r="B69">
        <v>-2.2959999999999998</v>
      </c>
      <c r="C69">
        <v>1</v>
      </c>
      <c r="D69">
        <v>3</v>
      </c>
      <c r="E69" s="4">
        <f t="shared" si="3"/>
        <v>2.2959999999999998</v>
      </c>
    </row>
    <row r="70" spans="1:5">
      <c r="A70">
        <v>69</v>
      </c>
      <c r="B70">
        <v>-1.544</v>
      </c>
      <c r="C70">
        <v>2</v>
      </c>
      <c r="D70">
        <v>3</v>
      </c>
      <c r="E70" s="4">
        <f t="shared" si="3"/>
        <v>1.544</v>
      </c>
    </row>
    <row r="71" spans="1:5">
      <c r="A71">
        <v>70</v>
      </c>
      <c r="B71">
        <v>-7.1870000000000003</v>
      </c>
      <c r="C71">
        <v>2</v>
      </c>
      <c r="D71">
        <v>3</v>
      </c>
      <c r="E71" s="4">
        <f t="shared" si="3"/>
        <v>7.1870000000000003</v>
      </c>
    </row>
    <row r="72" spans="1:5">
      <c r="A72">
        <v>71</v>
      </c>
      <c r="B72">
        <v>-3.948</v>
      </c>
      <c r="C72">
        <v>2</v>
      </c>
      <c r="D72">
        <v>3</v>
      </c>
      <c r="E72" s="4">
        <f t="shared" si="3"/>
        <v>3.948</v>
      </c>
    </row>
    <row r="73" spans="1:5">
      <c r="A73">
        <v>72</v>
      </c>
      <c r="B73">
        <v>-2.5219999999999998</v>
      </c>
      <c r="C73">
        <v>1</v>
      </c>
      <c r="D73">
        <v>3</v>
      </c>
      <c r="E73" s="4">
        <f t="shared" si="3"/>
        <v>2.5219999999999998</v>
      </c>
    </row>
    <row r="74" spans="1:5">
      <c r="A74">
        <v>73</v>
      </c>
      <c r="B74">
        <v>-2.8970000000000002</v>
      </c>
      <c r="C74">
        <v>2</v>
      </c>
      <c r="D74">
        <v>3</v>
      </c>
      <c r="E74" s="4">
        <f t="shared" si="3"/>
        <v>2.8970000000000002</v>
      </c>
    </row>
    <row r="75" spans="1:5">
      <c r="A75">
        <v>74</v>
      </c>
      <c r="B75">
        <v>-0.371</v>
      </c>
      <c r="C75">
        <v>1</v>
      </c>
      <c r="D75">
        <v>3</v>
      </c>
      <c r="E75" s="4">
        <f t="shared" si="3"/>
        <v>0.371</v>
      </c>
    </row>
    <row r="76" spans="1:5">
      <c r="A76">
        <v>75</v>
      </c>
      <c r="B76">
        <v>-4.04</v>
      </c>
      <c r="C76">
        <v>2</v>
      </c>
      <c r="D76">
        <v>4</v>
      </c>
      <c r="E76" s="4">
        <f t="shared" si="3"/>
        <v>4.04</v>
      </c>
    </row>
    <row r="77" spans="1:5">
      <c r="A77">
        <v>76</v>
      </c>
      <c r="B77">
        <v>-0.88600000000000001</v>
      </c>
      <c r="C77">
        <v>1</v>
      </c>
      <c r="D77">
        <v>2</v>
      </c>
      <c r="E77" s="4">
        <f t="shared" si="3"/>
        <v>0.88600000000000001</v>
      </c>
    </row>
    <row r="78" spans="1:5">
      <c r="A78">
        <v>77</v>
      </c>
      <c r="B78">
        <v>-0.32400000000000001</v>
      </c>
      <c r="C78">
        <v>1</v>
      </c>
      <c r="D78">
        <v>2</v>
      </c>
      <c r="E78" s="4">
        <f t="shared" si="3"/>
        <v>0.32400000000000001</v>
      </c>
    </row>
    <row r="79" spans="1:5">
      <c r="A79">
        <v>78</v>
      </c>
      <c r="B79">
        <v>-11.140999999999998</v>
      </c>
      <c r="C79">
        <v>4</v>
      </c>
      <c r="D79">
        <v>6</v>
      </c>
      <c r="E79" s="4">
        <f t="shared" si="3"/>
        <v>11.140999999999998</v>
      </c>
    </row>
    <row r="80" spans="1:5">
      <c r="A80">
        <v>79</v>
      </c>
      <c r="B80">
        <v>-4.3209999999999997</v>
      </c>
      <c r="C80">
        <v>2</v>
      </c>
      <c r="D80">
        <v>3</v>
      </c>
      <c r="E80" s="4">
        <f t="shared" si="3"/>
        <v>4.3209999999999997</v>
      </c>
    </row>
    <row r="81" spans="1:5">
      <c r="A81">
        <v>80</v>
      </c>
      <c r="B81">
        <v>-29.376999999999999</v>
      </c>
      <c r="C81">
        <v>11</v>
      </c>
      <c r="D81">
        <v>15</v>
      </c>
      <c r="E81" s="4">
        <f t="shared" si="3"/>
        <v>29.376999999999999</v>
      </c>
    </row>
    <row r="82" spans="1:5">
      <c r="A82">
        <v>81</v>
      </c>
      <c r="B82">
        <v>-11.721</v>
      </c>
      <c r="C82">
        <v>6</v>
      </c>
      <c r="D82">
        <v>13</v>
      </c>
      <c r="E82" s="4">
        <f t="shared" si="3"/>
        <v>11.721</v>
      </c>
    </row>
    <row r="83" spans="1:5">
      <c r="A83">
        <v>82</v>
      </c>
      <c r="B83">
        <v>-2.089</v>
      </c>
      <c r="C83">
        <v>1</v>
      </c>
      <c r="D83">
        <v>2</v>
      </c>
      <c r="E83" s="4">
        <f t="shared" si="3"/>
        <v>2.089</v>
      </c>
    </row>
    <row r="84" spans="1:5">
      <c r="A84">
        <v>83</v>
      </c>
      <c r="B84">
        <v>-7.0000000000000001E-3</v>
      </c>
      <c r="C84">
        <v>1</v>
      </c>
      <c r="D84">
        <v>5</v>
      </c>
      <c r="E84" s="4">
        <f t="shared" si="3"/>
        <v>7.0000000000000001E-3</v>
      </c>
    </row>
    <row r="85" spans="1:5">
      <c r="A85">
        <v>84</v>
      </c>
      <c r="B85">
        <v>-3.6629999999999998</v>
      </c>
      <c r="C85">
        <v>3</v>
      </c>
      <c r="D85">
        <v>4</v>
      </c>
      <c r="E85" s="4">
        <f t="shared" si="3"/>
        <v>3.6629999999999998</v>
      </c>
    </row>
    <row r="86" spans="1:5">
      <c r="A86">
        <v>85</v>
      </c>
      <c r="B86">
        <v>-8.9999999999999993E-3</v>
      </c>
      <c r="C86">
        <v>1</v>
      </c>
      <c r="D86">
        <v>4</v>
      </c>
      <c r="E86" s="4">
        <f t="shared" si="3"/>
        <v>8.9999999999999993E-3</v>
      </c>
    </row>
    <row r="87" spans="1:5">
      <c r="A87">
        <v>86</v>
      </c>
      <c r="B87">
        <v>-8.7859999999999996</v>
      </c>
      <c r="C87">
        <v>2</v>
      </c>
      <c r="D87">
        <v>5</v>
      </c>
      <c r="E87" s="4">
        <f t="shared" si="3"/>
        <v>8.7859999999999996</v>
      </c>
    </row>
    <row r="88" spans="1:5">
      <c r="A88">
        <v>87</v>
      </c>
      <c r="B88">
        <v>-12.855</v>
      </c>
      <c r="C88">
        <v>7</v>
      </c>
      <c r="D88">
        <v>9</v>
      </c>
      <c r="E88" s="4">
        <f t="shared" si="3"/>
        <v>12.855</v>
      </c>
    </row>
    <row r="89" spans="1:5">
      <c r="A89">
        <v>88</v>
      </c>
      <c r="B89">
        <v>-6.7930000000000001</v>
      </c>
      <c r="C89">
        <v>3</v>
      </c>
      <c r="D89">
        <v>4</v>
      </c>
      <c r="E89" s="4">
        <f t="shared" si="3"/>
        <v>6.7930000000000001</v>
      </c>
    </row>
    <row r="90" spans="1:5">
      <c r="A90">
        <v>89</v>
      </c>
      <c r="B90">
        <v>-1.2210000000000001</v>
      </c>
      <c r="C90">
        <v>3</v>
      </c>
      <c r="D90">
        <v>4</v>
      </c>
      <c r="E90" s="4">
        <f t="shared" si="3"/>
        <v>1.2210000000000001</v>
      </c>
    </row>
    <row r="91" spans="1:5">
      <c r="A91">
        <v>90</v>
      </c>
      <c r="B91">
        <v>-0.78500000000000003</v>
      </c>
      <c r="C91">
        <v>1</v>
      </c>
      <c r="D91">
        <v>3</v>
      </c>
      <c r="E91" s="4">
        <f t="shared" si="3"/>
        <v>0.78500000000000003</v>
      </c>
    </row>
    <row r="92" spans="1:5">
      <c r="A92">
        <v>91</v>
      </c>
      <c r="B92">
        <v>-0.42</v>
      </c>
      <c r="C92">
        <v>1</v>
      </c>
      <c r="D92">
        <v>3</v>
      </c>
      <c r="E92" s="4">
        <f t="shared" si="3"/>
        <v>0.42</v>
      </c>
    </row>
    <row r="93" spans="1:5">
      <c r="A93">
        <v>92</v>
      </c>
      <c r="B93">
        <v>-5.7210000000000001</v>
      </c>
      <c r="C93">
        <v>2</v>
      </c>
      <c r="D93">
        <v>3</v>
      </c>
      <c r="E93" s="4">
        <f t="shared" si="3"/>
        <v>5.7210000000000001</v>
      </c>
    </row>
    <row r="94" spans="1:5">
      <c r="A94">
        <v>93</v>
      </c>
      <c r="B94">
        <v>-7.4380000000000006</v>
      </c>
      <c r="C94">
        <v>4</v>
      </c>
      <c r="D94">
        <v>5</v>
      </c>
      <c r="E94" s="4">
        <f t="shared" si="3"/>
        <v>7.4380000000000006</v>
      </c>
    </row>
    <row r="95" spans="1:5">
      <c r="A95">
        <v>94</v>
      </c>
      <c r="B95">
        <v>-3.9689999999999999</v>
      </c>
      <c r="C95">
        <v>2</v>
      </c>
      <c r="D95">
        <v>3</v>
      </c>
      <c r="E95" s="4">
        <f t="shared" si="3"/>
        <v>3.9689999999999999</v>
      </c>
    </row>
    <row r="96" spans="1:5">
      <c r="A96">
        <v>95</v>
      </c>
      <c r="B96">
        <v>-1.7729999999999999</v>
      </c>
      <c r="C96">
        <v>1</v>
      </c>
      <c r="D96">
        <v>7</v>
      </c>
      <c r="E96" s="4">
        <f t="shared" si="3"/>
        <v>1.7729999999999999</v>
      </c>
    </row>
    <row r="97" spans="1:5">
      <c r="A97">
        <v>96</v>
      </c>
      <c r="B97">
        <v>-8.8390000000000004</v>
      </c>
      <c r="C97">
        <v>3</v>
      </c>
      <c r="D97">
        <v>5</v>
      </c>
      <c r="E97" s="4">
        <f t="shared" si="3"/>
        <v>8.8390000000000004</v>
      </c>
    </row>
    <row r="98" spans="1:5">
      <c r="A98">
        <v>97</v>
      </c>
      <c r="B98">
        <v>-0.375</v>
      </c>
      <c r="C98">
        <v>1</v>
      </c>
      <c r="D98">
        <v>8</v>
      </c>
      <c r="E98" s="4">
        <f t="shared" ref="E98:E129" si="4">ABS(B98)</f>
        <v>0.375</v>
      </c>
    </row>
    <row r="99" spans="1:5">
      <c r="A99">
        <v>98</v>
      </c>
      <c r="B99">
        <v>-1.752</v>
      </c>
      <c r="C99">
        <v>2</v>
      </c>
      <c r="D99">
        <v>5</v>
      </c>
      <c r="E99" s="4">
        <f t="shared" si="4"/>
        <v>1.752</v>
      </c>
    </row>
    <row r="100" spans="1:5">
      <c r="A100">
        <v>99</v>
      </c>
      <c r="B100">
        <v>-4.6189999999999998</v>
      </c>
      <c r="C100">
        <v>2</v>
      </c>
      <c r="D100">
        <v>3</v>
      </c>
      <c r="E100" s="4">
        <f t="shared" si="4"/>
        <v>4.6189999999999998</v>
      </c>
    </row>
    <row r="101" spans="1:5">
      <c r="A101">
        <v>100</v>
      </c>
      <c r="B101">
        <v>-0.56100000000000005</v>
      </c>
      <c r="C101">
        <v>1</v>
      </c>
      <c r="D101">
        <v>3</v>
      </c>
      <c r="E101" s="4">
        <f t="shared" si="4"/>
        <v>0.56100000000000005</v>
      </c>
    </row>
    <row r="102" spans="1:5">
      <c r="A102">
        <v>101</v>
      </c>
      <c r="B102">
        <v>-15.484999999999999</v>
      </c>
      <c r="C102">
        <v>9</v>
      </c>
      <c r="D102">
        <v>11</v>
      </c>
      <c r="E102" s="4">
        <f t="shared" si="4"/>
        <v>15.484999999999999</v>
      </c>
    </row>
    <row r="103" spans="1:5">
      <c r="A103">
        <v>102</v>
      </c>
      <c r="B103">
        <v>-3.2069999999999999</v>
      </c>
      <c r="C103">
        <v>1</v>
      </c>
      <c r="D103">
        <v>4</v>
      </c>
      <c r="E103" s="4">
        <f t="shared" si="4"/>
        <v>3.2069999999999999</v>
      </c>
    </row>
    <row r="104" spans="1:5">
      <c r="A104">
        <v>103</v>
      </c>
      <c r="B104">
        <v>-1.4239999999999999</v>
      </c>
      <c r="C104">
        <v>2</v>
      </c>
      <c r="D104">
        <v>4</v>
      </c>
      <c r="E104" s="4">
        <f t="shared" si="4"/>
        <v>1.4239999999999999</v>
      </c>
    </row>
    <row r="105" spans="1:5">
      <c r="A105">
        <v>104</v>
      </c>
      <c r="B105">
        <v>-0.36</v>
      </c>
      <c r="C105">
        <v>1</v>
      </c>
      <c r="D105">
        <v>5</v>
      </c>
      <c r="E105" s="4">
        <f t="shared" si="4"/>
        <v>0.36</v>
      </c>
    </row>
    <row r="106" spans="1:5">
      <c r="A106">
        <v>105</v>
      </c>
      <c r="B106">
        <v>-2.6970000000000001</v>
      </c>
      <c r="C106">
        <v>3</v>
      </c>
      <c r="D106">
        <v>5</v>
      </c>
      <c r="E106" s="4">
        <f t="shared" si="4"/>
        <v>2.6970000000000001</v>
      </c>
    </row>
    <row r="107" spans="1:5">
      <c r="A107">
        <v>106</v>
      </c>
      <c r="B107">
        <v>-1.6839999999999999</v>
      </c>
      <c r="C107">
        <v>1</v>
      </c>
      <c r="D107">
        <v>2</v>
      </c>
      <c r="E107" s="4">
        <f t="shared" si="4"/>
        <v>1.6839999999999999</v>
      </c>
    </row>
    <row r="108" spans="1:5">
      <c r="A108">
        <v>107</v>
      </c>
      <c r="B108">
        <v>-9.7409999999999997</v>
      </c>
      <c r="C108">
        <v>5</v>
      </c>
      <c r="D108">
        <v>11</v>
      </c>
      <c r="E108" s="4">
        <f t="shared" si="4"/>
        <v>9.7409999999999997</v>
      </c>
    </row>
    <row r="109" spans="1:5">
      <c r="A109">
        <v>108</v>
      </c>
      <c r="B109">
        <v>-3.556</v>
      </c>
      <c r="C109">
        <v>1</v>
      </c>
      <c r="D109">
        <v>8</v>
      </c>
      <c r="E109" s="4">
        <f t="shared" si="4"/>
        <v>3.556</v>
      </c>
    </row>
    <row r="110" spans="1:5">
      <c r="A110">
        <v>109</v>
      </c>
      <c r="B110">
        <v>-0.61199999999999999</v>
      </c>
      <c r="C110">
        <v>1</v>
      </c>
      <c r="D110">
        <v>2</v>
      </c>
      <c r="E110" s="4">
        <f t="shared" si="4"/>
        <v>0.61199999999999999</v>
      </c>
    </row>
    <row r="111" spans="1:5">
      <c r="A111">
        <v>110</v>
      </c>
      <c r="B111">
        <v>-3.09</v>
      </c>
      <c r="C111">
        <v>2</v>
      </c>
      <c r="D111">
        <v>5</v>
      </c>
      <c r="E111" s="4">
        <f t="shared" si="4"/>
        <v>3.09</v>
      </c>
    </row>
    <row r="112" spans="1:5">
      <c r="A112">
        <v>111</v>
      </c>
      <c r="B112">
        <v>-1.859</v>
      </c>
      <c r="C112">
        <v>1</v>
      </c>
      <c r="D112">
        <v>2</v>
      </c>
      <c r="E112" s="4">
        <f t="shared" si="4"/>
        <v>1.859</v>
      </c>
    </row>
    <row r="113" spans="1:5">
      <c r="A113">
        <v>112</v>
      </c>
      <c r="B113">
        <v>-8.8049999999999997</v>
      </c>
      <c r="C113">
        <v>3</v>
      </c>
      <c r="D113">
        <v>5</v>
      </c>
      <c r="E113" s="4">
        <f t="shared" si="4"/>
        <v>8.8049999999999997</v>
      </c>
    </row>
    <row r="114" spans="1:5">
      <c r="A114">
        <v>113</v>
      </c>
      <c r="B114">
        <v>-6.2509999999999994</v>
      </c>
      <c r="C114">
        <v>3</v>
      </c>
      <c r="D114">
        <v>8</v>
      </c>
      <c r="E114" s="4">
        <f t="shared" si="4"/>
        <v>6.2509999999999994</v>
      </c>
    </row>
    <row r="115" spans="1:5">
      <c r="A115">
        <v>114</v>
      </c>
      <c r="B115">
        <v>-1.4259999999999999</v>
      </c>
      <c r="C115">
        <v>1</v>
      </c>
      <c r="D115">
        <v>3</v>
      </c>
      <c r="E115" s="4">
        <f t="shared" si="4"/>
        <v>1.4259999999999999</v>
      </c>
    </row>
    <row r="116" spans="1:5">
      <c r="A116">
        <v>115</v>
      </c>
      <c r="B116">
        <v>-14.693999999999999</v>
      </c>
      <c r="C116">
        <v>8</v>
      </c>
      <c r="D116">
        <v>11</v>
      </c>
      <c r="E116" s="4">
        <f t="shared" si="4"/>
        <v>14.693999999999999</v>
      </c>
    </row>
    <row r="117" spans="1:5">
      <c r="A117">
        <v>116</v>
      </c>
      <c r="B117">
        <v>-0.91900000000000004</v>
      </c>
      <c r="C117">
        <v>1</v>
      </c>
      <c r="D117">
        <v>2</v>
      </c>
      <c r="E117" s="4">
        <f t="shared" si="4"/>
        <v>0.91900000000000004</v>
      </c>
    </row>
    <row r="118" spans="1:5">
      <c r="A118">
        <v>117</v>
      </c>
      <c r="B118">
        <v>-4.0890000000000004</v>
      </c>
      <c r="C118">
        <v>1</v>
      </c>
      <c r="D118">
        <v>2</v>
      </c>
      <c r="E118" s="4">
        <f t="shared" si="4"/>
        <v>4.0890000000000004</v>
      </c>
    </row>
    <row r="119" spans="1:5">
      <c r="A119">
        <v>118</v>
      </c>
      <c r="B119">
        <v>-0.74299999999999999</v>
      </c>
      <c r="C119">
        <v>1</v>
      </c>
      <c r="D119">
        <v>2</v>
      </c>
      <c r="E119" s="4">
        <f t="shared" si="4"/>
        <v>0.74299999999999999</v>
      </c>
    </row>
    <row r="120" spans="1:5">
      <c r="A120">
        <v>119</v>
      </c>
      <c r="B120">
        <v>-2.1860000000000004</v>
      </c>
      <c r="C120">
        <v>2</v>
      </c>
      <c r="D120">
        <v>3</v>
      </c>
      <c r="E120" s="4">
        <f t="shared" si="4"/>
        <v>2.1860000000000004</v>
      </c>
    </row>
    <row r="121" spans="1:5">
      <c r="A121">
        <v>120</v>
      </c>
      <c r="B121">
        <v>-0.312</v>
      </c>
      <c r="C121">
        <v>1</v>
      </c>
      <c r="D121">
        <v>3</v>
      </c>
      <c r="E121" s="4">
        <f t="shared" si="4"/>
        <v>0.312</v>
      </c>
    </row>
    <row r="122" spans="1:5">
      <c r="A122">
        <v>121</v>
      </c>
      <c r="B122">
        <v>-1.623</v>
      </c>
      <c r="C122">
        <v>1</v>
      </c>
      <c r="D122">
        <v>2</v>
      </c>
      <c r="E122" s="4">
        <f t="shared" si="4"/>
        <v>1.623</v>
      </c>
    </row>
    <row r="123" spans="1:5">
      <c r="A123">
        <v>122</v>
      </c>
      <c r="B123">
        <v>-0.629</v>
      </c>
      <c r="C123">
        <v>1</v>
      </c>
      <c r="D123">
        <v>4</v>
      </c>
      <c r="E123" s="4">
        <f t="shared" si="4"/>
        <v>0.629</v>
      </c>
    </row>
    <row r="124" spans="1:5">
      <c r="A124">
        <v>123</v>
      </c>
      <c r="B124">
        <v>-3.613</v>
      </c>
      <c r="C124">
        <v>1</v>
      </c>
      <c r="D124">
        <v>3</v>
      </c>
      <c r="E124" s="4">
        <f t="shared" si="4"/>
        <v>3.613</v>
      </c>
    </row>
    <row r="125" spans="1:5">
      <c r="A125">
        <v>124</v>
      </c>
      <c r="B125">
        <v>-0.59799999999999998</v>
      </c>
      <c r="C125">
        <v>1</v>
      </c>
      <c r="D125">
        <v>2</v>
      </c>
      <c r="E125" s="4">
        <f t="shared" si="4"/>
        <v>0.59799999999999998</v>
      </c>
    </row>
    <row r="126" spans="1:5">
      <c r="A126">
        <v>125</v>
      </c>
      <c r="B126">
        <v>-5.8360000000000003</v>
      </c>
      <c r="C126">
        <v>2</v>
      </c>
      <c r="D126">
        <v>6</v>
      </c>
      <c r="E126" s="4">
        <f t="shared" si="4"/>
        <v>5.8360000000000003</v>
      </c>
    </row>
    <row r="127" spans="1:5">
      <c r="A127">
        <v>126</v>
      </c>
      <c r="B127">
        <v>-5.76</v>
      </c>
      <c r="C127">
        <v>2</v>
      </c>
      <c r="D127">
        <v>3</v>
      </c>
      <c r="E127" s="4">
        <f t="shared" si="4"/>
        <v>5.76</v>
      </c>
    </row>
    <row r="128" spans="1:5">
      <c r="A128">
        <v>127</v>
      </c>
      <c r="B128">
        <v>-4.5780000000000003</v>
      </c>
      <c r="C128">
        <v>2</v>
      </c>
      <c r="D128">
        <v>3</v>
      </c>
      <c r="E128" s="4">
        <f t="shared" si="4"/>
        <v>4.5780000000000003</v>
      </c>
    </row>
    <row r="129" spans="1:5">
      <c r="A129">
        <v>128</v>
      </c>
      <c r="B129">
        <v>-5.6079999999999997</v>
      </c>
      <c r="C129">
        <v>5</v>
      </c>
      <c r="D129">
        <v>6</v>
      </c>
      <c r="E129" s="4">
        <f t="shared" si="4"/>
        <v>5.6079999999999997</v>
      </c>
    </row>
    <row r="130" spans="1:5">
      <c r="A130">
        <v>129</v>
      </c>
      <c r="B130">
        <v>-0.14599999999999999</v>
      </c>
      <c r="C130">
        <v>1</v>
      </c>
      <c r="D130">
        <v>3</v>
      </c>
      <c r="E130" s="4">
        <f t="shared" ref="E130:E161" si="5">ABS(B130)</f>
        <v>0.14599999999999999</v>
      </c>
    </row>
    <row r="131" spans="1:5">
      <c r="A131">
        <v>130</v>
      </c>
      <c r="B131">
        <v>-7.0190000000000001</v>
      </c>
      <c r="C131">
        <v>4</v>
      </c>
      <c r="D131">
        <v>7</v>
      </c>
      <c r="E131" s="4">
        <f t="shared" si="5"/>
        <v>7.0190000000000001</v>
      </c>
    </row>
    <row r="132" spans="1:5">
      <c r="A132">
        <v>131</v>
      </c>
      <c r="B132">
        <v>-7.8360000000000003</v>
      </c>
      <c r="C132">
        <v>3</v>
      </c>
      <c r="D132">
        <v>5</v>
      </c>
      <c r="E132" s="4">
        <f t="shared" si="5"/>
        <v>7.8360000000000003</v>
      </c>
    </row>
    <row r="133" spans="1:5">
      <c r="A133">
        <v>132</v>
      </c>
      <c r="B133">
        <v>-3.5939999999999999</v>
      </c>
      <c r="C133">
        <v>3</v>
      </c>
      <c r="D133">
        <v>4</v>
      </c>
      <c r="E133" s="4">
        <f t="shared" si="5"/>
        <v>3.5939999999999999</v>
      </c>
    </row>
    <row r="134" spans="1:5">
      <c r="A134">
        <v>133</v>
      </c>
      <c r="B134">
        <v>-0.42699999999999999</v>
      </c>
      <c r="C134">
        <v>1</v>
      </c>
      <c r="D134">
        <v>2</v>
      </c>
      <c r="E134" s="4">
        <f t="shared" si="5"/>
        <v>0.42699999999999999</v>
      </c>
    </row>
    <row r="135" spans="1:5">
      <c r="A135">
        <v>134</v>
      </c>
      <c r="B135">
        <v>-7.6539999999999999</v>
      </c>
      <c r="C135">
        <v>4</v>
      </c>
      <c r="D135">
        <v>8</v>
      </c>
      <c r="E135" s="4">
        <f t="shared" si="5"/>
        <v>7.6539999999999999</v>
      </c>
    </row>
    <row r="136" spans="1:5">
      <c r="A136">
        <v>135</v>
      </c>
      <c r="B136">
        <v>-1.649</v>
      </c>
      <c r="C136">
        <v>1</v>
      </c>
      <c r="D136">
        <v>2</v>
      </c>
      <c r="E136" s="4">
        <f t="shared" si="5"/>
        <v>1.649</v>
      </c>
    </row>
    <row r="137" spans="1:5">
      <c r="A137">
        <v>136</v>
      </c>
      <c r="B137">
        <v>-3.3260000000000001</v>
      </c>
      <c r="C137">
        <v>2</v>
      </c>
      <c r="D137">
        <v>3</v>
      </c>
      <c r="E137" s="4">
        <f t="shared" si="5"/>
        <v>3.3260000000000001</v>
      </c>
    </row>
    <row r="138" spans="1:5">
      <c r="A138">
        <v>137</v>
      </c>
      <c r="B138">
        <v>-11.206000000000001</v>
      </c>
      <c r="C138">
        <v>5</v>
      </c>
      <c r="D138">
        <v>7</v>
      </c>
      <c r="E138" s="4">
        <f t="shared" si="5"/>
        <v>11.206000000000001</v>
      </c>
    </row>
    <row r="139" spans="1:5">
      <c r="A139">
        <v>138</v>
      </c>
      <c r="B139">
        <v>-0.376</v>
      </c>
      <c r="C139">
        <v>1</v>
      </c>
      <c r="D139">
        <v>2</v>
      </c>
      <c r="E139" s="4">
        <f t="shared" si="5"/>
        <v>0.376</v>
      </c>
    </row>
    <row r="140" spans="1:5">
      <c r="A140">
        <v>139</v>
      </c>
      <c r="B140">
        <v>-6.5690000000000008</v>
      </c>
      <c r="C140">
        <v>3</v>
      </c>
      <c r="D140">
        <v>5</v>
      </c>
      <c r="E140" s="4">
        <f t="shared" si="5"/>
        <v>6.5690000000000008</v>
      </c>
    </row>
    <row r="141" spans="1:5">
      <c r="A141">
        <v>140</v>
      </c>
      <c r="B141">
        <v>-3.8689999999999998</v>
      </c>
      <c r="C141">
        <v>3</v>
      </c>
      <c r="D141">
        <v>9</v>
      </c>
      <c r="E141" s="4">
        <f t="shared" si="5"/>
        <v>3.8689999999999998</v>
      </c>
    </row>
    <row r="142" spans="1:5">
      <c r="A142">
        <v>141</v>
      </c>
      <c r="B142">
        <v>-14.353</v>
      </c>
      <c r="C142">
        <v>8</v>
      </c>
      <c r="D142">
        <v>13</v>
      </c>
      <c r="E142" s="4">
        <f t="shared" si="5"/>
        <v>14.353</v>
      </c>
    </row>
    <row r="143" spans="1:5">
      <c r="A143">
        <v>142</v>
      </c>
      <c r="B143">
        <v>-6.87</v>
      </c>
      <c r="C143">
        <v>7</v>
      </c>
      <c r="D143">
        <v>9</v>
      </c>
      <c r="E143" s="4">
        <f t="shared" si="5"/>
        <v>6.87</v>
      </c>
    </row>
    <row r="144" spans="1:5">
      <c r="A144">
        <v>143</v>
      </c>
      <c r="B144">
        <v>-14.530999999999999</v>
      </c>
      <c r="C144">
        <v>7</v>
      </c>
      <c r="D144">
        <v>8</v>
      </c>
      <c r="E144" s="4">
        <f t="shared" si="5"/>
        <v>14.530999999999999</v>
      </c>
    </row>
    <row r="145" spans="1:5">
      <c r="A145">
        <v>144</v>
      </c>
      <c r="B145">
        <v>-1.657</v>
      </c>
      <c r="C145">
        <v>1</v>
      </c>
      <c r="D145">
        <v>5</v>
      </c>
      <c r="E145" s="4">
        <f t="shared" si="5"/>
        <v>1.657</v>
      </c>
    </row>
    <row r="146" spans="1:5">
      <c r="A146">
        <v>145</v>
      </c>
      <c r="B146">
        <v>-7</v>
      </c>
      <c r="C146">
        <v>2</v>
      </c>
      <c r="D146">
        <v>4</v>
      </c>
      <c r="E146" s="4">
        <f t="shared" si="5"/>
        <v>7</v>
      </c>
    </row>
    <row r="147" spans="1:5">
      <c r="A147">
        <v>146</v>
      </c>
      <c r="B147">
        <v>-8.6590000000000007</v>
      </c>
      <c r="C147">
        <v>3</v>
      </c>
      <c r="D147">
        <v>9</v>
      </c>
      <c r="E147" s="4">
        <f t="shared" si="5"/>
        <v>8.6590000000000007</v>
      </c>
    </row>
    <row r="148" spans="1:5">
      <c r="A148">
        <v>147</v>
      </c>
      <c r="B148">
        <v>-0.80400000000000005</v>
      </c>
      <c r="C148">
        <v>1</v>
      </c>
      <c r="D148">
        <v>2</v>
      </c>
      <c r="E148" s="4">
        <f t="shared" si="5"/>
        <v>0.80400000000000005</v>
      </c>
    </row>
    <row r="149" spans="1:5">
      <c r="A149">
        <v>148</v>
      </c>
      <c r="B149">
        <v>-4.476</v>
      </c>
      <c r="C149">
        <v>2</v>
      </c>
      <c r="D149">
        <v>5</v>
      </c>
      <c r="E149" s="4">
        <f t="shared" si="5"/>
        <v>4.476</v>
      </c>
    </row>
    <row r="150" spans="1:5">
      <c r="A150">
        <v>149</v>
      </c>
      <c r="B150">
        <v>-6.6189999999999998</v>
      </c>
      <c r="C150">
        <v>2</v>
      </c>
      <c r="D150">
        <v>3</v>
      </c>
      <c r="E150" s="4">
        <f t="shared" si="5"/>
        <v>6.6189999999999998</v>
      </c>
    </row>
    <row r="151" spans="1:5">
      <c r="A151">
        <v>150</v>
      </c>
      <c r="B151">
        <v>-1.911</v>
      </c>
      <c r="C151">
        <v>1</v>
      </c>
      <c r="D151">
        <v>4</v>
      </c>
      <c r="E151" s="4">
        <f t="shared" si="5"/>
        <v>1.911</v>
      </c>
    </row>
    <row r="152" spans="1:5">
      <c r="A152">
        <v>151</v>
      </c>
      <c r="B152">
        <v>-0.9</v>
      </c>
      <c r="C152">
        <v>1</v>
      </c>
      <c r="D152">
        <v>4</v>
      </c>
      <c r="E152" s="4">
        <f t="shared" si="5"/>
        <v>0.9</v>
      </c>
    </row>
    <row r="153" spans="1:5">
      <c r="A153">
        <v>152</v>
      </c>
      <c r="B153">
        <v>-0.373</v>
      </c>
      <c r="C153">
        <v>1</v>
      </c>
      <c r="D153">
        <v>3</v>
      </c>
      <c r="E153" s="4">
        <f t="shared" si="5"/>
        <v>0.373</v>
      </c>
    </row>
    <row r="154" spans="1:5">
      <c r="A154">
        <v>153</v>
      </c>
      <c r="B154">
        <v>-3.367</v>
      </c>
      <c r="C154">
        <v>2</v>
      </c>
      <c r="D154">
        <v>3</v>
      </c>
      <c r="E154" s="4">
        <f t="shared" si="5"/>
        <v>3.367</v>
      </c>
    </row>
    <row r="155" spans="1:5">
      <c r="A155">
        <v>154</v>
      </c>
      <c r="B155">
        <v>-3.258</v>
      </c>
      <c r="C155">
        <v>1</v>
      </c>
      <c r="D155">
        <v>2</v>
      </c>
      <c r="E155" s="4">
        <f t="shared" si="5"/>
        <v>3.258</v>
      </c>
    </row>
    <row r="156" spans="1:5">
      <c r="A156">
        <v>155</v>
      </c>
      <c r="B156">
        <v>-3.95</v>
      </c>
      <c r="C156">
        <v>1</v>
      </c>
      <c r="D156">
        <v>5</v>
      </c>
      <c r="E156" s="4">
        <f t="shared" si="5"/>
        <v>3.95</v>
      </c>
    </row>
    <row r="157" spans="1:5">
      <c r="A157">
        <v>156</v>
      </c>
      <c r="B157">
        <v>-5.176000000000001</v>
      </c>
      <c r="C157">
        <v>4</v>
      </c>
      <c r="D157">
        <v>6</v>
      </c>
      <c r="E157" s="4">
        <f t="shared" si="5"/>
        <v>5.176000000000001</v>
      </c>
    </row>
    <row r="158" spans="1:5">
      <c r="A158">
        <v>157</v>
      </c>
      <c r="B158">
        <v>-1.5349999999999999</v>
      </c>
      <c r="C158">
        <v>1</v>
      </c>
      <c r="D158">
        <v>2</v>
      </c>
      <c r="E158" s="4">
        <f t="shared" si="5"/>
        <v>1.5349999999999999</v>
      </c>
    </row>
    <row r="159" spans="1:5">
      <c r="A159">
        <v>158</v>
      </c>
      <c r="B159">
        <v>-2.8179999999999996</v>
      </c>
      <c r="C159">
        <v>3</v>
      </c>
      <c r="D159">
        <v>4</v>
      </c>
      <c r="E159" s="4">
        <f t="shared" si="5"/>
        <v>2.8179999999999996</v>
      </c>
    </row>
    <row r="160" spans="1:5">
      <c r="A160">
        <v>159</v>
      </c>
      <c r="B160">
        <v>-6.6619999999999999</v>
      </c>
      <c r="C160">
        <v>2</v>
      </c>
      <c r="D160">
        <v>4</v>
      </c>
      <c r="E160" s="4">
        <f t="shared" si="5"/>
        <v>6.6619999999999999</v>
      </c>
    </row>
    <row r="161" spans="1:5">
      <c r="A161">
        <v>160</v>
      </c>
      <c r="B161">
        <v>-4.2450000000000001</v>
      </c>
      <c r="C161">
        <v>4</v>
      </c>
      <c r="D161">
        <v>7</v>
      </c>
      <c r="E161" s="4">
        <f t="shared" si="5"/>
        <v>4.2450000000000001</v>
      </c>
    </row>
    <row r="162" spans="1:5">
      <c r="A162">
        <v>161</v>
      </c>
      <c r="B162">
        <v>-0.441</v>
      </c>
      <c r="C162">
        <v>1</v>
      </c>
      <c r="D162">
        <v>2</v>
      </c>
      <c r="E162" s="4">
        <f t="shared" ref="E162:E195" si="6">ABS(B162)</f>
        <v>0.441</v>
      </c>
    </row>
    <row r="163" spans="1:5">
      <c r="A163">
        <v>162</v>
      </c>
      <c r="B163">
        <v>-10.876999999999999</v>
      </c>
      <c r="C163">
        <v>4</v>
      </c>
      <c r="D163">
        <v>5</v>
      </c>
      <c r="E163" s="4">
        <f t="shared" si="6"/>
        <v>10.876999999999999</v>
      </c>
    </row>
    <row r="164" spans="1:5">
      <c r="A164">
        <v>163</v>
      </c>
      <c r="B164">
        <v>-17.239000000000001</v>
      </c>
      <c r="C164">
        <v>6</v>
      </c>
      <c r="D164">
        <v>15</v>
      </c>
      <c r="E164" s="4">
        <f t="shared" si="6"/>
        <v>17.239000000000001</v>
      </c>
    </row>
    <row r="165" spans="1:5">
      <c r="A165">
        <v>164</v>
      </c>
      <c r="B165">
        <v>-2.2650000000000001</v>
      </c>
      <c r="C165">
        <v>1</v>
      </c>
      <c r="D165">
        <v>5</v>
      </c>
      <c r="E165" s="4">
        <f t="shared" si="6"/>
        <v>2.2650000000000001</v>
      </c>
    </row>
    <row r="166" spans="1:5">
      <c r="A166">
        <v>165</v>
      </c>
      <c r="B166">
        <v>-2.8530000000000002</v>
      </c>
      <c r="C166">
        <v>2</v>
      </c>
      <c r="D166">
        <v>7</v>
      </c>
      <c r="E166" s="4">
        <f t="shared" si="6"/>
        <v>2.8530000000000002</v>
      </c>
    </row>
    <row r="167" spans="1:5">
      <c r="A167">
        <v>166</v>
      </c>
      <c r="B167">
        <v>-7.5780000000000003</v>
      </c>
      <c r="C167">
        <v>2</v>
      </c>
      <c r="D167">
        <v>3</v>
      </c>
      <c r="E167" s="4">
        <f t="shared" si="6"/>
        <v>7.5780000000000003</v>
      </c>
    </row>
    <row r="168" spans="1:5">
      <c r="A168">
        <v>167</v>
      </c>
      <c r="B168">
        <v>-0.9</v>
      </c>
      <c r="C168">
        <v>1</v>
      </c>
      <c r="D168">
        <v>4</v>
      </c>
      <c r="E168" s="4">
        <f t="shared" si="6"/>
        <v>0.9</v>
      </c>
    </row>
    <row r="169" spans="1:5">
      <c r="A169">
        <v>168</v>
      </c>
      <c r="B169">
        <v>-7.8369999999999997</v>
      </c>
      <c r="C169">
        <v>5</v>
      </c>
      <c r="D169">
        <v>6</v>
      </c>
      <c r="E169" s="4">
        <f t="shared" si="6"/>
        <v>7.8369999999999997</v>
      </c>
    </row>
    <row r="170" spans="1:5">
      <c r="A170">
        <v>169</v>
      </c>
      <c r="B170">
        <v>-0.28499999999999998</v>
      </c>
      <c r="C170">
        <v>1</v>
      </c>
      <c r="D170">
        <v>2</v>
      </c>
      <c r="E170" s="4">
        <f t="shared" si="6"/>
        <v>0.28499999999999998</v>
      </c>
    </row>
    <row r="171" spans="1:5">
      <c r="A171">
        <v>170</v>
      </c>
      <c r="B171">
        <v>-5.0419999999999998</v>
      </c>
      <c r="C171">
        <v>2</v>
      </c>
      <c r="D171">
        <v>3</v>
      </c>
      <c r="E171" s="4">
        <f t="shared" si="6"/>
        <v>5.0419999999999998</v>
      </c>
    </row>
    <row r="172" spans="1:5">
      <c r="A172">
        <v>171</v>
      </c>
      <c r="B172">
        <v>-1.6459999999999999</v>
      </c>
      <c r="C172">
        <v>1</v>
      </c>
      <c r="D172">
        <v>2</v>
      </c>
      <c r="E172" s="4">
        <f t="shared" si="6"/>
        <v>1.6459999999999999</v>
      </c>
    </row>
    <row r="173" spans="1:5">
      <c r="A173">
        <v>172</v>
      </c>
      <c r="B173">
        <v>-0.51800000000000002</v>
      </c>
      <c r="C173">
        <v>1</v>
      </c>
      <c r="D173">
        <v>3</v>
      </c>
      <c r="E173" s="4">
        <f t="shared" si="6"/>
        <v>0.51800000000000002</v>
      </c>
    </row>
    <row r="174" spans="1:5">
      <c r="A174">
        <v>173</v>
      </c>
      <c r="B174">
        <v>-4.4160000000000004</v>
      </c>
      <c r="C174">
        <v>3</v>
      </c>
      <c r="D174">
        <v>4</v>
      </c>
      <c r="E174" s="4">
        <f t="shared" si="6"/>
        <v>4.4160000000000004</v>
      </c>
    </row>
    <row r="175" spans="1:5">
      <c r="A175">
        <v>174</v>
      </c>
      <c r="B175">
        <v>-1.569</v>
      </c>
      <c r="C175">
        <v>1</v>
      </c>
      <c r="D175">
        <v>3</v>
      </c>
      <c r="E175" s="4">
        <f t="shared" si="6"/>
        <v>1.569</v>
      </c>
    </row>
    <row r="176" spans="1:5">
      <c r="A176">
        <v>175</v>
      </c>
      <c r="B176">
        <v>-7.9190000000000005</v>
      </c>
      <c r="C176">
        <v>3</v>
      </c>
      <c r="D176">
        <v>9</v>
      </c>
      <c r="E176" s="4">
        <f t="shared" si="6"/>
        <v>7.9190000000000005</v>
      </c>
    </row>
    <row r="177" spans="1:5">
      <c r="A177">
        <v>176</v>
      </c>
      <c r="B177">
        <v>-6.444</v>
      </c>
      <c r="C177">
        <v>1</v>
      </c>
      <c r="D177">
        <v>6</v>
      </c>
      <c r="E177" s="4">
        <f t="shared" si="6"/>
        <v>6.444</v>
      </c>
    </row>
    <row r="178" spans="1:5">
      <c r="A178">
        <v>177</v>
      </c>
      <c r="B178">
        <v>-0.20899999999999999</v>
      </c>
      <c r="C178">
        <v>1</v>
      </c>
      <c r="D178">
        <v>3</v>
      </c>
      <c r="E178" s="4">
        <f t="shared" si="6"/>
        <v>0.20899999999999999</v>
      </c>
    </row>
    <row r="179" spans="1:5">
      <c r="A179">
        <v>178</v>
      </c>
      <c r="B179">
        <v>-2.673</v>
      </c>
      <c r="C179">
        <v>1</v>
      </c>
      <c r="D179">
        <v>2</v>
      </c>
      <c r="E179" s="4">
        <f t="shared" si="6"/>
        <v>2.673</v>
      </c>
    </row>
    <row r="180" spans="1:5">
      <c r="A180">
        <v>179</v>
      </c>
      <c r="B180">
        <v>-6.4749999999999996</v>
      </c>
      <c r="C180">
        <v>5</v>
      </c>
      <c r="D180">
        <v>7</v>
      </c>
      <c r="E180" s="4">
        <f t="shared" si="6"/>
        <v>6.4749999999999996</v>
      </c>
    </row>
    <row r="181" spans="1:5">
      <c r="A181">
        <v>180</v>
      </c>
      <c r="B181">
        <v>-0.10199999999999999</v>
      </c>
      <c r="C181">
        <v>1</v>
      </c>
      <c r="D181">
        <v>5</v>
      </c>
      <c r="E181" s="4">
        <f t="shared" si="6"/>
        <v>0.10199999999999999</v>
      </c>
    </row>
    <row r="182" spans="1:5">
      <c r="A182">
        <v>181</v>
      </c>
      <c r="B182">
        <v>-0.246</v>
      </c>
      <c r="C182">
        <v>1</v>
      </c>
      <c r="D182">
        <v>3</v>
      </c>
      <c r="E182" s="4">
        <f t="shared" si="6"/>
        <v>0.246</v>
      </c>
    </row>
    <row r="183" spans="1:5">
      <c r="A183">
        <v>182</v>
      </c>
      <c r="B183">
        <v>-18.978000000000002</v>
      </c>
      <c r="C183">
        <v>6</v>
      </c>
      <c r="D183">
        <v>8</v>
      </c>
      <c r="E183" s="4">
        <f t="shared" si="6"/>
        <v>18.978000000000002</v>
      </c>
    </row>
    <row r="184" spans="1:5">
      <c r="A184">
        <v>183</v>
      </c>
      <c r="B184">
        <v>-0.41699999999999998</v>
      </c>
      <c r="C184">
        <v>1</v>
      </c>
      <c r="D184">
        <v>2</v>
      </c>
      <c r="E184" s="4">
        <f t="shared" si="6"/>
        <v>0.41699999999999998</v>
      </c>
    </row>
    <row r="185" spans="1:5">
      <c r="A185">
        <v>184</v>
      </c>
      <c r="B185">
        <v>-0.36299999999999999</v>
      </c>
      <c r="C185">
        <v>1</v>
      </c>
      <c r="D185">
        <v>2</v>
      </c>
      <c r="E185" s="4">
        <f t="shared" si="6"/>
        <v>0.36299999999999999</v>
      </c>
    </row>
    <row r="186" spans="1:5">
      <c r="A186">
        <v>185</v>
      </c>
      <c r="B186">
        <v>-4.609</v>
      </c>
      <c r="C186">
        <v>2</v>
      </c>
      <c r="D186">
        <v>3</v>
      </c>
      <c r="E186" s="4">
        <f t="shared" si="6"/>
        <v>4.609</v>
      </c>
    </row>
    <row r="187" spans="1:5">
      <c r="A187">
        <v>186</v>
      </c>
      <c r="B187">
        <v>-3.3540000000000001</v>
      </c>
      <c r="C187">
        <v>2</v>
      </c>
      <c r="D187">
        <v>5</v>
      </c>
      <c r="E187" s="4">
        <f t="shared" si="6"/>
        <v>3.3540000000000001</v>
      </c>
    </row>
    <row r="188" spans="1:5">
      <c r="A188">
        <v>187</v>
      </c>
      <c r="B188">
        <v>-5.399</v>
      </c>
      <c r="C188">
        <v>2</v>
      </c>
      <c r="D188">
        <v>3</v>
      </c>
      <c r="E188" s="4">
        <f t="shared" si="6"/>
        <v>5.399</v>
      </c>
    </row>
    <row r="189" spans="1:5">
      <c r="A189">
        <v>188</v>
      </c>
      <c r="B189">
        <v>-0.34200000000000003</v>
      </c>
      <c r="C189">
        <v>1</v>
      </c>
      <c r="D189">
        <v>4</v>
      </c>
      <c r="E189" s="4">
        <f t="shared" si="6"/>
        <v>0.34200000000000003</v>
      </c>
    </row>
    <row r="190" spans="1:5">
      <c r="A190">
        <v>189</v>
      </c>
      <c r="B190">
        <v>-2.4350000000000001</v>
      </c>
      <c r="C190">
        <v>1</v>
      </c>
      <c r="D190">
        <v>2</v>
      </c>
      <c r="E190" s="4">
        <f t="shared" si="6"/>
        <v>2.4350000000000001</v>
      </c>
    </row>
    <row r="191" spans="1:5">
      <c r="A191">
        <v>190</v>
      </c>
      <c r="B191">
        <v>-1.617</v>
      </c>
      <c r="C191">
        <v>1</v>
      </c>
      <c r="D191">
        <v>4</v>
      </c>
      <c r="E191" s="4">
        <f t="shared" si="6"/>
        <v>1.617</v>
      </c>
    </row>
    <row r="192" spans="1:5">
      <c r="A192">
        <v>191</v>
      </c>
      <c r="B192">
        <v>-2.0619999999999998</v>
      </c>
      <c r="C192">
        <v>1</v>
      </c>
      <c r="D192">
        <v>4</v>
      </c>
      <c r="E192" s="4">
        <f t="shared" si="6"/>
        <v>2.0619999999999998</v>
      </c>
    </row>
    <row r="193" spans="1:5">
      <c r="A193">
        <v>192</v>
      </c>
      <c r="B193">
        <v>-1.306</v>
      </c>
      <c r="C193">
        <v>1</v>
      </c>
      <c r="D193">
        <v>8</v>
      </c>
      <c r="E193" s="4">
        <f t="shared" si="6"/>
        <v>1.306</v>
      </c>
    </row>
    <row r="194" spans="1:5">
      <c r="A194">
        <v>193</v>
      </c>
      <c r="B194">
        <v>-1.619</v>
      </c>
      <c r="C194">
        <v>1</v>
      </c>
      <c r="D194">
        <v>2</v>
      </c>
      <c r="E194" s="4">
        <f t="shared" si="6"/>
        <v>1.619</v>
      </c>
    </row>
    <row r="195" spans="1:5">
      <c r="A195">
        <v>194</v>
      </c>
      <c r="B195">
        <v>-4.101</v>
      </c>
      <c r="C195">
        <v>3</v>
      </c>
      <c r="D195">
        <v>5</v>
      </c>
      <c r="E195" s="4">
        <f t="shared" si="6"/>
        <v>4.101</v>
      </c>
    </row>
    <row r="196" spans="1:5">
      <c r="A196">
        <v>195</v>
      </c>
      <c r="B196">
        <v>-0.72599999999999998</v>
      </c>
      <c r="C196">
        <v>1</v>
      </c>
    </row>
  </sheetData>
  <pageMargins left="0.74791666666666667" right="0.74791666666666667" top="0.98402777777777772" bottom="0.98402777777777772" header="0.51180555555555551" footer="0.51180555555555551"/>
  <pageSetup firstPageNumber="0" orientation="portrait" horizontalDpi="300" verticalDpi="300"/>
  <headerFooter alignWithMargins="0"/>
</worksheet>
</file>

<file path=xl/worksheets/sheet9.xml><?xml version="1.0" encoding="utf-8"?>
<worksheet xmlns="http://schemas.openxmlformats.org/spreadsheetml/2006/main" xmlns:r="http://schemas.openxmlformats.org/officeDocument/2006/relationships">
  <sheetPr codeName="Sheet10"/>
  <dimension ref="A1:T196"/>
  <sheetViews>
    <sheetView workbookViewId="0">
      <selection activeCell="L2" sqref="L2"/>
    </sheetView>
  </sheetViews>
  <sheetFormatPr defaultRowHeight="12.75"/>
  <cols>
    <col min="1" max="1" width="10" style="9" customWidth="1"/>
    <col min="3" max="3" width="15.5703125" customWidth="1"/>
    <col min="5" max="5" width="13.28515625" customWidth="1"/>
    <col min="6" max="6" width="18.42578125" customWidth="1"/>
    <col min="7" max="7" width="17" style="3" customWidth="1"/>
  </cols>
  <sheetData>
    <row r="1" spans="1:16" ht="51">
      <c r="A1" s="34" t="s">
        <v>42</v>
      </c>
      <c r="B1" s="34" t="s">
        <v>38</v>
      </c>
      <c r="C1" s="35" t="s">
        <v>40</v>
      </c>
      <c r="D1" s="34" t="s">
        <v>56</v>
      </c>
      <c r="E1" s="34" t="s">
        <v>57</v>
      </c>
      <c r="F1" s="36" t="s">
        <v>78</v>
      </c>
      <c r="G1" s="37" t="s">
        <v>58</v>
      </c>
      <c r="H1" s="34" t="s">
        <v>54</v>
      </c>
      <c r="I1" s="34" t="s">
        <v>55</v>
      </c>
      <c r="N1" t="s">
        <v>79</v>
      </c>
    </row>
    <row r="2" spans="1:16">
      <c r="A2" s="9">
        <v>1121</v>
      </c>
      <c r="B2">
        <v>36.018000000000001</v>
      </c>
      <c r="C2" s="9">
        <v>6</v>
      </c>
      <c r="D2">
        <v>195</v>
      </c>
      <c r="E2" s="4">
        <f>RANK(B2,$B$2:$B$196)</f>
        <v>1</v>
      </c>
      <c r="F2" s="4">
        <f>1-E2/$D$2</f>
        <v>0.99487179487179489</v>
      </c>
      <c r="G2" s="3">
        <f t="shared" ref="G2:G33" si="0">GAMMADIST(B2,$H$2,$I$2,TRUE)</f>
        <v>0.99771278967785437</v>
      </c>
      <c r="H2">
        <v>0.86</v>
      </c>
      <c r="I2">
        <v>6.3</v>
      </c>
      <c r="N2">
        <v>44.356289712458221</v>
      </c>
      <c r="O2" s="4">
        <f>RANK(N2,$N$2:$N$196)</f>
        <v>1</v>
      </c>
      <c r="P2" s="4">
        <f>1-O2/$D$2</f>
        <v>0.99487179487179489</v>
      </c>
    </row>
    <row r="3" spans="1:16">
      <c r="A3" s="9">
        <v>1148</v>
      </c>
      <c r="B3">
        <v>34.043000000000006</v>
      </c>
      <c r="C3" s="9">
        <v>11</v>
      </c>
      <c r="E3" s="4">
        <f t="shared" ref="E3:E33" si="1">RANK(B3,$B$2:$B$196)</f>
        <v>2</v>
      </c>
      <c r="F3" s="4">
        <f t="shared" ref="F3:F33" si="2">1-E3/$D$2</f>
        <v>0.98974358974358978</v>
      </c>
      <c r="G3" s="3">
        <f t="shared" si="0"/>
        <v>0.99684918865472183</v>
      </c>
      <c r="L3">
        <f t="shared" ref="L3:L33" ca="1" si="3">GAMMAINV(RAND(),$H$2,$I$2)</f>
        <v>7.1762877550562454</v>
      </c>
      <c r="N3">
        <v>27.284059683977851</v>
      </c>
      <c r="O3" s="4">
        <f t="shared" ref="O3:O66" si="4">RANK(N3,$N$2:$N$196)</f>
        <v>2</v>
      </c>
      <c r="P3" s="4">
        <f t="shared" ref="P3:P66" si="5">1-O3/$D$2</f>
        <v>0.98974358974358978</v>
      </c>
    </row>
    <row r="4" spans="1:16">
      <c r="A4" s="9">
        <v>1453</v>
      </c>
      <c r="B4">
        <v>29.376999999999999</v>
      </c>
      <c r="C4" s="9">
        <v>3</v>
      </c>
      <c r="E4" s="4">
        <f t="shared" si="1"/>
        <v>3</v>
      </c>
      <c r="F4" s="4">
        <f t="shared" si="2"/>
        <v>0.98461538461538467</v>
      </c>
      <c r="G4" s="3">
        <f t="shared" si="0"/>
        <v>0.99327429247322352</v>
      </c>
      <c r="L4">
        <f t="shared" ca="1" si="3"/>
        <v>1.9204110008660371</v>
      </c>
      <c r="N4">
        <v>18.943446791956799</v>
      </c>
      <c r="O4" s="4">
        <f t="shared" si="4"/>
        <v>3</v>
      </c>
      <c r="P4" s="4">
        <f t="shared" si="5"/>
        <v>0.98461538461538467</v>
      </c>
    </row>
    <row r="5" spans="1:16">
      <c r="A5" s="9">
        <v>1003</v>
      </c>
      <c r="B5">
        <v>28.51</v>
      </c>
      <c r="C5" s="9">
        <v>5</v>
      </c>
      <c r="E5" s="4">
        <f t="shared" si="1"/>
        <v>4</v>
      </c>
      <c r="F5" s="4">
        <f t="shared" si="2"/>
        <v>0.97948717948717945</v>
      </c>
      <c r="G5" s="3">
        <f t="shared" si="0"/>
        <v>0.99225459287756534</v>
      </c>
      <c r="L5">
        <f t="shared" ca="1" si="3"/>
        <v>6.0668971726748178E-2</v>
      </c>
      <c r="N5">
        <v>18.597124478053374</v>
      </c>
      <c r="O5" s="4">
        <f t="shared" si="4"/>
        <v>4</v>
      </c>
      <c r="P5" s="4">
        <f t="shared" si="5"/>
        <v>0.97948717948717945</v>
      </c>
    </row>
    <row r="6" spans="1:16">
      <c r="A6" s="9">
        <v>1207</v>
      </c>
      <c r="B6">
        <v>27.78</v>
      </c>
      <c r="C6" s="9">
        <v>9</v>
      </c>
      <c r="E6" s="4">
        <f t="shared" si="1"/>
        <v>5</v>
      </c>
      <c r="F6" s="4">
        <f t="shared" si="2"/>
        <v>0.97435897435897434</v>
      </c>
      <c r="G6" s="3">
        <f t="shared" si="0"/>
        <v>0.99127641900674124</v>
      </c>
      <c r="L6">
        <f t="shared" ca="1" si="3"/>
        <v>2.67067944599565</v>
      </c>
      <c r="N6">
        <v>17.993747212121136</v>
      </c>
      <c r="O6" s="4">
        <f t="shared" si="4"/>
        <v>5</v>
      </c>
      <c r="P6" s="4">
        <f t="shared" si="5"/>
        <v>0.97435897435897434</v>
      </c>
    </row>
    <row r="7" spans="1:16">
      <c r="A7" s="9">
        <v>1069</v>
      </c>
      <c r="B7">
        <v>25.858999999999998</v>
      </c>
      <c r="C7" s="9">
        <v>3</v>
      </c>
      <c r="E7" s="4">
        <f t="shared" si="1"/>
        <v>6</v>
      </c>
      <c r="F7" s="4">
        <f t="shared" si="2"/>
        <v>0.96923076923076923</v>
      </c>
      <c r="G7" s="3">
        <f t="shared" si="0"/>
        <v>0.98806664634994579</v>
      </c>
      <c r="L7">
        <f t="shared" ca="1" si="3"/>
        <v>0.19244000519965476</v>
      </c>
      <c r="N7">
        <v>17.379691893595684</v>
      </c>
      <c r="O7" s="4">
        <f t="shared" si="4"/>
        <v>6</v>
      </c>
      <c r="P7" s="4">
        <f t="shared" si="5"/>
        <v>0.96923076923076923</v>
      </c>
    </row>
    <row r="8" spans="1:16">
      <c r="A8" s="9">
        <v>1236</v>
      </c>
      <c r="B8">
        <v>19.756999999999998</v>
      </c>
      <c r="C8" s="9">
        <v>7</v>
      </c>
      <c r="E8" s="4">
        <f t="shared" si="1"/>
        <v>7</v>
      </c>
      <c r="F8" s="4">
        <f t="shared" si="2"/>
        <v>0.96410256410256412</v>
      </c>
      <c r="G8" s="3">
        <f t="shared" si="0"/>
        <v>0.96758549747552935</v>
      </c>
      <c r="L8">
        <f t="shared" ca="1" si="3"/>
        <v>2.0911413564467809</v>
      </c>
      <c r="N8">
        <v>17.345387292593159</v>
      </c>
      <c r="O8" s="4">
        <f t="shared" si="4"/>
        <v>7</v>
      </c>
      <c r="P8" s="4">
        <f t="shared" si="5"/>
        <v>0.96410256410256412</v>
      </c>
    </row>
    <row r="9" spans="1:16">
      <c r="A9" s="9">
        <v>1951</v>
      </c>
      <c r="B9">
        <v>18.978000000000002</v>
      </c>
      <c r="C9" s="9">
        <v>3</v>
      </c>
      <c r="E9" s="4">
        <f t="shared" si="1"/>
        <v>8</v>
      </c>
      <c r="F9" s="4">
        <f t="shared" si="2"/>
        <v>0.95897435897435901</v>
      </c>
      <c r="G9" s="3">
        <f t="shared" si="0"/>
        <v>0.96315466303106811</v>
      </c>
      <c r="L9">
        <f t="shared" ca="1" si="3"/>
        <v>1.9242438126354484</v>
      </c>
      <c r="N9">
        <v>16.960989804218947</v>
      </c>
      <c r="O9" s="4">
        <f t="shared" si="4"/>
        <v>8</v>
      </c>
      <c r="P9" s="4">
        <f t="shared" si="5"/>
        <v>0.95897435897435901</v>
      </c>
    </row>
    <row r="10" spans="1:16">
      <c r="A10" s="9">
        <v>1229</v>
      </c>
      <c r="B10">
        <v>17.312000000000001</v>
      </c>
      <c r="C10" s="9">
        <v>8</v>
      </c>
      <c r="E10" s="4">
        <f t="shared" si="1"/>
        <v>9</v>
      </c>
      <c r="F10" s="4">
        <f t="shared" si="2"/>
        <v>0.95384615384615379</v>
      </c>
      <c r="G10" s="3">
        <f t="shared" si="0"/>
        <v>0.95151429786136377</v>
      </c>
      <c r="L10">
        <f t="shared" ca="1" si="3"/>
        <v>9.2820476153695708</v>
      </c>
      <c r="N10">
        <v>16.93001299601049</v>
      </c>
      <c r="O10" s="4">
        <f t="shared" si="4"/>
        <v>9</v>
      </c>
      <c r="P10" s="4">
        <f t="shared" si="5"/>
        <v>0.95384615384615379</v>
      </c>
    </row>
    <row r="11" spans="1:16">
      <c r="A11" s="9">
        <v>1859</v>
      </c>
      <c r="B11">
        <v>17.239000000000001</v>
      </c>
      <c r="C11" s="9">
        <v>5</v>
      </c>
      <c r="E11" s="4">
        <f t="shared" si="1"/>
        <v>10</v>
      </c>
      <c r="F11" s="4">
        <f t="shared" si="2"/>
        <v>0.94871794871794868</v>
      </c>
      <c r="G11" s="3">
        <f t="shared" si="0"/>
        <v>0.95092663198045779</v>
      </c>
      <c r="L11">
        <f t="shared" ca="1" si="3"/>
        <v>6.1264832895664991</v>
      </c>
      <c r="N11">
        <v>16.274165023694799</v>
      </c>
      <c r="O11" s="4">
        <f t="shared" si="4"/>
        <v>10</v>
      </c>
      <c r="P11" s="4">
        <f t="shared" si="5"/>
        <v>0.94871794871794868</v>
      </c>
    </row>
    <row r="12" spans="1:16">
      <c r="A12" s="9">
        <v>1198</v>
      </c>
      <c r="B12">
        <v>16.47</v>
      </c>
      <c r="C12" s="9">
        <v>6</v>
      </c>
      <c r="E12" s="4">
        <f t="shared" si="1"/>
        <v>11</v>
      </c>
      <c r="F12" s="4">
        <f t="shared" si="2"/>
        <v>0.94358974358974357</v>
      </c>
      <c r="G12" s="3">
        <f t="shared" si="0"/>
        <v>0.94428068271321519</v>
      </c>
      <c r="L12">
        <f t="shared" ca="1" si="3"/>
        <v>3.1645840018399847</v>
      </c>
      <c r="N12">
        <v>15.80413389854348</v>
      </c>
      <c r="O12" s="4">
        <f t="shared" si="4"/>
        <v>11</v>
      </c>
      <c r="P12" s="4">
        <f t="shared" si="5"/>
        <v>0.94358974358974357</v>
      </c>
    </row>
    <row r="13" spans="1:16">
      <c r="A13" s="9">
        <v>1137</v>
      </c>
      <c r="B13">
        <v>16.382999999999999</v>
      </c>
      <c r="C13" s="9">
        <v>16</v>
      </c>
      <c r="E13" s="4">
        <f t="shared" si="1"/>
        <v>12</v>
      </c>
      <c r="F13" s="4">
        <f t="shared" si="2"/>
        <v>0.93846153846153846</v>
      </c>
      <c r="G13" s="3">
        <f t="shared" si="0"/>
        <v>0.94347359931851182</v>
      </c>
      <c r="L13">
        <f t="shared" ca="1" si="3"/>
        <v>2.296326594121159</v>
      </c>
      <c r="N13">
        <v>15.512278381876239</v>
      </c>
      <c r="O13" s="4">
        <f t="shared" si="4"/>
        <v>12</v>
      </c>
      <c r="P13" s="4">
        <f t="shared" si="5"/>
        <v>0.93846153846153846</v>
      </c>
    </row>
    <row r="14" spans="1:16">
      <c r="A14" s="9">
        <v>1566</v>
      </c>
      <c r="B14">
        <v>15.484999999999999</v>
      </c>
      <c r="C14" s="9">
        <v>3</v>
      </c>
      <c r="E14" s="4">
        <f t="shared" si="1"/>
        <v>13</v>
      </c>
      <c r="F14" s="4">
        <f t="shared" si="2"/>
        <v>0.93333333333333335</v>
      </c>
      <c r="G14" s="3">
        <f t="shared" si="0"/>
        <v>0.93441855196618551</v>
      </c>
      <c r="L14">
        <f t="shared" ca="1" si="3"/>
        <v>2.1948219619019325</v>
      </c>
      <c r="N14">
        <v>15.492731761400627</v>
      </c>
      <c r="O14" s="4">
        <f t="shared" si="4"/>
        <v>13</v>
      </c>
      <c r="P14" s="4">
        <f t="shared" si="5"/>
        <v>0.93333333333333335</v>
      </c>
    </row>
    <row r="15" spans="1:16">
      <c r="A15" s="9">
        <v>1038</v>
      </c>
      <c r="B15">
        <v>15.449</v>
      </c>
      <c r="C15" s="9">
        <v>6</v>
      </c>
      <c r="E15" s="4">
        <f t="shared" si="1"/>
        <v>14</v>
      </c>
      <c r="F15" s="4">
        <f t="shared" si="2"/>
        <v>0.92820512820512824</v>
      </c>
      <c r="G15" s="3">
        <f t="shared" si="0"/>
        <v>0.93402635729634842</v>
      </c>
      <c r="L15">
        <f t="shared" ca="1" si="3"/>
        <v>1.8736511809619953</v>
      </c>
      <c r="N15">
        <v>15.389715278399372</v>
      </c>
      <c r="O15" s="4">
        <f t="shared" si="4"/>
        <v>14</v>
      </c>
      <c r="P15" s="4">
        <f t="shared" si="5"/>
        <v>0.92820512820512824</v>
      </c>
    </row>
    <row r="16" spans="1:16">
      <c r="A16" s="9">
        <v>1641</v>
      </c>
      <c r="B16">
        <v>14.693999999999999</v>
      </c>
      <c r="C16" s="9">
        <v>3</v>
      </c>
      <c r="E16" s="4">
        <f t="shared" si="1"/>
        <v>15</v>
      </c>
      <c r="F16" s="4">
        <f t="shared" si="2"/>
        <v>0.92307692307692313</v>
      </c>
      <c r="G16" s="3">
        <f t="shared" si="0"/>
        <v>0.92523042226470531</v>
      </c>
      <c r="L16">
        <f t="shared" ca="1" si="3"/>
        <v>0.64609054128430343</v>
      </c>
      <c r="N16">
        <v>15.151945757920362</v>
      </c>
      <c r="O16" s="4">
        <f t="shared" si="4"/>
        <v>15</v>
      </c>
      <c r="P16" s="4">
        <f t="shared" si="5"/>
        <v>0.92307692307692313</v>
      </c>
    </row>
    <row r="17" spans="1:20">
      <c r="A17" s="9">
        <v>1772</v>
      </c>
      <c r="B17">
        <v>14.530999999999999</v>
      </c>
      <c r="C17" s="9">
        <v>9</v>
      </c>
      <c r="E17" s="4">
        <f t="shared" si="1"/>
        <v>16</v>
      </c>
      <c r="F17" s="4">
        <f t="shared" si="2"/>
        <v>0.91794871794871791</v>
      </c>
      <c r="G17" s="3">
        <f t="shared" si="0"/>
        <v>0.92318039637880356</v>
      </c>
      <c r="L17">
        <f t="shared" ca="1" si="3"/>
        <v>23.354109304407352</v>
      </c>
      <c r="N17">
        <v>13.866678383353594</v>
      </c>
      <c r="O17" s="4">
        <f t="shared" si="4"/>
        <v>16</v>
      </c>
      <c r="P17" s="4">
        <f t="shared" si="5"/>
        <v>0.91794871794871791</v>
      </c>
    </row>
    <row r="18" spans="1:20">
      <c r="A18" s="9">
        <v>1750</v>
      </c>
      <c r="B18">
        <v>14.353</v>
      </c>
      <c r="C18" s="9">
        <v>9</v>
      </c>
      <c r="E18" s="4">
        <f t="shared" si="1"/>
        <v>17</v>
      </c>
      <c r="F18" s="4">
        <f t="shared" si="2"/>
        <v>0.9128205128205128</v>
      </c>
      <c r="G18" s="3">
        <f t="shared" si="0"/>
        <v>0.92087649890925971</v>
      </c>
      <c r="L18">
        <f t="shared" ca="1" si="3"/>
        <v>1.9422249617257727</v>
      </c>
      <c r="N18">
        <v>13.440618600850716</v>
      </c>
      <c r="O18" s="4">
        <f t="shared" si="4"/>
        <v>17</v>
      </c>
      <c r="P18" s="4">
        <f t="shared" si="5"/>
        <v>0.9128205128205128</v>
      </c>
    </row>
    <row r="19" spans="1:20">
      <c r="A19" s="9">
        <v>1221</v>
      </c>
      <c r="B19">
        <v>13.637</v>
      </c>
      <c r="C19" s="9">
        <v>14</v>
      </c>
      <c r="E19" s="4">
        <f t="shared" si="1"/>
        <v>18</v>
      </c>
      <c r="F19" s="4">
        <f t="shared" si="2"/>
        <v>0.90769230769230769</v>
      </c>
      <c r="G19" s="3">
        <f t="shared" si="0"/>
        <v>0.91087796949572908</v>
      </c>
      <c r="L19">
        <f t="shared" ca="1" si="3"/>
        <v>0.98235482913601402</v>
      </c>
      <c r="N19">
        <v>12.919567104865024</v>
      </c>
      <c r="O19" s="4">
        <f t="shared" si="4"/>
        <v>18</v>
      </c>
      <c r="P19" s="4">
        <f t="shared" si="5"/>
        <v>0.90769230769230769</v>
      </c>
    </row>
    <row r="20" spans="1:20">
      <c r="A20" s="9">
        <v>1501</v>
      </c>
      <c r="B20">
        <v>12.855</v>
      </c>
      <c r="C20" s="9">
        <v>5</v>
      </c>
      <c r="E20" s="4">
        <f t="shared" si="1"/>
        <v>19</v>
      </c>
      <c r="F20" s="4">
        <f t="shared" si="2"/>
        <v>0.90256410256410258</v>
      </c>
      <c r="G20" s="3">
        <f t="shared" si="0"/>
        <v>0.89848251924967393</v>
      </c>
      <c r="L20">
        <f t="shared" ca="1" si="3"/>
        <v>6.332603355622572</v>
      </c>
      <c r="N20">
        <v>12.860310454059974</v>
      </c>
      <c r="O20" s="4">
        <f t="shared" si="4"/>
        <v>19</v>
      </c>
      <c r="P20" s="4">
        <f t="shared" si="5"/>
        <v>0.90256410256410258</v>
      </c>
    </row>
    <row r="21" spans="1:20">
      <c r="A21" s="9">
        <v>1244</v>
      </c>
      <c r="B21">
        <v>12.442000000000002</v>
      </c>
      <c r="C21" s="9">
        <v>8</v>
      </c>
      <c r="E21" s="4">
        <f t="shared" si="1"/>
        <v>20</v>
      </c>
      <c r="F21" s="4">
        <f t="shared" si="2"/>
        <v>0.89743589743589747</v>
      </c>
      <c r="G21" s="3">
        <f t="shared" si="0"/>
        <v>0.89124204772904581</v>
      </c>
      <c r="L21">
        <f t="shared" ca="1" si="3"/>
        <v>5.5156057254216915</v>
      </c>
      <c r="N21">
        <v>12.679545892672763</v>
      </c>
      <c r="O21" s="4">
        <f t="shared" si="4"/>
        <v>20</v>
      </c>
      <c r="P21" s="4">
        <f t="shared" si="5"/>
        <v>0.89743589743589747</v>
      </c>
    </row>
    <row r="22" spans="1:20">
      <c r="A22" s="9">
        <v>1107</v>
      </c>
      <c r="B22">
        <v>12.244</v>
      </c>
      <c r="C22" s="9">
        <v>4</v>
      </c>
      <c r="E22" s="4">
        <f t="shared" si="1"/>
        <v>21</v>
      </c>
      <c r="F22" s="4">
        <f t="shared" si="2"/>
        <v>0.89230769230769225</v>
      </c>
      <c r="G22" s="3">
        <f t="shared" si="0"/>
        <v>0.88758646735936386</v>
      </c>
      <c r="L22">
        <f t="shared" ca="1" si="3"/>
        <v>1.6228615102786605</v>
      </c>
      <c r="N22">
        <v>12.494441901428686</v>
      </c>
      <c r="O22" s="4">
        <f t="shared" si="4"/>
        <v>21</v>
      </c>
      <c r="P22" s="4">
        <f t="shared" si="5"/>
        <v>0.89230769230769225</v>
      </c>
    </row>
    <row r="23" spans="1:20">
      <c r="A23" s="9">
        <v>1468</v>
      </c>
      <c r="B23">
        <v>11.721</v>
      </c>
      <c r="C23" s="9">
        <v>15</v>
      </c>
      <c r="E23" s="4">
        <f t="shared" si="1"/>
        <v>22</v>
      </c>
      <c r="F23" s="4">
        <f t="shared" si="2"/>
        <v>0.88717948717948714</v>
      </c>
      <c r="G23" s="3">
        <f t="shared" si="0"/>
        <v>0.87731635463069335</v>
      </c>
      <c r="L23">
        <f t="shared" ca="1" si="3"/>
        <v>3.5466537228412838</v>
      </c>
      <c r="N23">
        <v>12.491244288441614</v>
      </c>
      <c r="O23" s="4">
        <f t="shared" si="4"/>
        <v>22</v>
      </c>
      <c r="P23" s="4">
        <f t="shared" si="5"/>
        <v>0.88717948717948714</v>
      </c>
    </row>
    <row r="24" spans="1:20">
      <c r="A24" s="9">
        <v>1727</v>
      </c>
      <c r="B24">
        <v>11.206000000000001</v>
      </c>
      <c r="C24" s="9">
        <v>3</v>
      </c>
      <c r="E24" s="4">
        <f t="shared" si="1"/>
        <v>23</v>
      </c>
      <c r="F24" s="4">
        <f t="shared" si="2"/>
        <v>0.88205128205128203</v>
      </c>
      <c r="G24" s="3">
        <f t="shared" si="0"/>
        <v>0.86626673211211602</v>
      </c>
      <c r="L24">
        <f t="shared" ca="1" si="3"/>
        <v>2.9900381234566424</v>
      </c>
      <c r="N24">
        <v>11.5899919189409</v>
      </c>
      <c r="O24" s="4">
        <f t="shared" si="4"/>
        <v>23</v>
      </c>
      <c r="P24" s="4">
        <f t="shared" si="5"/>
        <v>0.88205128205128203</v>
      </c>
    </row>
    <row r="25" spans="1:20">
      <c r="A25" s="9">
        <v>1444</v>
      </c>
      <c r="B25">
        <v>11.140999999999998</v>
      </c>
      <c r="C25" s="9">
        <v>2</v>
      </c>
      <c r="E25" s="4">
        <f t="shared" si="1"/>
        <v>24</v>
      </c>
      <c r="F25" s="4">
        <f t="shared" si="2"/>
        <v>0.87692307692307692</v>
      </c>
      <c r="G25" s="3">
        <f t="shared" si="0"/>
        <v>0.86480165712639978</v>
      </c>
      <c r="L25">
        <f t="shared" ca="1" si="3"/>
        <v>1.5075141045055349</v>
      </c>
      <c r="N25">
        <v>11.09050971740967</v>
      </c>
      <c r="O25" s="4">
        <f t="shared" si="4"/>
        <v>24</v>
      </c>
      <c r="P25" s="4">
        <f t="shared" si="5"/>
        <v>0.87692307692307692</v>
      </c>
    </row>
    <row r="26" spans="1:20">
      <c r="A26" s="9">
        <v>1369</v>
      </c>
      <c r="B26">
        <v>11.102</v>
      </c>
      <c r="C26" s="9">
        <v>5</v>
      </c>
      <c r="E26" s="4">
        <f t="shared" si="1"/>
        <v>25</v>
      </c>
      <c r="F26" s="4">
        <f t="shared" si="2"/>
        <v>0.87179487179487181</v>
      </c>
      <c r="G26" s="3">
        <f t="shared" si="0"/>
        <v>0.8639147504980601</v>
      </c>
      <c r="L26">
        <f t="shared" ca="1" si="3"/>
        <v>2.161134843471042</v>
      </c>
      <c r="N26">
        <v>11.032521948487901</v>
      </c>
      <c r="O26" s="4">
        <f t="shared" si="4"/>
        <v>25</v>
      </c>
      <c r="P26" s="4">
        <f t="shared" si="5"/>
        <v>0.87179487179487181</v>
      </c>
    </row>
    <row r="27" spans="1:20">
      <c r="A27" s="9">
        <v>1291</v>
      </c>
      <c r="B27">
        <v>11.071</v>
      </c>
      <c r="C27" s="9">
        <v>4</v>
      </c>
      <c r="E27" s="4">
        <f t="shared" si="1"/>
        <v>26</v>
      </c>
      <c r="F27" s="4">
        <f t="shared" si="2"/>
        <v>0.8666666666666667</v>
      </c>
      <c r="G27" s="3">
        <f t="shared" si="0"/>
        <v>0.86320553358992846</v>
      </c>
      <c r="L27">
        <f t="shared" ca="1" si="3"/>
        <v>3.5434354720635266</v>
      </c>
      <c r="N27">
        <v>10.817421890258487</v>
      </c>
      <c r="O27" s="4">
        <f t="shared" si="4"/>
        <v>26</v>
      </c>
      <c r="P27" s="4">
        <f t="shared" si="5"/>
        <v>0.8666666666666667</v>
      </c>
    </row>
    <row r="28" spans="1:20">
      <c r="A28" s="9">
        <v>1349</v>
      </c>
      <c r="B28">
        <v>10.96</v>
      </c>
      <c r="C28" s="9">
        <v>4</v>
      </c>
      <c r="E28" s="4">
        <f t="shared" si="1"/>
        <v>27</v>
      </c>
      <c r="F28" s="4">
        <f t="shared" si="2"/>
        <v>0.86153846153846159</v>
      </c>
      <c r="G28" s="3">
        <f t="shared" si="0"/>
        <v>0.86063495002009072</v>
      </c>
      <c r="L28">
        <f t="shared" ca="1" si="3"/>
        <v>0.60735878822007638</v>
      </c>
      <c r="N28">
        <v>10.516042585306607</v>
      </c>
      <c r="O28" s="4">
        <f t="shared" si="4"/>
        <v>27</v>
      </c>
      <c r="P28" s="4">
        <f t="shared" si="5"/>
        <v>0.86153846153846159</v>
      </c>
    </row>
    <row r="29" spans="1:20">
      <c r="A29" s="9">
        <v>1854</v>
      </c>
      <c r="B29">
        <v>10.876999999999999</v>
      </c>
      <c r="C29" s="9">
        <v>2</v>
      </c>
      <c r="E29" s="4">
        <f t="shared" si="1"/>
        <v>28</v>
      </c>
      <c r="F29" s="4">
        <f t="shared" si="2"/>
        <v>0.85641025641025648</v>
      </c>
      <c r="G29" s="3">
        <f t="shared" si="0"/>
        <v>0.85868057276248055</v>
      </c>
      <c r="L29">
        <f t="shared" ca="1" si="3"/>
        <v>0.14845066525231743</v>
      </c>
      <c r="N29">
        <v>10.401499566408482</v>
      </c>
      <c r="O29" s="4">
        <f t="shared" si="4"/>
        <v>28</v>
      </c>
      <c r="P29" s="4">
        <f t="shared" si="5"/>
        <v>0.85641025641025648</v>
      </c>
      <c r="S29" t="s">
        <v>59</v>
      </c>
      <c r="T29" t="s">
        <v>60</v>
      </c>
    </row>
    <row r="30" spans="1:20">
      <c r="A30" s="9">
        <v>1254</v>
      </c>
      <c r="B30">
        <v>10.241</v>
      </c>
      <c r="C30" s="9">
        <v>10</v>
      </c>
      <c r="E30" s="4">
        <f t="shared" si="1"/>
        <v>29</v>
      </c>
      <c r="F30" s="4">
        <f t="shared" si="2"/>
        <v>0.85128205128205126</v>
      </c>
      <c r="G30" s="3">
        <f t="shared" si="0"/>
        <v>0.84274283308746067</v>
      </c>
      <c r="L30">
        <f t="shared" ca="1" si="3"/>
        <v>21.218288556962875</v>
      </c>
      <c r="N30">
        <v>10.36031329584948</v>
      </c>
      <c r="O30" s="4">
        <f t="shared" si="4"/>
        <v>29</v>
      </c>
      <c r="P30" s="4">
        <f t="shared" si="5"/>
        <v>0.85128205128205126</v>
      </c>
      <c r="S30" s="4">
        <f>AVERAGE(B2:B196)</f>
        <v>5.5261435897435955</v>
      </c>
      <c r="T30" s="4">
        <f>VAR(B2:B196)</f>
        <v>38.606404257626181</v>
      </c>
    </row>
    <row r="31" spans="1:20">
      <c r="A31" s="9">
        <v>1597</v>
      </c>
      <c r="B31">
        <v>9.7409999999999997</v>
      </c>
      <c r="C31" s="9">
        <v>2</v>
      </c>
      <c r="E31" s="4">
        <f t="shared" si="1"/>
        <v>30</v>
      </c>
      <c r="F31" s="4">
        <f t="shared" si="2"/>
        <v>0.84615384615384615</v>
      </c>
      <c r="G31" s="3">
        <f t="shared" si="0"/>
        <v>0.82892712427661763</v>
      </c>
      <c r="L31">
        <f t="shared" ca="1" si="3"/>
        <v>1.7636779777339155</v>
      </c>
      <c r="N31">
        <v>10.132785729893921</v>
      </c>
      <c r="O31" s="4">
        <f t="shared" si="4"/>
        <v>30</v>
      </c>
      <c r="P31" s="4">
        <f t="shared" si="5"/>
        <v>0.84615384615384615</v>
      </c>
    </row>
    <row r="32" spans="1:20">
      <c r="A32" s="9">
        <v>1061</v>
      </c>
      <c r="B32">
        <v>9.1349999999999998</v>
      </c>
      <c r="C32" s="9">
        <v>4</v>
      </c>
      <c r="E32" s="4">
        <f t="shared" si="1"/>
        <v>31</v>
      </c>
      <c r="F32" s="4">
        <f t="shared" si="2"/>
        <v>0.84102564102564104</v>
      </c>
      <c r="G32" s="3">
        <f t="shared" si="0"/>
        <v>0.81049700855069795</v>
      </c>
      <c r="L32">
        <f t="shared" ca="1" si="3"/>
        <v>9.9586748232180966</v>
      </c>
      <c r="N32">
        <v>10.122588863418528</v>
      </c>
      <c r="O32" s="4">
        <f t="shared" si="4"/>
        <v>31</v>
      </c>
      <c r="P32" s="4">
        <f t="shared" si="5"/>
        <v>0.84102564102564104</v>
      </c>
      <c r="R32" t="s">
        <v>61</v>
      </c>
    </row>
    <row r="33" spans="1:20">
      <c r="A33" s="9">
        <v>1115</v>
      </c>
      <c r="B33">
        <v>9.0009999999999994</v>
      </c>
      <c r="C33" s="9">
        <v>8</v>
      </c>
      <c r="E33" s="4">
        <f t="shared" si="1"/>
        <v>32</v>
      </c>
      <c r="F33" s="4">
        <f t="shared" si="2"/>
        <v>0.83589743589743593</v>
      </c>
      <c r="G33" s="3">
        <f t="shared" si="0"/>
        <v>0.80615292377688852</v>
      </c>
      <c r="L33">
        <f t="shared" ca="1" si="3"/>
        <v>1.1554343877132376</v>
      </c>
      <c r="N33">
        <v>10.073766865294406</v>
      </c>
      <c r="O33" s="4">
        <f t="shared" si="4"/>
        <v>32</v>
      </c>
      <c r="P33" s="4">
        <f t="shared" si="5"/>
        <v>0.83589743589743593</v>
      </c>
      <c r="S33" t="s">
        <v>54</v>
      </c>
      <c r="T33" t="s">
        <v>55</v>
      </c>
    </row>
    <row r="34" spans="1:20">
      <c r="A34" s="9">
        <v>1305</v>
      </c>
      <c r="B34">
        <v>8.8840000000000003</v>
      </c>
      <c r="C34" s="9">
        <v>6</v>
      </c>
      <c r="E34" s="4">
        <f t="shared" ref="E34:E65" si="6">RANK(B34,$B$2:$B$196)</f>
        <v>33</v>
      </c>
      <c r="F34" s="4">
        <f t="shared" ref="F34:F65" si="7">1-E34/$D$2</f>
        <v>0.8307692307692307</v>
      </c>
      <c r="G34" s="3">
        <f t="shared" ref="G34:G65" si="8">GAMMADIST(B34,$H$2,$I$2,TRUE)</f>
        <v>0.80227610289287288</v>
      </c>
      <c r="L34">
        <f t="shared" ref="L34:L65" ca="1" si="9">GAMMAINV(RAND(),$H$2,$I$2)</f>
        <v>3.2458106128323925</v>
      </c>
      <c r="N34">
        <v>9.6824832269952559</v>
      </c>
      <c r="O34" s="4">
        <f t="shared" si="4"/>
        <v>33</v>
      </c>
      <c r="P34" s="4">
        <f t="shared" si="5"/>
        <v>0.8307692307692307</v>
      </c>
      <c r="S34" s="4">
        <f>1/T30</f>
        <v>2.5902438189447891E-2</v>
      </c>
      <c r="T34" s="4">
        <f>T30/S30</f>
        <v>6.98613845816074</v>
      </c>
    </row>
    <row r="35" spans="1:20">
      <c r="A35" s="9">
        <v>1542</v>
      </c>
      <c r="B35">
        <v>8.8390000000000004</v>
      </c>
      <c r="C35" s="9">
        <v>7</v>
      </c>
      <c r="E35" s="4">
        <f t="shared" si="6"/>
        <v>34</v>
      </c>
      <c r="F35" s="4">
        <f t="shared" si="7"/>
        <v>0.82564102564102559</v>
      </c>
      <c r="G35" s="3">
        <f t="shared" si="8"/>
        <v>0.80076382132437041</v>
      </c>
      <c r="L35">
        <f t="shared" ca="1" si="9"/>
        <v>2.2552387916345022</v>
      </c>
      <c r="N35">
        <v>9.5547075548474112</v>
      </c>
      <c r="O35" s="4">
        <f t="shared" si="4"/>
        <v>34</v>
      </c>
      <c r="P35" s="4">
        <f t="shared" si="5"/>
        <v>0.82564102564102559</v>
      </c>
    </row>
    <row r="36" spans="1:20">
      <c r="A36" s="9">
        <v>1625</v>
      </c>
      <c r="B36">
        <v>8.8049999999999997</v>
      </c>
      <c r="C36" s="9">
        <v>2</v>
      </c>
      <c r="E36" s="4">
        <f t="shared" si="6"/>
        <v>35</v>
      </c>
      <c r="F36" s="4">
        <f t="shared" si="7"/>
        <v>0.82051282051282048</v>
      </c>
      <c r="G36" s="3">
        <f t="shared" si="8"/>
        <v>0.79961330401779296</v>
      </c>
      <c r="L36">
        <f t="shared" ca="1" si="9"/>
        <v>1.0222788271795862</v>
      </c>
      <c r="N36">
        <v>9.5301907658381388</v>
      </c>
      <c r="O36" s="4">
        <f t="shared" si="4"/>
        <v>35</v>
      </c>
      <c r="P36" s="4">
        <f t="shared" si="5"/>
        <v>0.82051282051282048</v>
      </c>
    </row>
    <row r="37" spans="1:20">
      <c r="A37" s="9">
        <v>1496</v>
      </c>
      <c r="B37">
        <v>8.7859999999999996</v>
      </c>
      <c r="C37" s="9">
        <v>4</v>
      </c>
      <c r="E37" s="4">
        <f t="shared" si="6"/>
        <v>36</v>
      </c>
      <c r="F37" s="4">
        <f t="shared" si="7"/>
        <v>0.81538461538461537</v>
      </c>
      <c r="G37" s="3">
        <f t="shared" si="8"/>
        <v>0.79896738645456167</v>
      </c>
      <c r="L37">
        <f t="shared" ca="1" si="9"/>
        <v>1.0208302436293319</v>
      </c>
      <c r="N37">
        <v>9.321372761420033</v>
      </c>
      <c r="O37" s="4">
        <f t="shared" si="4"/>
        <v>36</v>
      </c>
      <c r="P37" s="4">
        <f t="shared" si="5"/>
        <v>0.81538461538461537</v>
      </c>
    </row>
    <row r="38" spans="1:20">
      <c r="A38" s="9">
        <v>1789</v>
      </c>
      <c r="B38">
        <v>8.6590000000000007</v>
      </c>
      <c r="C38" s="9">
        <v>4</v>
      </c>
      <c r="E38" s="4">
        <f t="shared" si="6"/>
        <v>37</v>
      </c>
      <c r="F38" s="4">
        <f t="shared" si="7"/>
        <v>0.81025641025641026</v>
      </c>
      <c r="G38" s="3">
        <f t="shared" si="8"/>
        <v>0.79459442623605014</v>
      </c>
      <c r="L38">
        <f t="shared" ca="1" si="9"/>
        <v>9.0463110777455675</v>
      </c>
      <c r="N38">
        <v>9.2735494962854226</v>
      </c>
      <c r="O38" s="4">
        <f t="shared" si="4"/>
        <v>37</v>
      </c>
      <c r="P38" s="4">
        <f t="shared" si="5"/>
        <v>0.81025641025641026</v>
      </c>
    </row>
    <row r="39" spans="1:20">
      <c r="A39" s="9">
        <v>1274</v>
      </c>
      <c r="B39">
        <v>8.6339999999999986</v>
      </c>
      <c r="C39" s="9">
        <v>2</v>
      </c>
      <c r="E39" s="4">
        <f t="shared" si="6"/>
        <v>38</v>
      </c>
      <c r="F39" s="4">
        <f t="shared" si="7"/>
        <v>0.80512820512820515</v>
      </c>
      <c r="G39" s="3">
        <f t="shared" si="8"/>
        <v>0.79372210999166382</v>
      </c>
      <c r="L39">
        <f t="shared" ca="1" si="9"/>
        <v>9.251684185622107</v>
      </c>
      <c r="N39">
        <v>9.0857397341163093</v>
      </c>
      <c r="O39" s="4">
        <f t="shared" si="4"/>
        <v>38</v>
      </c>
      <c r="P39" s="4">
        <f t="shared" si="5"/>
        <v>0.80512820512820515</v>
      </c>
    </row>
    <row r="40" spans="1:20">
      <c r="A40" s="9">
        <v>1364</v>
      </c>
      <c r="B40">
        <v>8.4130000000000003</v>
      </c>
      <c r="C40" s="9">
        <v>4</v>
      </c>
      <c r="E40" s="4">
        <f t="shared" si="6"/>
        <v>39</v>
      </c>
      <c r="F40" s="4">
        <f t="shared" si="7"/>
        <v>0.8</v>
      </c>
      <c r="G40" s="3">
        <f t="shared" si="8"/>
        <v>0.78584249576187881</v>
      </c>
      <c r="L40">
        <f t="shared" ca="1" si="9"/>
        <v>0.13432963229892014</v>
      </c>
      <c r="N40">
        <v>8.9306685905304271</v>
      </c>
      <c r="O40" s="4">
        <f t="shared" si="4"/>
        <v>39</v>
      </c>
      <c r="P40" s="4">
        <f t="shared" si="5"/>
        <v>0.8</v>
      </c>
    </row>
    <row r="41" spans="1:20">
      <c r="A41" s="9">
        <v>1020</v>
      </c>
      <c r="B41">
        <v>8.3949999999999996</v>
      </c>
      <c r="C41" s="9">
        <v>17</v>
      </c>
      <c r="E41" s="4">
        <f t="shared" si="6"/>
        <v>40</v>
      </c>
      <c r="F41" s="4">
        <f t="shared" si="7"/>
        <v>0.79487179487179493</v>
      </c>
      <c r="G41" s="3">
        <f t="shared" si="8"/>
        <v>0.78518717654231507</v>
      </c>
      <c r="L41">
        <f t="shared" ca="1" si="9"/>
        <v>7.7828900920642585</v>
      </c>
      <c r="N41">
        <v>8.769699337956613</v>
      </c>
      <c r="O41" s="4">
        <f t="shared" si="4"/>
        <v>40</v>
      </c>
      <c r="P41" s="4">
        <f t="shared" si="5"/>
        <v>0.79487179487179493</v>
      </c>
    </row>
    <row r="42" spans="1:20">
      <c r="A42" s="9">
        <v>1315</v>
      </c>
      <c r="B42">
        <v>8.1109999999999989</v>
      </c>
      <c r="C42" s="9">
        <v>5</v>
      </c>
      <c r="E42" s="4">
        <f t="shared" si="6"/>
        <v>41</v>
      </c>
      <c r="F42" s="4">
        <f t="shared" si="7"/>
        <v>0.78974358974358971</v>
      </c>
      <c r="G42" s="3">
        <f t="shared" si="8"/>
        <v>0.77456883068530114</v>
      </c>
      <c r="L42">
        <f t="shared" ca="1" si="9"/>
        <v>6.4284444046947868</v>
      </c>
      <c r="N42">
        <v>8.6932133060896462</v>
      </c>
      <c r="O42" s="4">
        <f t="shared" si="4"/>
        <v>41</v>
      </c>
      <c r="P42" s="4">
        <f t="shared" si="5"/>
        <v>0.78974358974358971</v>
      </c>
    </row>
    <row r="43" spans="1:20">
      <c r="A43" s="9">
        <v>1916</v>
      </c>
      <c r="B43">
        <v>7.9190000000000005</v>
      </c>
      <c r="C43" s="9">
        <v>3</v>
      </c>
      <c r="E43" s="4">
        <f t="shared" si="6"/>
        <v>42</v>
      </c>
      <c r="F43" s="4">
        <f t="shared" si="7"/>
        <v>0.7846153846153846</v>
      </c>
      <c r="G43" s="3">
        <f t="shared" si="8"/>
        <v>0.76708367278636036</v>
      </c>
      <c r="L43">
        <f t="shared" ca="1" si="9"/>
        <v>1.0794848409753768</v>
      </c>
      <c r="N43">
        <v>8.5310375626164401</v>
      </c>
      <c r="O43" s="4">
        <f t="shared" si="4"/>
        <v>42</v>
      </c>
      <c r="P43" s="4">
        <f t="shared" si="5"/>
        <v>0.7846153846153846</v>
      </c>
    </row>
    <row r="44" spans="1:20">
      <c r="A44" s="9">
        <v>1893</v>
      </c>
      <c r="B44">
        <v>7.8369999999999997</v>
      </c>
      <c r="C44" s="9">
        <v>4</v>
      </c>
      <c r="E44" s="4">
        <f t="shared" si="6"/>
        <v>43</v>
      </c>
      <c r="F44" s="4">
        <f t="shared" si="7"/>
        <v>0.77948717948717949</v>
      </c>
      <c r="G44" s="3">
        <f t="shared" si="8"/>
        <v>0.7638088484886747</v>
      </c>
      <c r="L44">
        <f t="shared" ca="1" si="9"/>
        <v>2.3718038501870522</v>
      </c>
      <c r="N44">
        <v>8.4526144188185803</v>
      </c>
      <c r="O44" s="4">
        <f t="shared" si="4"/>
        <v>43</v>
      </c>
      <c r="P44" s="4">
        <f t="shared" si="5"/>
        <v>0.77948717948717949</v>
      </c>
    </row>
    <row r="45" spans="1:20">
      <c r="A45" s="9">
        <v>1703</v>
      </c>
      <c r="B45">
        <v>7.8360000000000003</v>
      </c>
      <c r="C45" s="9">
        <v>7</v>
      </c>
      <c r="E45" s="4">
        <f t="shared" si="6"/>
        <v>44</v>
      </c>
      <c r="F45" s="4">
        <f t="shared" si="7"/>
        <v>0.77435897435897438</v>
      </c>
      <c r="G45" s="3">
        <f t="shared" si="8"/>
        <v>0.7637686182992024</v>
      </c>
      <c r="L45">
        <f t="shared" ca="1" si="9"/>
        <v>1.3068101000573069</v>
      </c>
      <c r="N45">
        <v>8.2321061098774493</v>
      </c>
      <c r="O45" s="4">
        <f t="shared" si="4"/>
        <v>44</v>
      </c>
      <c r="P45" s="4">
        <f t="shared" si="5"/>
        <v>0.77435897435897438</v>
      </c>
    </row>
    <row r="46" spans="1:20">
      <c r="A46" s="9">
        <v>1714</v>
      </c>
      <c r="B46">
        <v>7.6539999999999999</v>
      </c>
      <c r="C46" s="9">
        <v>2</v>
      </c>
      <c r="E46" s="4">
        <f t="shared" si="6"/>
        <v>45</v>
      </c>
      <c r="F46" s="4">
        <f t="shared" si="7"/>
        <v>0.76923076923076916</v>
      </c>
      <c r="G46" s="3">
        <f t="shared" si="8"/>
        <v>0.7563270345753641</v>
      </c>
      <c r="L46">
        <f t="shared" ca="1" si="9"/>
        <v>2.0102865741517055</v>
      </c>
      <c r="N46">
        <v>7.9224804579156203</v>
      </c>
      <c r="O46" s="4">
        <f t="shared" si="4"/>
        <v>45</v>
      </c>
      <c r="P46" s="4">
        <f t="shared" si="5"/>
        <v>0.76923076923076916</v>
      </c>
    </row>
    <row r="47" spans="1:20">
      <c r="A47" s="9">
        <v>1183</v>
      </c>
      <c r="B47">
        <v>7.6520000000000001</v>
      </c>
      <c r="C47" s="9">
        <v>2</v>
      </c>
      <c r="E47" s="4">
        <f t="shared" si="6"/>
        <v>46</v>
      </c>
      <c r="F47" s="4">
        <f t="shared" si="7"/>
        <v>0.76410256410256405</v>
      </c>
      <c r="G47" s="3">
        <f t="shared" si="8"/>
        <v>0.75624392088868586</v>
      </c>
      <c r="L47">
        <f t="shared" ca="1" si="9"/>
        <v>9.457048968425898</v>
      </c>
      <c r="N47">
        <v>7.768660601583484</v>
      </c>
      <c r="O47" s="4">
        <f t="shared" si="4"/>
        <v>46</v>
      </c>
      <c r="P47" s="4">
        <f t="shared" si="5"/>
        <v>0.76410256410256405</v>
      </c>
    </row>
    <row r="48" spans="1:20">
      <c r="A48" s="9">
        <v>1886</v>
      </c>
      <c r="B48">
        <v>7.5780000000000003</v>
      </c>
      <c r="C48" s="9">
        <v>7</v>
      </c>
      <c r="E48" s="4">
        <f t="shared" si="6"/>
        <v>47</v>
      </c>
      <c r="F48" s="4">
        <f t="shared" si="7"/>
        <v>0.75897435897435894</v>
      </c>
      <c r="G48" s="3">
        <f t="shared" si="8"/>
        <v>0.75314792873226855</v>
      </c>
      <c r="L48">
        <f t="shared" ca="1" si="9"/>
        <v>0.33412937119698649</v>
      </c>
      <c r="N48">
        <v>7.7247681574533118</v>
      </c>
      <c r="O48" s="4">
        <f t="shared" si="4"/>
        <v>47</v>
      </c>
      <c r="P48" s="4">
        <f t="shared" si="5"/>
        <v>0.75897435897435894</v>
      </c>
    </row>
    <row r="49" spans="1:16">
      <c r="A49" s="9">
        <v>998</v>
      </c>
      <c r="B49">
        <v>7.5449999999999999</v>
      </c>
      <c r="C49" s="9">
        <v>2</v>
      </c>
      <c r="E49" s="4">
        <f t="shared" si="6"/>
        <v>48</v>
      </c>
      <c r="F49" s="4">
        <f t="shared" si="7"/>
        <v>0.75384615384615383</v>
      </c>
      <c r="G49" s="3">
        <f t="shared" si="8"/>
        <v>0.75175414252325301</v>
      </c>
      <c r="L49">
        <f t="shared" ca="1" si="9"/>
        <v>8.4826243899383655</v>
      </c>
      <c r="N49">
        <v>7.638697992203598</v>
      </c>
      <c r="O49" s="4">
        <f t="shared" si="4"/>
        <v>48</v>
      </c>
      <c r="P49" s="4">
        <f t="shared" si="5"/>
        <v>0.75384615384615383</v>
      </c>
    </row>
    <row r="50" spans="1:16">
      <c r="A50" s="9">
        <v>1527</v>
      </c>
      <c r="B50">
        <v>7.4380000000000006</v>
      </c>
      <c r="C50" s="9">
        <v>3</v>
      </c>
      <c r="E50" s="4">
        <f t="shared" si="6"/>
        <v>49</v>
      </c>
      <c r="F50" s="4">
        <f t="shared" si="7"/>
        <v>0.74871794871794872</v>
      </c>
      <c r="G50" s="3">
        <f t="shared" si="8"/>
        <v>0.7471783807109138</v>
      </c>
      <c r="L50">
        <f t="shared" ca="1" si="9"/>
        <v>0.16363429030094306</v>
      </c>
      <c r="N50">
        <v>7.4484063298333059</v>
      </c>
      <c r="O50" s="4">
        <f t="shared" si="4"/>
        <v>49</v>
      </c>
      <c r="P50" s="4">
        <f t="shared" si="5"/>
        <v>0.74871794871794872</v>
      </c>
    </row>
    <row r="51" spans="1:16">
      <c r="A51" s="9">
        <v>1047</v>
      </c>
      <c r="B51">
        <v>7.4139999999999997</v>
      </c>
      <c r="C51" s="9">
        <v>9</v>
      </c>
      <c r="E51" s="4">
        <f t="shared" si="6"/>
        <v>50</v>
      </c>
      <c r="F51" s="4">
        <f t="shared" si="7"/>
        <v>0.74358974358974361</v>
      </c>
      <c r="G51" s="3">
        <f t="shared" si="8"/>
        <v>0.74614005532884953</v>
      </c>
      <c r="L51">
        <f t="shared" ca="1" si="9"/>
        <v>12.324598135596538</v>
      </c>
      <c r="N51">
        <v>7.4113440791610383</v>
      </c>
      <c r="O51" s="4">
        <f t="shared" si="4"/>
        <v>50</v>
      </c>
      <c r="P51" s="4">
        <f t="shared" si="5"/>
        <v>0.74358974358974361</v>
      </c>
    </row>
    <row r="52" spans="1:16">
      <c r="A52" s="9">
        <v>1299</v>
      </c>
      <c r="B52">
        <v>7.2539999999999996</v>
      </c>
      <c r="C52" s="9">
        <v>3</v>
      </c>
      <c r="E52" s="4">
        <f t="shared" si="6"/>
        <v>51</v>
      </c>
      <c r="F52" s="4">
        <f t="shared" si="7"/>
        <v>0.7384615384615385</v>
      </c>
      <c r="G52" s="3">
        <f t="shared" si="8"/>
        <v>0.7391035826900153</v>
      </c>
      <c r="L52">
        <f t="shared" ca="1" si="9"/>
        <v>0.70742948174509768</v>
      </c>
      <c r="N52">
        <v>7.3810017498801592</v>
      </c>
      <c r="O52" s="4">
        <f t="shared" si="4"/>
        <v>51</v>
      </c>
      <c r="P52" s="4">
        <f t="shared" si="5"/>
        <v>0.7384615384615385</v>
      </c>
    </row>
    <row r="53" spans="1:16">
      <c r="A53" s="9">
        <v>1421</v>
      </c>
      <c r="B53">
        <v>7.1870000000000003</v>
      </c>
      <c r="C53" s="9">
        <v>3</v>
      </c>
      <c r="E53" s="4">
        <f t="shared" si="6"/>
        <v>52</v>
      </c>
      <c r="F53" s="4">
        <f t="shared" si="7"/>
        <v>0.73333333333333339</v>
      </c>
      <c r="G53" s="3">
        <f t="shared" si="8"/>
        <v>0.73609700972342917</v>
      </c>
      <c r="L53">
        <f t="shared" ca="1" si="9"/>
        <v>4.3449103939217153</v>
      </c>
      <c r="N53">
        <v>7.2580285996377203</v>
      </c>
      <c r="O53" s="4">
        <f t="shared" si="4"/>
        <v>52</v>
      </c>
      <c r="P53" s="4">
        <f t="shared" si="5"/>
        <v>0.73333333333333339</v>
      </c>
    </row>
    <row r="54" spans="1:16">
      <c r="A54" s="9">
        <v>1345</v>
      </c>
      <c r="B54">
        <v>7.1280000000000001</v>
      </c>
      <c r="C54" s="9">
        <v>9</v>
      </c>
      <c r="E54" s="4">
        <f t="shared" si="6"/>
        <v>53</v>
      </c>
      <c r="F54" s="4">
        <f t="shared" si="7"/>
        <v>0.72820512820512828</v>
      </c>
      <c r="G54" s="3">
        <f t="shared" si="8"/>
        <v>0.73341954254590114</v>
      </c>
      <c r="L54">
        <f t="shared" ca="1" si="9"/>
        <v>1.6485853023714894</v>
      </c>
      <c r="N54">
        <v>7.1424832232261686</v>
      </c>
      <c r="O54" s="4">
        <f t="shared" si="4"/>
        <v>53</v>
      </c>
      <c r="P54" s="4">
        <f t="shared" si="5"/>
        <v>0.72820512820512828</v>
      </c>
    </row>
    <row r="55" spans="1:16">
      <c r="A55" s="9">
        <v>1696</v>
      </c>
      <c r="B55">
        <v>7.0190000000000001</v>
      </c>
      <c r="C55" s="9">
        <v>3</v>
      </c>
      <c r="E55" s="4">
        <f t="shared" si="6"/>
        <v>54</v>
      </c>
      <c r="F55" s="4">
        <f t="shared" si="7"/>
        <v>0.72307692307692306</v>
      </c>
      <c r="G55" s="3">
        <f t="shared" si="8"/>
        <v>0.7283982865718569</v>
      </c>
      <c r="L55">
        <f t="shared" ca="1" si="9"/>
        <v>3.0732400572128871</v>
      </c>
      <c r="N55">
        <v>7.0485142554067899</v>
      </c>
      <c r="O55" s="4">
        <f t="shared" si="4"/>
        <v>54</v>
      </c>
      <c r="P55" s="4">
        <f t="shared" si="5"/>
        <v>0.72307692307692306</v>
      </c>
    </row>
    <row r="56" spans="1:16">
      <c r="A56" s="9">
        <v>1785</v>
      </c>
      <c r="B56">
        <v>7</v>
      </c>
      <c r="C56" s="9">
        <v>5</v>
      </c>
      <c r="E56" s="4">
        <f t="shared" si="6"/>
        <v>55</v>
      </c>
      <c r="F56" s="4">
        <f t="shared" si="7"/>
        <v>0.71794871794871795</v>
      </c>
      <c r="G56" s="3">
        <f t="shared" si="8"/>
        <v>0.72751297366026835</v>
      </c>
      <c r="L56">
        <f t="shared" ca="1" si="9"/>
        <v>18.786591591564914</v>
      </c>
      <c r="N56">
        <v>7.0018056007783755</v>
      </c>
      <c r="O56" s="4">
        <f t="shared" si="4"/>
        <v>55</v>
      </c>
      <c r="P56" s="4">
        <f t="shared" si="5"/>
        <v>0.71794871794871795</v>
      </c>
    </row>
    <row r="57" spans="1:16">
      <c r="A57" s="9">
        <v>1763</v>
      </c>
      <c r="B57">
        <v>6.87</v>
      </c>
      <c r="C57" s="9">
        <v>13</v>
      </c>
      <c r="E57" s="4">
        <f t="shared" si="6"/>
        <v>56</v>
      </c>
      <c r="F57" s="4">
        <f t="shared" si="7"/>
        <v>0.71282051282051284</v>
      </c>
      <c r="G57" s="3">
        <f t="shared" si="8"/>
        <v>0.72137418816736909</v>
      </c>
      <c r="L57">
        <f t="shared" ca="1" si="9"/>
        <v>1.1844421222525177</v>
      </c>
      <c r="N57">
        <v>6.9933995549495265</v>
      </c>
      <c r="O57" s="4">
        <f t="shared" si="4"/>
        <v>56</v>
      </c>
      <c r="P57" s="4">
        <f t="shared" si="5"/>
        <v>0.71282051282051284</v>
      </c>
    </row>
    <row r="58" spans="1:16">
      <c r="A58" s="9">
        <v>1381</v>
      </c>
      <c r="B58">
        <v>6.8009999999999993</v>
      </c>
      <c r="C58" s="9">
        <v>3</v>
      </c>
      <c r="E58" s="4">
        <f t="shared" si="6"/>
        <v>57</v>
      </c>
      <c r="F58" s="4">
        <f t="shared" si="7"/>
        <v>0.70769230769230762</v>
      </c>
      <c r="G58" s="3">
        <f t="shared" si="8"/>
        <v>0.71805739488938247</v>
      </c>
      <c r="L58">
        <f t="shared" ca="1" si="9"/>
        <v>9.1920678165958343</v>
      </c>
      <c r="N58">
        <v>6.8861413516337375</v>
      </c>
      <c r="O58" s="4">
        <f t="shared" si="4"/>
        <v>57</v>
      </c>
      <c r="P58" s="4">
        <f t="shared" si="5"/>
        <v>0.70769230769230762</v>
      </c>
    </row>
    <row r="59" spans="1:16">
      <c r="A59" s="9">
        <v>1510</v>
      </c>
      <c r="B59">
        <v>6.7930000000000001</v>
      </c>
      <c r="C59" s="9">
        <v>9</v>
      </c>
      <c r="E59" s="4">
        <f t="shared" si="6"/>
        <v>58</v>
      </c>
      <c r="F59" s="4">
        <f t="shared" si="7"/>
        <v>0.70256410256410251</v>
      </c>
      <c r="G59" s="3">
        <f t="shared" si="8"/>
        <v>0.71767017843522862</v>
      </c>
      <c r="L59">
        <f t="shared" ca="1" si="9"/>
        <v>5.4994264437937126</v>
      </c>
      <c r="N59">
        <v>6.8001882381331527</v>
      </c>
      <c r="O59" s="4">
        <f t="shared" si="4"/>
        <v>58</v>
      </c>
      <c r="P59" s="4">
        <f t="shared" si="5"/>
        <v>0.70256410256410251</v>
      </c>
    </row>
    <row r="60" spans="1:16">
      <c r="A60" s="9">
        <v>1089</v>
      </c>
      <c r="B60">
        <v>6.7920000000000007</v>
      </c>
      <c r="C60" s="9">
        <v>4</v>
      </c>
      <c r="E60" s="4">
        <f t="shared" si="6"/>
        <v>59</v>
      </c>
      <c r="F60" s="4">
        <f t="shared" si="7"/>
        <v>0.6974358974358974</v>
      </c>
      <c r="G60" s="3">
        <f t="shared" si="8"/>
        <v>0.71762173730592083</v>
      </c>
      <c r="L60">
        <f t="shared" ca="1" si="9"/>
        <v>9.8315533232617227</v>
      </c>
      <c r="N60">
        <v>6.7927019969207922</v>
      </c>
      <c r="O60" s="4">
        <f t="shared" si="4"/>
        <v>59</v>
      </c>
      <c r="P60" s="4">
        <f t="shared" si="5"/>
        <v>0.6974358974358974</v>
      </c>
    </row>
    <row r="61" spans="1:16">
      <c r="A61" s="9">
        <v>1841</v>
      </c>
      <c r="B61">
        <v>6.6619999999999999</v>
      </c>
      <c r="C61" s="9">
        <v>4</v>
      </c>
      <c r="E61" s="4">
        <f t="shared" si="6"/>
        <v>60</v>
      </c>
      <c r="F61" s="4">
        <f t="shared" si="7"/>
        <v>0.69230769230769229</v>
      </c>
      <c r="G61" s="3">
        <f t="shared" si="8"/>
        <v>0.711249827908918</v>
      </c>
      <c r="L61">
        <f t="shared" ca="1" si="9"/>
        <v>13.319659622994671</v>
      </c>
      <c r="N61">
        <v>6.6945866265750684</v>
      </c>
      <c r="O61" s="4">
        <f t="shared" si="4"/>
        <v>60</v>
      </c>
      <c r="P61" s="4">
        <f t="shared" si="5"/>
        <v>0.69230769230769229</v>
      </c>
    </row>
    <row r="62" spans="1:16">
      <c r="A62" s="9">
        <v>1805</v>
      </c>
      <c r="B62">
        <v>6.6189999999999998</v>
      </c>
      <c r="C62" s="9">
        <v>5</v>
      </c>
      <c r="E62" s="4">
        <f t="shared" si="6"/>
        <v>61</v>
      </c>
      <c r="F62" s="4">
        <f t="shared" si="7"/>
        <v>0.68717948717948718</v>
      </c>
      <c r="G62" s="3">
        <f t="shared" si="8"/>
        <v>0.70910921639991731</v>
      </c>
      <c r="L62">
        <f t="shared" ca="1" si="9"/>
        <v>19.998774781539858</v>
      </c>
      <c r="N62">
        <v>6.5624188902945839</v>
      </c>
      <c r="O62" s="4">
        <f t="shared" si="4"/>
        <v>61</v>
      </c>
      <c r="P62" s="4">
        <f t="shared" si="5"/>
        <v>0.68717948717948718</v>
      </c>
    </row>
    <row r="63" spans="1:16">
      <c r="A63" s="9">
        <v>1736</v>
      </c>
      <c r="B63">
        <v>6.5690000000000008</v>
      </c>
      <c r="C63" s="9">
        <v>2</v>
      </c>
      <c r="E63" s="4">
        <f t="shared" si="6"/>
        <v>62</v>
      </c>
      <c r="F63" s="4">
        <f t="shared" si="7"/>
        <v>0.68205128205128207</v>
      </c>
      <c r="G63" s="3">
        <f t="shared" si="8"/>
        <v>0.7065992226877027</v>
      </c>
      <c r="L63">
        <f t="shared" ca="1" si="9"/>
        <v>5.2069970791687989</v>
      </c>
      <c r="N63">
        <v>6.4915563499018809</v>
      </c>
      <c r="O63" s="4">
        <f t="shared" si="4"/>
        <v>62</v>
      </c>
      <c r="P63" s="4">
        <f t="shared" si="5"/>
        <v>0.68205128205128207</v>
      </c>
    </row>
    <row r="64" spans="1:16">
      <c r="A64" s="9">
        <v>1410</v>
      </c>
      <c r="B64">
        <v>6.4770000000000003</v>
      </c>
      <c r="C64" s="9">
        <v>6</v>
      </c>
      <c r="E64" s="4">
        <f t="shared" si="6"/>
        <v>63</v>
      </c>
      <c r="F64" s="4">
        <f t="shared" si="7"/>
        <v>0.67692307692307696</v>
      </c>
      <c r="G64" s="3">
        <f t="shared" si="8"/>
        <v>0.70192136462234411</v>
      </c>
      <c r="L64">
        <f t="shared" ca="1" si="9"/>
        <v>1.4337536465618381</v>
      </c>
      <c r="N64">
        <v>6.3330998732506973</v>
      </c>
      <c r="O64" s="4">
        <f t="shared" si="4"/>
        <v>63</v>
      </c>
      <c r="P64" s="4">
        <f t="shared" si="5"/>
        <v>0.67692307692307696</v>
      </c>
    </row>
    <row r="65" spans="1:16">
      <c r="A65" s="9">
        <v>1936</v>
      </c>
      <c r="B65">
        <v>6.4749999999999996</v>
      </c>
      <c r="C65" s="9">
        <v>2</v>
      </c>
      <c r="E65" s="4">
        <f t="shared" si="6"/>
        <v>64</v>
      </c>
      <c r="F65" s="4">
        <f t="shared" si="7"/>
        <v>0.67179487179487185</v>
      </c>
      <c r="G65" s="3">
        <f t="shared" si="8"/>
        <v>0.70181880806533536</v>
      </c>
      <c r="L65">
        <f t="shared" ca="1" si="9"/>
        <v>12.050007207911598</v>
      </c>
      <c r="N65">
        <v>6.3073374435136795</v>
      </c>
      <c r="O65" s="4">
        <f t="shared" si="4"/>
        <v>64</v>
      </c>
      <c r="P65" s="4">
        <f t="shared" si="5"/>
        <v>0.67179487179487185</v>
      </c>
    </row>
    <row r="66" spans="1:16">
      <c r="A66" s="9">
        <v>1925</v>
      </c>
      <c r="B66">
        <v>6.444</v>
      </c>
      <c r="C66" s="9">
        <v>9</v>
      </c>
      <c r="E66" s="4">
        <f t="shared" ref="E66:E97" si="10">RANK(B66,$B$2:$B$196)</f>
        <v>65</v>
      </c>
      <c r="F66" s="4">
        <f t="shared" ref="F66:F97" si="11">1-E66/$D$2</f>
        <v>0.66666666666666674</v>
      </c>
      <c r="G66" s="3">
        <f t="shared" ref="G66:G97" si="12">GAMMADIST(B66,$H$2,$I$2,TRUE)</f>
        <v>0.70022444098270975</v>
      </c>
      <c r="L66">
        <f t="shared" ref="L66:L97" ca="1" si="13">GAMMAINV(RAND(),$H$2,$I$2)</f>
        <v>10.968890860006017</v>
      </c>
      <c r="N66">
        <v>6.2400053998593918</v>
      </c>
      <c r="O66" s="4">
        <f t="shared" si="4"/>
        <v>65</v>
      </c>
      <c r="P66" s="4">
        <f t="shared" si="5"/>
        <v>0.66666666666666674</v>
      </c>
    </row>
    <row r="67" spans="1:16">
      <c r="A67" s="9">
        <v>1374</v>
      </c>
      <c r="B67">
        <v>6.3220000000000001</v>
      </c>
      <c r="C67" s="9">
        <v>5</v>
      </c>
      <c r="E67" s="4">
        <f t="shared" si="10"/>
        <v>66</v>
      </c>
      <c r="F67" s="4">
        <f t="shared" si="11"/>
        <v>0.66153846153846152</v>
      </c>
      <c r="G67" s="3">
        <f t="shared" si="12"/>
        <v>0.69386244221660731</v>
      </c>
      <c r="L67">
        <f t="shared" ca="1" si="13"/>
        <v>4.3872836834523188</v>
      </c>
      <c r="N67">
        <v>6.079694350009019</v>
      </c>
      <c r="O67" s="4">
        <f t="shared" ref="O67:O130" si="14">RANK(N67,$N$2:$N$196)</f>
        <v>66</v>
      </c>
      <c r="P67" s="4">
        <f t="shared" ref="P67:P130" si="15">1-O67/$D$2</f>
        <v>0.66153846153846152</v>
      </c>
    </row>
    <row r="68" spans="1:16">
      <c r="A68" s="9">
        <v>1630</v>
      </c>
      <c r="B68">
        <v>6.2509999999999994</v>
      </c>
      <c r="C68" s="9">
        <v>5</v>
      </c>
      <c r="E68" s="4">
        <f t="shared" si="10"/>
        <v>67</v>
      </c>
      <c r="F68" s="4">
        <f t="shared" si="11"/>
        <v>0.65641025641025641</v>
      </c>
      <c r="G68" s="3">
        <f t="shared" si="12"/>
        <v>0.69009484616246541</v>
      </c>
      <c r="L68">
        <f t="shared" ca="1" si="13"/>
        <v>13.317156684106845</v>
      </c>
      <c r="N68">
        <v>5.9258248715964967</v>
      </c>
      <c r="O68" s="4">
        <f t="shared" si="14"/>
        <v>67</v>
      </c>
      <c r="P68" s="4">
        <f t="shared" si="15"/>
        <v>0.65641025641025641</v>
      </c>
    </row>
    <row r="69" spans="1:16">
      <c r="A69" s="9">
        <v>1103</v>
      </c>
      <c r="B69">
        <v>6.0030000000000001</v>
      </c>
      <c r="C69" s="9">
        <v>4</v>
      </c>
      <c r="E69" s="4">
        <f t="shared" si="10"/>
        <v>68</v>
      </c>
      <c r="F69" s="4">
        <f t="shared" si="11"/>
        <v>0.6512820512820513</v>
      </c>
      <c r="G69" s="3">
        <f t="shared" si="12"/>
        <v>0.6765475934005154</v>
      </c>
      <c r="L69">
        <f t="shared" ca="1" si="13"/>
        <v>3.9131338165350877</v>
      </c>
      <c r="N69">
        <v>5.9159881811197721</v>
      </c>
      <c r="O69" s="4">
        <f t="shared" si="14"/>
        <v>68</v>
      </c>
      <c r="P69" s="4">
        <f t="shared" si="15"/>
        <v>0.6512820512820513</v>
      </c>
    </row>
    <row r="70" spans="1:16">
      <c r="A70" s="9">
        <v>1386</v>
      </c>
      <c r="B70">
        <v>5.9559999999999995</v>
      </c>
      <c r="C70" s="9">
        <v>5</v>
      </c>
      <c r="E70" s="4">
        <f t="shared" si="10"/>
        <v>69</v>
      </c>
      <c r="F70" s="4">
        <f t="shared" si="11"/>
        <v>0.64615384615384608</v>
      </c>
      <c r="G70" s="3">
        <f t="shared" si="12"/>
        <v>0.67391059833525468</v>
      </c>
      <c r="L70">
        <f t="shared" ca="1" si="13"/>
        <v>1.4915711898842319</v>
      </c>
      <c r="N70">
        <v>5.9108536996628018</v>
      </c>
      <c r="O70" s="4">
        <f t="shared" si="14"/>
        <v>69</v>
      </c>
      <c r="P70" s="4">
        <f t="shared" si="15"/>
        <v>0.64615384615384608</v>
      </c>
    </row>
    <row r="71" spans="1:16">
      <c r="A71" s="9">
        <v>1675</v>
      </c>
      <c r="B71">
        <v>5.8360000000000003</v>
      </c>
      <c r="C71" s="9">
        <v>2</v>
      </c>
      <c r="E71" s="4">
        <f t="shared" si="10"/>
        <v>70</v>
      </c>
      <c r="F71" s="4">
        <f t="shared" si="11"/>
        <v>0.64102564102564097</v>
      </c>
      <c r="G71" s="3">
        <f t="shared" si="12"/>
        <v>0.66707443822474588</v>
      </c>
      <c r="L71">
        <f t="shared" ca="1" si="13"/>
        <v>7.9031493086998861</v>
      </c>
      <c r="N71">
        <v>5.8508169041460238</v>
      </c>
      <c r="O71" s="4">
        <f t="shared" si="14"/>
        <v>70</v>
      </c>
      <c r="P71" s="4">
        <f t="shared" si="15"/>
        <v>0.64102564102564097</v>
      </c>
    </row>
    <row r="72" spans="1:16">
      <c r="A72" s="9">
        <v>1681</v>
      </c>
      <c r="B72">
        <v>5.76</v>
      </c>
      <c r="C72" s="9">
        <v>6</v>
      </c>
      <c r="E72" s="4">
        <f t="shared" si="10"/>
        <v>71</v>
      </c>
      <c r="F72" s="4">
        <f t="shared" si="11"/>
        <v>0.63589743589743586</v>
      </c>
      <c r="G72" s="3">
        <f t="shared" si="12"/>
        <v>0.6626667210672359</v>
      </c>
      <c r="L72">
        <f t="shared" ca="1" si="13"/>
        <v>1.123204372351617</v>
      </c>
      <c r="N72">
        <v>5.8156615163036403</v>
      </c>
      <c r="O72" s="4">
        <f t="shared" si="14"/>
        <v>71</v>
      </c>
      <c r="P72" s="4">
        <f t="shared" si="15"/>
        <v>0.63589743589743586</v>
      </c>
    </row>
    <row r="73" spans="1:16">
      <c r="A73" s="9">
        <v>1524</v>
      </c>
      <c r="B73">
        <v>5.7210000000000001</v>
      </c>
      <c r="C73" s="9">
        <v>3</v>
      </c>
      <c r="E73" s="4">
        <f t="shared" si="10"/>
        <v>72</v>
      </c>
      <c r="F73" s="4">
        <f t="shared" si="11"/>
        <v>0.63076923076923075</v>
      </c>
      <c r="G73" s="3">
        <f t="shared" si="12"/>
        <v>0.66038095527720997</v>
      </c>
      <c r="L73">
        <f t="shared" ca="1" si="13"/>
        <v>11.393036990240937</v>
      </c>
      <c r="N73">
        <v>5.8120085159599419</v>
      </c>
      <c r="O73" s="4">
        <f t="shared" si="14"/>
        <v>72</v>
      </c>
      <c r="P73" s="4">
        <f t="shared" si="15"/>
        <v>0.63076923076923075</v>
      </c>
    </row>
    <row r="74" spans="1:16">
      <c r="A74" s="9">
        <v>1687</v>
      </c>
      <c r="B74">
        <v>5.6079999999999997</v>
      </c>
      <c r="C74" s="9">
        <v>3</v>
      </c>
      <c r="E74" s="4">
        <f t="shared" si="10"/>
        <v>73</v>
      </c>
      <c r="F74" s="4">
        <f t="shared" si="11"/>
        <v>0.62564102564102564</v>
      </c>
      <c r="G74" s="3">
        <f t="shared" si="12"/>
        <v>0.65366507565765053</v>
      </c>
      <c r="L74">
        <f t="shared" ca="1" si="13"/>
        <v>2.2406118772101138</v>
      </c>
      <c r="N74">
        <v>5.790466781894164</v>
      </c>
      <c r="O74" s="4">
        <f t="shared" si="14"/>
        <v>73</v>
      </c>
      <c r="P74" s="4">
        <f t="shared" si="15"/>
        <v>0.62564102564102564</v>
      </c>
    </row>
    <row r="75" spans="1:16">
      <c r="A75" s="9">
        <v>1971</v>
      </c>
      <c r="B75">
        <v>5.399</v>
      </c>
      <c r="C75" s="9">
        <v>5</v>
      </c>
      <c r="E75" s="4">
        <f t="shared" si="10"/>
        <v>74</v>
      </c>
      <c r="F75" s="4">
        <f t="shared" si="11"/>
        <v>0.62051282051282053</v>
      </c>
      <c r="G75" s="3">
        <f t="shared" si="12"/>
        <v>0.64087017277053082</v>
      </c>
      <c r="L75">
        <f t="shared" ca="1" si="13"/>
        <v>3.1298209268088311</v>
      </c>
      <c r="N75">
        <v>5.707315377780775</v>
      </c>
      <c r="O75" s="4">
        <f t="shared" si="14"/>
        <v>74</v>
      </c>
      <c r="P75" s="4">
        <f t="shared" si="15"/>
        <v>0.62051282051282053</v>
      </c>
    </row>
    <row r="76" spans="1:16">
      <c r="A76" s="9">
        <v>1032</v>
      </c>
      <c r="B76">
        <v>5.3760000000000003</v>
      </c>
      <c r="C76" s="9">
        <v>4</v>
      </c>
      <c r="E76" s="4">
        <f t="shared" si="10"/>
        <v>75</v>
      </c>
      <c r="F76" s="4">
        <f t="shared" si="11"/>
        <v>0.61538461538461542</v>
      </c>
      <c r="G76" s="3">
        <f t="shared" si="12"/>
        <v>0.63943175233854355</v>
      </c>
      <c r="L76">
        <f t="shared" ca="1" si="13"/>
        <v>0.58596708640589723</v>
      </c>
      <c r="N76">
        <v>5.6732875146157653</v>
      </c>
      <c r="O76" s="4">
        <f t="shared" si="14"/>
        <v>75</v>
      </c>
      <c r="P76" s="4">
        <f t="shared" si="15"/>
        <v>0.61538461538461542</v>
      </c>
    </row>
    <row r="77" spans="1:16">
      <c r="A77" s="9">
        <v>1829</v>
      </c>
      <c r="B77">
        <v>5.176000000000001</v>
      </c>
      <c r="C77" s="9">
        <v>5</v>
      </c>
      <c r="E77" s="4">
        <f t="shared" si="10"/>
        <v>76</v>
      </c>
      <c r="F77" s="4">
        <f t="shared" si="11"/>
        <v>0.61025641025641031</v>
      </c>
      <c r="G77" s="3">
        <f t="shared" si="12"/>
        <v>0.62666224932315129</v>
      </c>
      <c r="L77">
        <f t="shared" ca="1" si="13"/>
        <v>2.1686294329383964</v>
      </c>
      <c r="N77">
        <v>5.6595923939676549</v>
      </c>
      <c r="O77" s="4">
        <f t="shared" si="14"/>
        <v>76</v>
      </c>
      <c r="P77" s="4">
        <f t="shared" si="15"/>
        <v>0.61025641025641031</v>
      </c>
    </row>
    <row r="78" spans="1:16">
      <c r="A78" s="9">
        <v>1901</v>
      </c>
      <c r="B78">
        <v>5.0419999999999998</v>
      </c>
      <c r="C78" s="9">
        <v>2</v>
      </c>
      <c r="E78" s="4">
        <f t="shared" si="10"/>
        <v>77</v>
      </c>
      <c r="F78" s="4">
        <f t="shared" si="11"/>
        <v>0.6051282051282052</v>
      </c>
      <c r="G78" s="3">
        <f t="shared" si="12"/>
        <v>0.61783752361284217</v>
      </c>
      <c r="L78">
        <f t="shared" ca="1" si="13"/>
        <v>3.8744211691121766</v>
      </c>
      <c r="N78">
        <v>5.5827611054040744</v>
      </c>
      <c r="O78" s="4">
        <f t="shared" si="14"/>
        <v>77</v>
      </c>
      <c r="P78" s="4">
        <f t="shared" si="15"/>
        <v>0.6051282051282052</v>
      </c>
    </row>
    <row r="79" spans="1:16">
      <c r="A79" s="9">
        <v>1099</v>
      </c>
      <c r="B79">
        <v>4.9400000000000004</v>
      </c>
      <c r="C79" s="9">
        <v>10</v>
      </c>
      <c r="E79" s="4">
        <f t="shared" si="10"/>
        <v>78</v>
      </c>
      <c r="F79" s="4">
        <f t="shared" si="11"/>
        <v>0.6</v>
      </c>
      <c r="G79" s="3">
        <f t="shared" si="12"/>
        <v>0.61097085022130082</v>
      </c>
      <c r="L79">
        <f t="shared" ca="1" si="13"/>
        <v>7.2615027353768831</v>
      </c>
      <c r="N79">
        <v>5.5526155140182887</v>
      </c>
      <c r="O79" s="4">
        <f t="shared" si="14"/>
        <v>78</v>
      </c>
      <c r="P79" s="4">
        <f t="shared" si="15"/>
        <v>0.6</v>
      </c>
    </row>
    <row r="80" spans="1:16">
      <c r="A80" s="9">
        <v>1360</v>
      </c>
      <c r="B80">
        <v>4.8079999999999998</v>
      </c>
      <c r="C80" s="9">
        <v>2</v>
      </c>
      <c r="E80" s="4">
        <f t="shared" si="10"/>
        <v>79</v>
      </c>
      <c r="F80" s="4">
        <f t="shared" si="11"/>
        <v>0.59487179487179487</v>
      </c>
      <c r="G80" s="3">
        <f t="shared" si="12"/>
        <v>0.60188775609857403</v>
      </c>
      <c r="L80">
        <f t="shared" ca="1" si="13"/>
        <v>8.8594196235636176</v>
      </c>
      <c r="N80">
        <v>5.4656227146372665</v>
      </c>
      <c r="O80" s="4">
        <f t="shared" si="14"/>
        <v>79</v>
      </c>
      <c r="P80" s="4">
        <f t="shared" si="15"/>
        <v>0.59487179487179487</v>
      </c>
    </row>
    <row r="81" spans="1:16">
      <c r="A81" s="9">
        <v>1287</v>
      </c>
      <c r="B81">
        <v>4.7089999999999996</v>
      </c>
      <c r="C81" s="9">
        <v>4</v>
      </c>
      <c r="E81" s="4">
        <f t="shared" si="10"/>
        <v>80</v>
      </c>
      <c r="F81" s="4">
        <f t="shared" si="11"/>
        <v>0.58974358974358976</v>
      </c>
      <c r="G81" s="3">
        <f t="shared" si="12"/>
        <v>0.59492615683908001</v>
      </c>
      <c r="L81">
        <f t="shared" ca="1" si="13"/>
        <v>6.0149911737199204</v>
      </c>
      <c r="N81">
        <v>5.3983518636666012</v>
      </c>
      <c r="O81" s="4">
        <f t="shared" si="14"/>
        <v>80</v>
      </c>
      <c r="P81" s="4">
        <f t="shared" si="15"/>
        <v>0.58974358974358976</v>
      </c>
    </row>
    <row r="82" spans="1:16">
      <c r="A82" s="9">
        <v>1560</v>
      </c>
      <c r="B82">
        <v>4.6189999999999998</v>
      </c>
      <c r="C82" s="9">
        <v>5</v>
      </c>
      <c r="E82" s="4">
        <f t="shared" si="10"/>
        <v>81</v>
      </c>
      <c r="F82" s="4">
        <f t="shared" si="11"/>
        <v>0.58461538461538454</v>
      </c>
      <c r="G82" s="3">
        <f t="shared" si="12"/>
        <v>0.5884837346742553</v>
      </c>
      <c r="L82">
        <f t="shared" ca="1" si="13"/>
        <v>2.6282172271304232</v>
      </c>
      <c r="N82">
        <v>5.2384845459449529</v>
      </c>
      <c r="O82" s="4">
        <f t="shared" si="14"/>
        <v>81</v>
      </c>
      <c r="P82" s="4">
        <f t="shared" si="15"/>
        <v>0.58461538461538454</v>
      </c>
    </row>
    <row r="83" spans="1:16">
      <c r="A83" s="9">
        <v>1963</v>
      </c>
      <c r="B83">
        <v>4.609</v>
      </c>
      <c r="C83" s="9">
        <v>2</v>
      </c>
      <c r="E83" s="4">
        <f t="shared" si="10"/>
        <v>82</v>
      </c>
      <c r="F83" s="4">
        <f t="shared" si="11"/>
        <v>0.57948717948717943</v>
      </c>
      <c r="G83" s="3">
        <f t="shared" si="12"/>
        <v>0.58776112676915093</v>
      </c>
      <c r="L83">
        <f t="shared" ca="1" si="13"/>
        <v>1.9421820099790414</v>
      </c>
      <c r="N83">
        <v>5.1822071477285974</v>
      </c>
      <c r="O83" s="4">
        <f t="shared" si="14"/>
        <v>82</v>
      </c>
      <c r="P83" s="4">
        <f t="shared" si="15"/>
        <v>0.57948717948717943</v>
      </c>
    </row>
    <row r="84" spans="1:16">
      <c r="A84" s="9">
        <v>1684</v>
      </c>
      <c r="B84">
        <v>4.5780000000000003</v>
      </c>
      <c r="C84" s="9">
        <v>3</v>
      </c>
      <c r="E84" s="4">
        <f t="shared" si="10"/>
        <v>83</v>
      </c>
      <c r="F84" s="4">
        <f t="shared" si="11"/>
        <v>0.57435897435897432</v>
      </c>
      <c r="G84" s="3">
        <f t="shared" si="12"/>
        <v>0.585512336310409</v>
      </c>
      <c r="L84">
        <f t="shared" ca="1" si="13"/>
        <v>9.5501121558384163</v>
      </c>
      <c r="N84">
        <v>5.1743884589619835</v>
      </c>
      <c r="O84" s="4">
        <f t="shared" si="14"/>
        <v>83</v>
      </c>
      <c r="P84" s="4">
        <f t="shared" si="15"/>
        <v>0.57435897435897432</v>
      </c>
    </row>
    <row r="85" spans="1:16">
      <c r="A85" s="9">
        <v>1192</v>
      </c>
      <c r="B85">
        <v>4.5460000000000003</v>
      </c>
      <c r="C85" s="9">
        <v>9</v>
      </c>
      <c r="E85" s="4">
        <f t="shared" si="10"/>
        <v>84</v>
      </c>
      <c r="F85" s="4">
        <f t="shared" si="11"/>
        <v>0.56923076923076921</v>
      </c>
      <c r="G85" s="3">
        <f t="shared" si="12"/>
        <v>0.58317711961841401</v>
      </c>
      <c r="L85">
        <f t="shared" ca="1" si="13"/>
        <v>0.43310322374739962</v>
      </c>
      <c r="N85">
        <v>5.0741846421208052</v>
      </c>
      <c r="O85" s="4">
        <f t="shared" si="14"/>
        <v>84</v>
      </c>
      <c r="P85" s="4">
        <f t="shared" si="15"/>
        <v>0.56923076923076921</v>
      </c>
    </row>
    <row r="86" spans="1:16">
      <c r="A86" s="9">
        <v>1085</v>
      </c>
      <c r="B86">
        <v>4.4809999999999999</v>
      </c>
      <c r="C86" s="9">
        <v>16</v>
      </c>
      <c r="E86" s="4">
        <f t="shared" si="10"/>
        <v>85</v>
      </c>
      <c r="F86" s="4">
        <f t="shared" si="11"/>
        <v>0.5641025641025641</v>
      </c>
      <c r="G86" s="3">
        <f t="shared" si="12"/>
        <v>0.57838986753067545</v>
      </c>
      <c r="L86">
        <f t="shared" ca="1" si="13"/>
        <v>1.5632162829130918</v>
      </c>
      <c r="N86">
        <v>5.0402676579684016</v>
      </c>
      <c r="O86" s="4">
        <f t="shared" si="14"/>
        <v>85</v>
      </c>
      <c r="P86" s="4">
        <f t="shared" si="15"/>
        <v>0.5641025641025641</v>
      </c>
    </row>
    <row r="87" spans="1:16">
      <c r="A87" s="9">
        <v>1800</v>
      </c>
      <c r="B87">
        <v>4.476</v>
      </c>
      <c r="C87" s="9">
        <v>2</v>
      </c>
      <c r="E87" s="4">
        <f t="shared" si="10"/>
        <v>86</v>
      </c>
      <c r="F87" s="4">
        <f t="shared" si="11"/>
        <v>0.55897435897435899</v>
      </c>
      <c r="G87" s="3">
        <f t="shared" si="12"/>
        <v>0.57801916482053084</v>
      </c>
      <c r="L87">
        <f t="shared" ca="1" si="13"/>
        <v>9.0928207776226664</v>
      </c>
      <c r="N87">
        <v>5.0355232272435035</v>
      </c>
      <c r="O87" s="4">
        <f t="shared" si="14"/>
        <v>86</v>
      </c>
      <c r="P87" s="4">
        <f t="shared" si="15"/>
        <v>0.55897435897435899</v>
      </c>
    </row>
    <row r="88" spans="1:16">
      <c r="A88" s="9">
        <v>1909</v>
      </c>
      <c r="B88">
        <v>4.4160000000000004</v>
      </c>
      <c r="C88" s="9">
        <v>3</v>
      </c>
      <c r="E88" s="4">
        <f t="shared" si="10"/>
        <v>87</v>
      </c>
      <c r="F88" s="4">
        <f t="shared" si="11"/>
        <v>0.55384615384615388</v>
      </c>
      <c r="G88" s="3">
        <f t="shared" si="12"/>
        <v>0.57354313412309454</v>
      </c>
      <c r="L88">
        <f t="shared" ca="1" si="13"/>
        <v>3.4476370622667893</v>
      </c>
      <c r="N88">
        <v>5.0222277007680809</v>
      </c>
      <c r="O88" s="4">
        <f t="shared" si="14"/>
        <v>87</v>
      </c>
      <c r="P88" s="4">
        <f t="shared" si="15"/>
        <v>0.55384615384615388</v>
      </c>
    </row>
    <row r="89" spans="1:16">
      <c r="A89" s="9">
        <v>1450</v>
      </c>
      <c r="B89">
        <v>4.3209999999999997</v>
      </c>
      <c r="C89" s="9">
        <v>6</v>
      </c>
      <c r="E89" s="4">
        <f t="shared" si="10"/>
        <v>88</v>
      </c>
      <c r="F89" s="4">
        <f t="shared" si="11"/>
        <v>0.54871794871794877</v>
      </c>
      <c r="G89" s="3">
        <f t="shared" si="12"/>
        <v>0.56635060789378877</v>
      </c>
      <c r="L89">
        <f t="shared" ca="1" si="13"/>
        <v>3.8252560587839346</v>
      </c>
      <c r="N89">
        <v>4.8841345227303918</v>
      </c>
      <c r="O89" s="4">
        <f t="shared" si="14"/>
        <v>88</v>
      </c>
      <c r="P89" s="4">
        <f t="shared" si="15"/>
        <v>0.54871794871794877</v>
      </c>
    </row>
    <row r="90" spans="1:16">
      <c r="A90" s="9">
        <v>1845</v>
      </c>
      <c r="B90">
        <v>4.2450000000000001</v>
      </c>
      <c r="C90" s="9">
        <v>4</v>
      </c>
      <c r="E90" s="4">
        <f t="shared" si="10"/>
        <v>89</v>
      </c>
      <c r="F90" s="4">
        <f t="shared" si="11"/>
        <v>0.54358974358974366</v>
      </c>
      <c r="G90" s="3">
        <f t="shared" si="12"/>
        <v>0.56050183536177134</v>
      </c>
      <c r="L90">
        <f t="shared" ca="1" si="13"/>
        <v>1.8169837091785319</v>
      </c>
      <c r="N90">
        <v>4.8492298450972875</v>
      </c>
      <c r="O90" s="4">
        <f t="shared" si="14"/>
        <v>89</v>
      </c>
      <c r="P90" s="4">
        <f t="shared" si="15"/>
        <v>0.54358974358974366</v>
      </c>
    </row>
    <row r="91" spans="1:16">
      <c r="A91" s="9">
        <v>1998</v>
      </c>
      <c r="B91">
        <v>4.101</v>
      </c>
      <c r="C91" s="9">
        <v>2</v>
      </c>
      <c r="E91" s="4">
        <f t="shared" si="10"/>
        <v>90</v>
      </c>
      <c r="F91" s="4">
        <f t="shared" si="11"/>
        <v>0.53846153846153844</v>
      </c>
      <c r="G91" s="3">
        <f t="shared" si="12"/>
        <v>0.54918328568272479</v>
      </c>
      <c r="L91">
        <f t="shared" ca="1" si="13"/>
        <v>3.9504517549988583</v>
      </c>
      <c r="N91">
        <v>4.786606471735853</v>
      </c>
      <c r="O91" s="4">
        <f t="shared" si="14"/>
        <v>90</v>
      </c>
      <c r="P91" s="4">
        <f t="shared" si="15"/>
        <v>0.53846153846153844</v>
      </c>
    </row>
    <row r="92" spans="1:16">
      <c r="A92" s="9">
        <v>1654</v>
      </c>
      <c r="B92">
        <v>4.0890000000000004</v>
      </c>
      <c r="C92" s="9">
        <v>2</v>
      </c>
      <c r="E92" s="4">
        <f t="shared" si="10"/>
        <v>91</v>
      </c>
      <c r="F92" s="4">
        <f t="shared" si="11"/>
        <v>0.53333333333333333</v>
      </c>
      <c r="G92" s="3">
        <f t="shared" si="12"/>
        <v>0.54822583375598133</v>
      </c>
      <c r="L92">
        <f t="shared" ca="1" si="13"/>
        <v>3.0703997446829288</v>
      </c>
      <c r="N92">
        <v>4.3386391080107529</v>
      </c>
      <c r="O92" s="4">
        <f t="shared" si="14"/>
        <v>91</v>
      </c>
      <c r="P92" s="4">
        <f t="shared" si="15"/>
        <v>0.53333333333333333</v>
      </c>
    </row>
    <row r="93" spans="1:16">
      <c r="A93" s="9">
        <v>1319</v>
      </c>
      <c r="B93">
        <v>4.0609999999999999</v>
      </c>
      <c r="C93" s="9">
        <v>4</v>
      </c>
      <c r="E93" s="4">
        <f t="shared" si="10"/>
        <v>92</v>
      </c>
      <c r="F93" s="4">
        <f t="shared" si="11"/>
        <v>0.52820512820512822</v>
      </c>
      <c r="G93" s="3">
        <f t="shared" si="12"/>
        <v>0.54598313631341877</v>
      </c>
      <c r="L93">
        <f t="shared" ca="1" si="13"/>
        <v>14.263188229282754</v>
      </c>
      <c r="N93">
        <v>4.1962019143649663</v>
      </c>
      <c r="O93" s="4">
        <f t="shared" si="14"/>
        <v>92</v>
      </c>
      <c r="P93" s="4">
        <f t="shared" si="15"/>
        <v>0.52820512820512822</v>
      </c>
    </row>
    <row r="94" spans="1:16">
      <c r="A94" s="9">
        <v>1436</v>
      </c>
      <c r="B94">
        <v>4.04</v>
      </c>
      <c r="C94" s="9">
        <v>3</v>
      </c>
      <c r="E94" s="4">
        <f t="shared" si="10"/>
        <v>93</v>
      </c>
      <c r="F94" s="4">
        <f t="shared" si="11"/>
        <v>0.52307692307692299</v>
      </c>
      <c r="G94" s="3">
        <f t="shared" si="12"/>
        <v>0.54429313418907188</v>
      </c>
      <c r="L94">
        <f t="shared" ca="1" si="13"/>
        <v>14.246030046485007</v>
      </c>
      <c r="N94">
        <v>4.1520026159522523</v>
      </c>
      <c r="O94" s="4">
        <f t="shared" si="14"/>
        <v>93</v>
      </c>
      <c r="P94" s="4">
        <f t="shared" si="15"/>
        <v>0.52307692307692299</v>
      </c>
    </row>
    <row r="95" spans="1:16">
      <c r="A95" s="9">
        <v>1532</v>
      </c>
      <c r="B95">
        <v>3.9689999999999999</v>
      </c>
      <c r="C95" s="9">
        <v>5</v>
      </c>
      <c r="E95" s="4">
        <f t="shared" si="10"/>
        <v>94</v>
      </c>
      <c r="F95" s="4">
        <f t="shared" si="11"/>
        <v>0.51794871794871788</v>
      </c>
      <c r="G95" s="3">
        <f t="shared" si="12"/>
        <v>0.5385281828392352</v>
      </c>
      <c r="L95">
        <f t="shared" ca="1" si="13"/>
        <v>6.6679142753176315</v>
      </c>
      <c r="N95">
        <v>4.1101503891227118</v>
      </c>
      <c r="O95" s="4">
        <f t="shared" si="14"/>
        <v>94</v>
      </c>
      <c r="P95" s="4">
        <f t="shared" si="15"/>
        <v>0.51794871794871788</v>
      </c>
    </row>
    <row r="96" spans="1:16">
      <c r="A96" s="9">
        <v>1824</v>
      </c>
      <c r="B96">
        <v>3.95</v>
      </c>
      <c r="C96" s="9">
        <v>2</v>
      </c>
      <c r="E96" s="4">
        <f t="shared" si="10"/>
        <v>95</v>
      </c>
      <c r="F96" s="4">
        <f t="shared" si="11"/>
        <v>0.51282051282051277</v>
      </c>
      <c r="G96" s="3">
        <f t="shared" si="12"/>
        <v>0.53697194416363581</v>
      </c>
      <c r="L96">
        <f t="shared" ca="1" si="13"/>
        <v>11.028055004220359</v>
      </c>
      <c r="N96">
        <v>4.0047314479276661</v>
      </c>
      <c r="O96" s="4">
        <f t="shared" si="14"/>
        <v>95</v>
      </c>
      <c r="P96" s="4">
        <f t="shared" si="15"/>
        <v>0.51282051282051277</v>
      </c>
    </row>
    <row r="97" spans="1:16">
      <c r="A97" s="9">
        <v>1424</v>
      </c>
      <c r="B97">
        <v>3.948</v>
      </c>
      <c r="C97" s="9">
        <v>3</v>
      </c>
      <c r="E97" s="4">
        <f t="shared" si="10"/>
        <v>96</v>
      </c>
      <c r="F97" s="4">
        <f t="shared" si="11"/>
        <v>0.50769230769230766</v>
      </c>
      <c r="G97" s="3">
        <f t="shared" si="12"/>
        <v>0.53680779541641566</v>
      </c>
      <c r="L97">
        <f t="shared" ca="1" si="13"/>
        <v>19.409391558333219</v>
      </c>
      <c r="N97">
        <v>3.8734929483528253</v>
      </c>
      <c r="O97" s="4">
        <f t="shared" si="14"/>
        <v>96</v>
      </c>
      <c r="P97" s="4">
        <f t="shared" si="15"/>
        <v>0.50769230769230766</v>
      </c>
    </row>
    <row r="98" spans="1:16">
      <c r="A98" s="9">
        <v>1741</v>
      </c>
      <c r="B98">
        <v>3.8689999999999998</v>
      </c>
      <c r="C98" s="9">
        <v>5</v>
      </c>
      <c r="E98" s="4">
        <f t="shared" ref="E98:E129" si="16">RANK(B98,$B$2:$B$196)</f>
        <v>97</v>
      </c>
      <c r="F98" s="4">
        <f t="shared" ref="F98:F129" si="17">1-E98/$D$2</f>
        <v>0.50256410256410255</v>
      </c>
      <c r="G98" s="3">
        <f t="shared" ref="G98:G129" si="18">GAMMADIST(B98,$H$2,$I$2,TRUE)</f>
        <v>0.53027259888900147</v>
      </c>
      <c r="L98">
        <f t="shared" ref="L98:L129" ca="1" si="19">GAMMAINV(RAND(),$H$2,$I$2)</f>
        <v>0.48994150559255867</v>
      </c>
      <c r="N98">
        <v>3.8000505093327419</v>
      </c>
      <c r="O98" s="4">
        <f t="shared" si="14"/>
        <v>97</v>
      </c>
      <c r="P98" s="4">
        <f t="shared" si="15"/>
        <v>0.50256410256410255</v>
      </c>
    </row>
    <row r="99" spans="1:16">
      <c r="A99" s="9">
        <v>1488</v>
      </c>
      <c r="B99">
        <v>3.6629999999999998</v>
      </c>
      <c r="C99" s="9">
        <v>5</v>
      </c>
      <c r="E99" s="4">
        <f t="shared" si="16"/>
        <v>98</v>
      </c>
      <c r="F99" s="4">
        <f t="shared" si="17"/>
        <v>0.49743589743589745</v>
      </c>
      <c r="G99" s="3">
        <f t="shared" si="18"/>
        <v>0.51274945475976474</v>
      </c>
      <c r="L99">
        <f t="shared" ca="1" si="19"/>
        <v>10.061149024507717</v>
      </c>
      <c r="N99">
        <v>3.7772171925646871</v>
      </c>
      <c r="O99" s="4">
        <f t="shared" si="14"/>
        <v>98</v>
      </c>
      <c r="P99" s="4">
        <f t="shared" si="15"/>
        <v>0.49743589743589745</v>
      </c>
    </row>
    <row r="100" spans="1:16">
      <c r="A100" s="9">
        <v>1296</v>
      </c>
      <c r="B100">
        <v>3.64</v>
      </c>
      <c r="C100" s="9">
        <v>5</v>
      </c>
      <c r="E100" s="4">
        <f t="shared" si="16"/>
        <v>99</v>
      </c>
      <c r="F100" s="4">
        <f t="shared" si="17"/>
        <v>0.49230769230769234</v>
      </c>
      <c r="G100" s="3">
        <f t="shared" si="18"/>
        <v>0.51074864193701208</v>
      </c>
      <c r="L100">
        <f t="shared" ca="1" si="19"/>
        <v>3.0740415371556233</v>
      </c>
      <c r="N100">
        <v>3.6948799956965397</v>
      </c>
      <c r="O100" s="4">
        <f t="shared" si="14"/>
        <v>99</v>
      </c>
      <c r="P100" s="4">
        <f t="shared" si="15"/>
        <v>0.49230769230769234</v>
      </c>
    </row>
    <row r="101" spans="1:16">
      <c r="A101" s="9">
        <v>1670</v>
      </c>
      <c r="B101">
        <v>3.613</v>
      </c>
      <c r="C101" s="9">
        <v>4</v>
      </c>
      <c r="E101" s="4">
        <f t="shared" si="16"/>
        <v>100</v>
      </c>
      <c r="F101" s="4">
        <f t="shared" si="17"/>
        <v>0.48717948717948723</v>
      </c>
      <c r="G101" s="3">
        <f t="shared" si="18"/>
        <v>0.50838825245433439</v>
      </c>
      <c r="L101">
        <f t="shared" ca="1" si="19"/>
        <v>5.6024840698339862</v>
      </c>
      <c r="N101">
        <v>3.648031858058018</v>
      </c>
      <c r="O101" s="4">
        <f t="shared" si="14"/>
        <v>100</v>
      </c>
      <c r="P101" s="4">
        <f t="shared" si="15"/>
        <v>0.48717948717948723</v>
      </c>
    </row>
    <row r="102" spans="1:16">
      <c r="A102" s="9">
        <v>1708</v>
      </c>
      <c r="B102">
        <v>3.5939999999999999</v>
      </c>
      <c r="C102" s="9">
        <v>5</v>
      </c>
      <c r="E102" s="4">
        <f t="shared" si="16"/>
        <v>101</v>
      </c>
      <c r="F102" s="4">
        <f t="shared" si="17"/>
        <v>0.482051282051282</v>
      </c>
      <c r="G102" s="3">
        <f t="shared" si="18"/>
        <v>0.50671967818955133</v>
      </c>
      <c r="L102">
        <f t="shared" ca="1" si="19"/>
        <v>11.851227582775696</v>
      </c>
      <c r="N102">
        <v>3.6386255008806065</v>
      </c>
      <c r="O102" s="4">
        <f t="shared" si="14"/>
        <v>101</v>
      </c>
      <c r="P102" s="4">
        <f t="shared" si="15"/>
        <v>0.482051282051282</v>
      </c>
    </row>
    <row r="103" spans="1:16">
      <c r="A103" s="9">
        <v>1608</v>
      </c>
      <c r="B103">
        <v>3.556</v>
      </c>
      <c r="C103" s="9">
        <v>11</v>
      </c>
      <c r="E103" s="4">
        <f t="shared" si="16"/>
        <v>102</v>
      </c>
      <c r="F103" s="4">
        <f t="shared" si="17"/>
        <v>0.47692307692307689</v>
      </c>
      <c r="G103" s="3">
        <f t="shared" si="18"/>
        <v>0.50336366256377607</v>
      </c>
      <c r="L103">
        <f t="shared" ca="1" si="19"/>
        <v>9.7723190375998286</v>
      </c>
      <c r="N103">
        <v>3.6366085223280438</v>
      </c>
      <c r="O103" s="4">
        <f t="shared" si="14"/>
        <v>102</v>
      </c>
      <c r="P103" s="4">
        <f t="shared" si="15"/>
        <v>0.47692307692307689</v>
      </c>
    </row>
    <row r="104" spans="1:16">
      <c r="A104" s="9">
        <v>1819</v>
      </c>
      <c r="B104">
        <v>3.367</v>
      </c>
      <c r="C104" s="9">
        <v>3</v>
      </c>
      <c r="E104" s="4">
        <f t="shared" si="16"/>
        <v>103</v>
      </c>
      <c r="F104" s="4">
        <f t="shared" si="17"/>
        <v>0.47179487179487178</v>
      </c>
      <c r="G104" s="3">
        <f t="shared" si="18"/>
        <v>0.4862902582120005</v>
      </c>
      <c r="L104">
        <f t="shared" ca="1" si="19"/>
        <v>1.0945839445812378</v>
      </c>
      <c r="N104">
        <v>3.612105154997729</v>
      </c>
      <c r="O104" s="4">
        <f t="shared" si="14"/>
        <v>103</v>
      </c>
      <c r="P104" s="4">
        <f t="shared" si="15"/>
        <v>0.47179487179487178</v>
      </c>
    </row>
    <row r="105" spans="1:16">
      <c r="A105" s="9">
        <v>1966</v>
      </c>
      <c r="B105">
        <v>3.3540000000000001</v>
      </c>
      <c r="C105" s="9">
        <v>3</v>
      </c>
      <c r="E105" s="4">
        <f t="shared" si="16"/>
        <v>104</v>
      </c>
      <c r="F105" s="4">
        <f t="shared" si="17"/>
        <v>0.46666666666666667</v>
      </c>
      <c r="G105" s="3">
        <f t="shared" si="18"/>
        <v>0.48509205278916329</v>
      </c>
      <c r="L105">
        <f t="shared" ca="1" si="19"/>
        <v>4.7617690153458412</v>
      </c>
      <c r="N105">
        <v>3.4082145335746699</v>
      </c>
      <c r="O105" s="4">
        <f t="shared" si="14"/>
        <v>104</v>
      </c>
      <c r="P105" s="4">
        <f t="shared" si="15"/>
        <v>0.46666666666666667</v>
      </c>
    </row>
    <row r="106" spans="1:16">
      <c r="A106" s="9">
        <v>1724</v>
      </c>
      <c r="B106">
        <v>3.3260000000000001</v>
      </c>
      <c r="C106" s="9">
        <v>2</v>
      </c>
      <c r="E106" s="4">
        <f t="shared" si="16"/>
        <v>105</v>
      </c>
      <c r="F106" s="4">
        <f t="shared" si="17"/>
        <v>0.46153846153846156</v>
      </c>
      <c r="G106" s="3">
        <f t="shared" si="18"/>
        <v>0.48250066878079828</v>
      </c>
      <c r="L106">
        <f t="shared" ca="1" si="19"/>
        <v>1.9610599685982155</v>
      </c>
      <c r="N106">
        <v>3.3466209639868509</v>
      </c>
      <c r="O106" s="4">
        <f t="shared" si="14"/>
        <v>105</v>
      </c>
      <c r="P106" s="4">
        <f t="shared" si="15"/>
        <v>0.46153846153846156</v>
      </c>
    </row>
    <row r="107" spans="1:16">
      <c r="A107" s="9">
        <v>1822</v>
      </c>
      <c r="B107">
        <v>3.258</v>
      </c>
      <c r="C107" s="9">
        <v>3</v>
      </c>
      <c r="E107" s="4">
        <f t="shared" si="16"/>
        <v>106</v>
      </c>
      <c r="F107" s="4">
        <f t="shared" si="17"/>
        <v>0.45641025641025645</v>
      </c>
      <c r="G107" s="3">
        <f t="shared" si="18"/>
        <v>0.47614625593380988</v>
      </c>
      <c r="L107">
        <f t="shared" ca="1" si="19"/>
        <v>1.3332877167957484</v>
      </c>
      <c r="N107">
        <v>3.1970834468966558</v>
      </c>
      <c r="O107" s="4">
        <f t="shared" si="14"/>
        <v>106</v>
      </c>
      <c r="P107" s="4">
        <f t="shared" si="15"/>
        <v>0.45641025641025645</v>
      </c>
    </row>
    <row r="108" spans="1:16">
      <c r="A108" s="9">
        <v>1269</v>
      </c>
      <c r="B108">
        <v>3.234</v>
      </c>
      <c r="C108" s="9">
        <v>9</v>
      </c>
      <c r="E108" s="4">
        <f t="shared" si="16"/>
        <v>107</v>
      </c>
      <c r="F108" s="4">
        <f t="shared" si="17"/>
        <v>0.45128205128205123</v>
      </c>
      <c r="G108" s="3">
        <f t="shared" si="18"/>
        <v>0.47388265178233413</v>
      </c>
      <c r="L108">
        <f t="shared" ca="1" si="19"/>
        <v>2.6225940062886748</v>
      </c>
      <c r="N108">
        <v>3.1919389916274694</v>
      </c>
      <c r="O108" s="4">
        <f t="shared" si="14"/>
        <v>107</v>
      </c>
      <c r="P108" s="4">
        <f t="shared" si="15"/>
        <v>0.45128205128205123</v>
      </c>
    </row>
    <row r="109" spans="1:16">
      <c r="A109" s="9">
        <v>1577</v>
      </c>
      <c r="B109">
        <v>3.2069999999999999</v>
      </c>
      <c r="C109" s="9">
        <v>11</v>
      </c>
      <c r="E109" s="4">
        <f t="shared" si="16"/>
        <v>108</v>
      </c>
      <c r="F109" s="4">
        <f t="shared" si="17"/>
        <v>0.44615384615384612</v>
      </c>
      <c r="G109" s="3">
        <f t="shared" si="18"/>
        <v>0.47132294304082384</v>
      </c>
      <c r="L109">
        <f t="shared" ca="1" si="19"/>
        <v>5.9923710994378947</v>
      </c>
      <c r="N109">
        <v>3.1853310038192459</v>
      </c>
      <c r="O109" s="4">
        <f t="shared" si="14"/>
        <v>108</v>
      </c>
      <c r="P109" s="4">
        <f t="shared" si="15"/>
        <v>0.44615384615384612</v>
      </c>
    </row>
    <row r="110" spans="1:16">
      <c r="A110" s="9">
        <v>1618</v>
      </c>
      <c r="B110">
        <v>3.09</v>
      </c>
      <c r="C110" s="9">
        <v>2</v>
      </c>
      <c r="E110" s="4">
        <f t="shared" si="16"/>
        <v>109</v>
      </c>
      <c r="F110" s="4">
        <f t="shared" si="17"/>
        <v>0.44102564102564101</v>
      </c>
      <c r="G110" s="3">
        <f t="shared" si="18"/>
        <v>0.46006746925174136</v>
      </c>
      <c r="L110">
        <f t="shared" ca="1" si="19"/>
        <v>1.9736432055422921</v>
      </c>
      <c r="N110">
        <v>3.1838694630283602</v>
      </c>
      <c r="O110" s="4">
        <f t="shared" si="14"/>
        <v>109</v>
      </c>
      <c r="P110" s="4">
        <f t="shared" si="15"/>
        <v>0.44102564102564101</v>
      </c>
    </row>
    <row r="111" spans="1:16">
      <c r="A111" s="9">
        <v>1327</v>
      </c>
      <c r="B111">
        <v>2.992</v>
      </c>
      <c r="C111" s="9">
        <v>2</v>
      </c>
      <c r="E111" s="4">
        <f t="shared" si="16"/>
        <v>110</v>
      </c>
      <c r="F111" s="4">
        <f t="shared" si="17"/>
        <v>0.4358974358974359</v>
      </c>
      <c r="G111" s="3">
        <f t="shared" si="18"/>
        <v>0.45043088769959427</v>
      </c>
      <c r="L111">
        <f t="shared" ca="1" si="19"/>
        <v>1.06615166989643</v>
      </c>
      <c r="N111">
        <v>3.1588501884378131</v>
      </c>
      <c r="O111" s="4">
        <f t="shared" si="14"/>
        <v>110</v>
      </c>
      <c r="P111" s="4">
        <f t="shared" si="15"/>
        <v>0.4358974358974359</v>
      </c>
    </row>
    <row r="112" spans="1:16">
      <c r="A112" s="9">
        <v>1430</v>
      </c>
      <c r="B112">
        <v>2.8970000000000002</v>
      </c>
      <c r="C112" s="9">
        <v>3</v>
      </c>
      <c r="E112" s="4">
        <f t="shared" si="16"/>
        <v>111</v>
      </c>
      <c r="F112" s="4">
        <f t="shared" si="17"/>
        <v>0.43076923076923079</v>
      </c>
      <c r="G112" s="3">
        <f t="shared" si="18"/>
        <v>0.44090219812812642</v>
      </c>
      <c r="L112">
        <f t="shared" ca="1" si="19"/>
        <v>2.4924299858948498</v>
      </c>
      <c r="N112">
        <v>3.1262272776021698</v>
      </c>
      <c r="O112" s="4">
        <f t="shared" si="14"/>
        <v>111</v>
      </c>
      <c r="P112" s="4">
        <f t="shared" si="15"/>
        <v>0.43076923076923079</v>
      </c>
    </row>
    <row r="113" spans="1:16">
      <c r="A113" s="9">
        <v>1879</v>
      </c>
      <c r="B113">
        <v>2.8530000000000002</v>
      </c>
      <c r="C113" s="9">
        <v>5</v>
      </c>
      <c r="E113" s="4">
        <f t="shared" si="16"/>
        <v>112</v>
      </c>
      <c r="F113" s="4">
        <f t="shared" si="17"/>
        <v>0.42564102564102568</v>
      </c>
      <c r="G113" s="3">
        <f t="shared" si="18"/>
        <v>0.43642508450584383</v>
      </c>
      <c r="L113">
        <f t="shared" ca="1" si="19"/>
        <v>4.528525234480659</v>
      </c>
      <c r="N113">
        <v>3.1209107891193568</v>
      </c>
      <c r="O113" s="4">
        <f t="shared" si="14"/>
        <v>112</v>
      </c>
      <c r="P113" s="4">
        <f t="shared" si="15"/>
        <v>0.42564102564102568</v>
      </c>
    </row>
    <row r="114" spans="1:16">
      <c r="A114" s="9">
        <v>1837</v>
      </c>
      <c r="B114">
        <v>2.8179999999999996</v>
      </c>
      <c r="C114" s="9">
        <v>2</v>
      </c>
      <c r="E114" s="4">
        <f t="shared" si="16"/>
        <v>113</v>
      </c>
      <c r="F114" s="4">
        <f t="shared" si="17"/>
        <v>0.42051282051282046</v>
      </c>
      <c r="G114" s="3">
        <f t="shared" si="18"/>
        <v>0.43283440338992263</v>
      </c>
      <c r="L114">
        <f t="shared" ca="1" si="19"/>
        <v>6.4440123528336297</v>
      </c>
      <c r="N114">
        <v>3.1148087080176632</v>
      </c>
      <c r="O114" s="4">
        <f t="shared" si="14"/>
        <v>113</v>
      </c>
      <c r="P114" s="4">
        <f t="shared" si="15"/>
        <v>0.42051282051282046</v>
      </c>
    </row>
    <row r="115" spans="1:16">
      <c r="A115" s="9">
        <v>1590</v>
      </c>
      <c r="B115">
        <v>2.6970000000000001</v>
      </c>
      <c r="C115" s="9">
        <v>5</v>
      </c>
      <c r="E115" s="4">
        <f t="shared" si="16"/>
        <v>114</v>
      </c>
      <c r="F115" s="4">
        <f t="shared" si="17"/>
        <v>0.41538461538461535</v>
      </c>
      <c r="G115" s="3">
        <f t="shared" si="18"/>
        <v>0.42021664264671205</v>
      </c>
      <c r="L115">
        <f t="shared" ca="1" si="19"/>
        <v>3.1621188041183785</v>
      </c>
      <c r="N115">
        <v>2.9968497216173207</v>
      </c>
      <c r="O115" s="4">
        <f t="shared" si="14"/>
        <v>114</v>
      </c>
      <c r="P115" s="4">
        <f t="shared" si="15"/>
        <v>0.41538461538461535</v>
      </c>
    </row>
    <row r="116" spans="1:16">
      <c r="A116" s="9">
        <v>1934</v>
      </c>
      <c r="B116">
        <v>2.673</v>
      </c>
      <c r="C116" s="9">
        <v>3</v>
      </c>
      <c r="E116" s="4">
        <f t="shared" si="16"/>
        <v>115</v>
      </c>
      <c r="F116" s="4">
        <f t="shared" si="17"/>
        <v>0.41025641025641024</v>
      </c>
      <c r="G116" s="3">
        <f t="shared" si="18"/>
        <v>0.41767561068520431</v>
      </c>
      <c r="L116">
        <f t="shared" ca="1" si="19"/>
        <v>6.8017869183900608</v>
      </c>
      <c r="N116">
        <v>2.8115976486547343</v>
      </c>
      <c r="O116" s="4">
        <f t="shared" si="14"/>
        <v>115</v>
      </c>
      <c r="P116" s="4">
        <f t="shared" si="15"/>
        <v>0.41025641025641024</v>
      </c>
    </row>
    <row r="117" spans="1:16">
      <c r="A117" s="9">
        <v>1427</v>
      </c>
      <c r="B117">
        <v>2.5219999999999998</v>
      </c>
      <c r="C117" s="9">
        <v>3</v>
      </c>
      <c r="E117" s="4">
        <f t="shared" si="16"/>
        <v>116</v>
      </c>
      <c r="F117" s="4">
        <f t="shared" si="17"/>
        <v>0.40512820512820513</v>
      </c>
      <c r="G117" s="3">
        <f t="shared" si="18"/>
        <v>0.40138832623852222</v>
      </c>
      <c r="L117">
        <f t="shared" ca="1" si="19"/>
        <v>0.44686313375516229</v>
      </c>
      <c r="N117">
        <v>2.7804602029892074</v>
      </c>
      <c r="O117" s="4">
        <f t="shared" si="14"/>
        <v>116</v>
      </c>
      <c r="P117" s="4">
        <f t="shared" si="15"/>
        <v>0.40512820512820513</v>
      </c>
    </row>
    <row r="118" spans="1:16">
      <c r="A118" s="9">
        <v>1978</v>
      </c>
      <c r="B118">
        <v>2.4350000000000001</v>
      </c>
      <c r="C118" s="9">
        <v>4</v>
      </c>
      <c r="E118" s="4">
        <f t="shared" si="16"/>
        <v>117</v>
      </c>
      <c r="F118" s="4">
        <f t="shared" si="17"/>
        <v>0.4</v>
      </c>
      <c r="G118" s="3">
        <f t="shared" si="18"/>
        <v>0.3917627241098165</v>
      </c>
      <c r="L118">
        <f t="shared" ca="1" si="19"/>
        <v>15.407666968477916</v>
      </c>
      <c r="N118">
        <v>2.730585342710218</v>
      </c>
      <c r="O118" s="4">
        <f t="shared" si="14"/>
        <v>117</v>
      </c>
      <c r="P118" s="4">
        <f t="shared" si="15"/>
        <v>0.4</v>
      </c>
    </row>
    <row r="119" spans="1:16">
      <c r="A119" s="9">
        <v>1358</v>
      </c>
      <c r="B119">
        <v>2.3149999999999999</v>
      </c>
      <c r="C119" s="9">
        <v>9</v>
      </c>
      <c r="E119" s="4">
        <f t="shared" si="16"/>
        <v>118</v>
      </c>
      <c r="F119" s="4">
        <f t="shared" si="17"/>
        <v>0.39487179487179491</v>
      </c>
      <c r="G119" s="3">
        <f t="shared" si="18"/>
        <v>0.378184979538009</v>
      </c>
      <c r="L119">
        <f t="shared" ca="1" si="19"/>
        <v>4.9090099106565823</v>
      </c>
      <c r="N119">
        <v>2.6695130108537057</v>
      </c>
      <c r="O119" s="4">
        <f t="shared" si="14"/>
        <v>118</v>
      </c>
      <c r="P119" s="4">
        <f t="shared" si="15"/>
        <v>0.39487179487179491</v>
      </c>
    </row>
    <row r="120" spans="1:16">
      <c r="A120" s="9">
        <v>1415</v>
      </c>
      <c r="B120">
        <v>2.2959999999999998</v>
      </c>
      <c r="C120" s="9">
        <v>5</v>
      </c>
      <c r="E120" s="4">
        <f t="shared" si="16"/>
        <v>119</v>
      </c>
      <c r="F120" s="4">
        <f t="shared" si="17"/>
        <v>0.38974358974358969</v>
      </c>
      <c r="G120" s="3">
        <f t="shared" si="18"/>
        <v>0.37600235780514479</v>
      </c>
      <c r="L120">
        <f t="shared" ca="1" si="19"/>
        <v>2.6768623519209784</v>
      </c>
      <c r="N120">
        <v>2.5961114870272439</v>
      </c>
      <c r="O120" s="4">
        <f t="shared" si="14"/>
        <v>119</v>
      </c>
      <c r="P120" s="4">
        <f t="shared" si="15"/>
        <v>0.38974358974358969</v>
      </c>
    </row>
    <row r="121" spans="1:16">
      <c r="A121" s="9">
        <v>1874</v>
      </c>
      <c r="B121">
        <v>2.2650000000000001</v>
      </c>
      <c r="C121" s="9">
        <v>15</v>
      </c>
      <c r="E121" s="4">
        <f t="shared" si="16"/>
        <v>120</v>
      </c>
      <c r="F121" s="4">
        <f t="shared" si="17"/>
        <v>0.38461538461538458</v>
      </c>
      <c r="G121" s="3">
        <f t="shared" si="18"/>
        <v>0.37242161036247362</v>
      </c>
      <c r="L121">
        <f t="shared" ca="1" si="19"/>
        <v>1.4785481126086339</v>
      </c>
      <c r="N121">
        <v>2.4731239237755593</v>
      </c>
      <c r="O121" s="4">
        <f t="shared" si="14"/>
        <v>120</v>
      </c>
      <c r="P121" s="4">
        <f t="shared" si="15"/>
        <v>0.38461538461538458</v>
      </c>
    </row>
    <row r="122" spans="1:16">
      <c r="A122" s="9">
        <v>1400</v>
      </c>
      <c r="B122">
        <v>2.246</v>
      </c>
      <c r="C122" s="9">
        <v>3</v>
      </c>
      <c r="E122" s="4">
        <f t="shared" si="16"/>
        <v>121</v>
      </c>
      <c r="F122" s="4">
        <f t="shared" si="17"/>
        <v>0.37948717948717947</v>
      </c>
      <c r="G122" s="3">
        <f t="shared" si="18"/>
        <v>0.37021483365876479</v>
      </c>
      <c r="L122">
        <f t="shared" ca="1" si="19"/>
        <v>0.50011190481967871</v>
      </c>
      <c r="N122">
        <v>2.3758234464101831</v>
      </c>
      <c r="O122" s="4">
        <f t="shared" si="14"/>
        <v>121</v>
      </c>
      <c r="P122" s="4">
        <f t="shared" si="15"/>
        <v>0.37948717948717947</v>
      </c>
    </row>
    <row r="123" spans="1:16">
      <c r="A123" s="9">
        <v>1658</v>
      </c>
      <c r="B123">
        <v>2.1860000000000004</v>
      </c>
      <c r="C123" s="9">
        <v>2</v>
      </c>
      <c r="E123" s="4">
        <f t="shared" si="16"/>
        <v>122</v>
      </c>
      <c r="F123" s="4">
        <f t="shared" si="17"/>
        <v>0.37435897435897436</v>
      </c>
      <c r="G123" s="3">
        <f t="shared" si="18"/>
        <v>0.36318479366642936</v>
      </c>
      <c r="L123">
        <f t="shared" ca="1" si="19"/>
        <v>6.0248894953214531</v>
      </c>
      <c r="N123">
        <v>2.3655451816675175</v>
      </c>
      <c r="O123" s="4">
        <f t="shared" si="14"/>
        <v>122</v>
      </c>
      <c r="P123" s="4">
        <f t="shared" si="15"/>
        <v>0.37435897435897436</v>
      </c>
    </row>
    <row r="124" spans="1:16">
      <c r="A124" s="9">
        <v>1481</v>
      </c>
      <c r="B124">
        <v>2.089</v>
      </c>
      <c r="C124" s="9">
        <v>13</v>
      </c>
      <c r="E124" s="4">
        <f t="shared" si="16"/>
        <v>123</v>
      </c>
      <c r="F124" s="4">
        <f t="shared" si="17"/>
        <v>0.36923076923076925</v>
      </c>
      <c r="G124" s="3">
        <f t="shared" si="18"/>
        <v>0.35161857220878573</v>
      </c>
      <c r="L124">
        <f t="shared" ca="1" si="19"/>
        <v>1.8020081621708317</v>
      </c>
      <c r="N124">
        <v>2.3526899451207584</v>
      </c>
      <c r="O124" s="4">
        <f t="shared" si="14"/>
        <v>123</v>
      </c>
      <c r="P124" s="4">
        <f t="shared" si="15"/>
        <v>0.36923076923076925</v>
      </c>
    </row>
    <row r="125" spans="1:16">
      <c r="A125" s="9">
        <v>1984</v>
      </c>
      <c r="B125">
        <v>2.0619999999999998</v>
      </c>
      <c r="C125" s="9">
        <v>4</v>
      </c>
      <c r="E125" s="4">
        <f t="shared" si="16"/>
        <v>124</v>
      </c>
      <c r="F125" s="4">
        <f t="shared" si="17"/>
        <v>0.36410256410256414</v>
      </c>
      <c r="G125" s="3">
        <f t="shared" si="18"/>
        <v>0.34835393942653653</v>
      </c>
      <c r="L125">
        <f t="shared" ca="1" si="19"/>
        <v>0.70196364022457525</v>
      </c>
      <c r="N125">
        <v>2.2638013834554158</v>
      </c>
      <c r="O125" s="4">
        <f t="shared" si="14"/>
        <v>124</v>
      </c>
      <c r="P125" s="4">
        <f t="shared" si="15"/>
        <v>0.36410256410256414</v>
      </c>
    </row>
    <row r="126" spans="1:16">
      <c r="A126" s="9">
        <v>1028</v>
      </c>
      <c r="B126">
        <v>1.9140000000000001</v>
      </c>
      <c r="C126" s="9">
        <v>8</v>
      </c>
      <c r="E126" s="4">
        <f t="shared" si="16"/>
        <v>125</v>
      </c>
      <c r="F126" s="4">
        <f t="shared" si="17"/>
        <v>0.35897435897435892</v>
      </c>
      <c r="G126" s="3">
        <f t="shared" si="18"/>
        <v>0.33009746888965397</v>
      </c>
      <c r="L126">
        <f t="shared" ca="1" si="19"/>
        <v>0.53735232543602818</v>
      </c>
      <c r="N126">
        <v>2.2383513474683872</v>
      </c>
      <c r="O126" s="4">
        <f t="shared" si="14"/>
        <v>125</v>
      </c>
      <c r="P126" s="4">
        <f t="shared" si="15"/>
        <v>0.35897435897435892</v>
      </c>
    </row>
    <row r="127" spans="1:16">
      <c r="A127" s="9">
        <v>1808</v>
      </c>
      <c r="B127">
        <v>1.911</v>
      </c>
      <c r="C127" s="9">
        <v>3</v>
      </c>
      <c r="E127" s="4">
        <f t="shared" si="16"/>
        <v>126</v>
      </c>
      <c r="F127" s="4">
        <f t="shared" si="17"/>
        <v>0.35384615384615381</v>
      </c>
      <c r="G127" s="3">
        <f t="shared" si="18"/>
        <v>0.32972093831113031</v>
      </c>
      <c r="L127">
        <f t="shared" ca="1" si="19"/>
        <v>14.411320571150583</v>
      </c>
      <c r="N127">
        <v>2.2135600232007304</v>
      </c>
      <c r="O127" s="4">
        <f t="shared" si="14"/>
        <v>126</v>
      </c>
      <c r="P127" s="4">
        <f t="shared" si="15"/>
        <v>0.35384615384615381</v>
      </c>
    </row>
    <row r="128" spans="1:16">
      <c r="A128" s="9">
        <v>1336</v>
      </c>
      <c r="B128">
        <v>1.8660000000000001</v>
      </c>
      <c r="C128" s="9">
        <v>9</v>
      </c>
      <c r="E128" s="4">
        <f t="shared" si="16"/>
        <v>127</v>
      </c>
      <c r="F128" s="4">
        <f t="shared" si="17"/>
        <v>0.3487179487179487</v>
      </c>
      <c r="G128" s="3">
        <f t="shared" si="18"/>
        <v>0.3240413454777738</v>
      </c>
      <c r="L128">
        <f t="shared" ca="1" si="19"/>
        <v>14.393217663113379</v>
      </c>
      <c r="N128">
        <v>2.2062996381233457</v>
      </c>
      <c r="O128" s="4">
        <f t="shared" si="14"/>
        <v>127</v>
      </c>
      <c r="P128" s="4">
        <f t="shared" si="15"/>
        <v>0.3487179487179487</v>
      </c>
    </row>
    <row r="129" spans="1:16">
      <c r="A129" s="9">
        <v>1623</v>
      </c>
      <c r="B129">
        <v>1.859</v>
      </c>
      <c r="C129" s="9">
        <v>5</v>
      </c>
      <c r="E129" s="4">
        <f t="shared" si="16"/>
        <v>128</v>
      </c>
      <c r="F129" s="4">
        <f t="shared" si="17"/>
        <v>0.34358974358974359</v>
      </c>
      <c r="G129" s="3">
        <f t="shared" si="18"/>
        <v>0.32315248291366383</v>
      </c>
      <c r="L129">
        <f t="shared" ca="1" si="19"/>
        <v>0.97480564793201507</v>
      </c>
      <c r="N129">
        <v>2.0999888650539695</v>
      </c>
      <c r="O129" s="4">
        <f t="shared" si="14"/>
        <v>128</v>
      </c>
      <c r="P129" s="4">
        <f t="shared" si="15"/>
        <v>0.34358974358974359</v>
      </c>
    </row>
    <row r="130" spans="1:16">
      <c r="A130" s="9">
        <v>1535</v>
      </c>
      <c r="B130">
        <v>1.7729999999999999</v>
      </c>
      <c r="C130" s="9">
        <v>3</v>
      </c>
      <c r="E130" s="4">
        <f t="shared" ref="E130:E161" si="20">RANK(B130,$B$2:$B$196)</f>
        <v>129</v>
      </c>
      <c r="F130" s="4">
        <f t="shared" ref="F130:F161" si="21">1-E130/$D$2</f>
        <v>0.33846153846153848</v>
      </c>
      <c r="G130" s="3">
        <f t="shared" ref="G130:G161" si="22">GAMMADIST(B130,$H$2,$I$2,TRUE)</f>
        <v>0.31211192956630474</v>
      </c>
      <c r="L130">
        <f t="shared" ref="L130:L161" ca="1" si="23">GAMMAINV(RAND(),$H$2,$I$2)</f>
        <v>3.3156949273380913</v>
      </c>
      <c r="N130">
        <v>2.0659645671664171</v>
      </c>
      <c r="O130" s="4">
        <f t="shared" si="14"/>
        <v>129</v>
      </c>
      <c r="P130" s="4">
        <f t="shared" si="15"/>
        <v>0.33846153846153848</v>
      </c>
    </row>
    <row r="131" spans="1:16">
      <c r="A131" s="9">
        <v>1555</v>
      </c>
      <c r="B131">
        <v>1.752</v>
      </c>
      <c r="C131" s="9">
        <v>8</v>
      </c>
      <c r="E131" s="4">
        <f t="shared" si="20"/>
        <v>130</v>
      </c>
      <c r="F131" s="4">
        <f t="shared" si="21"/>
        <v>0.33333333333333337</v>
      </c>
      <c r="G131" s="3">
        <f t="shared" si="22"/>
        <v>0.30938165972882792</v>
      </c>
      <c r="L131">
        <f t="shared" ca="1" si="23"/>
        <v>14.422907278553716</v>
      </c>
      <c r="N131">
        <v>2.0425759050295289</v>
      </c>
      <c r="O131" s="4">
        <f t="shared" ref="O131:O194" si="24">RANK(N131,$N$2:$N$196)</f>
        <v>130</v>
      </c>
      <c r="P131" s="4">
        <f t="shared" ref="P131:P194" si="25">1-O131/$D$2</f>
        <v>0.33333333333333337</v>
      </c>
    </row>
    <row r="132" spans="1:16">
      <c r="A132" s="9">
        <v>1279</v>
      </c>
      <c r="B132">
        <v>1.7250000000000001</v>
      </c>
      <c r="C132" s="9">
        <v>5</v>
      </c>
      <c r="E132" s="4">
        <f t="shared" si="20"/>
        <v>131</v>
      </c>
      <c r="F132" s="4">
        <f t="shared" si="21"/>
        <v>0.32820512820512826</v>
      </c>
      <c r="G132" s="3">
        <f t="shared" si="22"/>
        <v>0.30585113976497846</v>
      </c>
      <c r="L132">
        <f t="shared" ca="1" si="23"/>
        <v>21.120180904160492</v>
      </c>
      <c r="N132">
        <v>1.9039225609692885</v>
      </c>
      <c r="O132" s="4">
        <f t="shared" si="24"/>
        <v>131</v>
      </c>
      <c r="P132" s="4">
        <f t="shared" si="25"/>
        <v>0.32820512820512826</v>
      </c>
    </row>
    <row r="133" spans="1:16">
      <c r="A133" s="9">
        <v>1595</v>
      </c>
      <c r="B133">
        <v>1.6839999999999999</v>
      </c>
      <c r="C133" s="9">
        <v>5</v>
      </c>
      <c r="E133" s="4">
        <f t="shared" si="20"/>
        <v>132</v>
      </c>
      <c r="F133" s="4">
        <f t="shared" si="21"/>
        <v>0.32307692307692304</v>
      </c>
      <c r="G133" s="3">
        <f t="shared" si="22"/>
        <v>0.30044602003406023</v>
      </c>
      <c r="L133">
        <f t="shared" ca="1" si="23"/>
        <v>7.9509555632699058</v>
      </c>
      <c r="N133">
        <v>1.8981370841709158</v>
      </c>
      <c r="O133" s="4">
        <f t="shared" si="24"/>
        <v>132</v>
      </c>
      <c r="P133" s="4">
        <f t="shared" si="25"/>
        <v>0.32307692307692304</v>
      </c>
    </row>
    <row r="134" spans="1:16">
      <c r="A134" s="9">
        <v>1780</v>
      </c>
      <c r="B134">
        <v>1.657</v>
      </c>
      <c r="C134" s="9">
        <v>8</v>
      </c>
      <c r="E134" s="4">
        <f t="shared" si="20"/>
        <v>133</v>
      </c>
      <c r="F134" s="4">
        <f t="shared" si="21"/>
        <v>0.31794871794871793</v>
      </c>
      <c r="G134" s="3">
        <f t="shared" si="22"/>
        <v>0.29685719471617861</v>
      </c>
      <c r="L134">
        <f t="shared" ca="1" si="23"/>
        <v>2.3937737542585378</v>
      </c>
      <c r="N134">
        <v>1.8258686491775022</v>
      </c>
      <c r="O134" s="4">
        <f t="shared" si="24"/>
        <v>133</v>
      </c>
      <c r="P134" s="4">
        <f t="shared" si="25"/>
        <v>0.31794871794871793</v>
      </c>
    </row>
    <row r="135" spans="1:16">
      <c r="A135" s="9">
        <v>1722</v>
      </c>
      <c r="B135">
        <v>1.649</v>
      </c>
      <c r="C135" s="9">
        <v>8</v>
      </c>
      <c r="E135" s="4">
        <f t="shared" si="20"/>
        <v>134</v>
      </c>
      <c r="F135" s="4">
        <f t="shared" si="21"/>
        <v>0.31282051282051282</v>
      </c>
      <c r="G135" s="3">
        <f t="shared" si="22"/>
        <v>0.2957893111205987</v>
      </c>
      <c r="L135">
        <f t="shared" ca="1" si="23"/>
        <v>1.4648521561165508</v>
      </c>
      <c r="N135">
        <v>1.8214776792179572</v>
      </c>
      <c r="O135" s="4">
        <f t="shared" si="24"/>
        <v>134</v>
      </c>
      <c r="P135" s="4">
        <f t="shared" si="25"/>
        <v>0.31282051282051282</v>
      </c>
    </row>
    <row r="136" spans="1:16">
      <c r="A136" s="9">
        <v>1904</v>
      </c>
      <c r="B136">
        <v>1.6459999999999999</v>
      </c>
      <c r="C136" s="9">
        <v>3</v>
      </c>
      <c r="E136" s="4">
        <f t="shared" si="20"/>
        <v>135</v>
      </c>
      <c r="F136" s="4">
        <f t="shared" si="21"/>
        <v>0.30769230769230771</v>
      </c>
      <c r="G136" s="3">
        <f t="shared" si="22"/>
        <v>0.2953883180577685</v>
      </c>
      <c r="L136">
        <f t="shared" ca="1" si="23"/>
        <v>6.3320591179696777</v>
      </c>
      <c r="N136">
        <v>1.6847545251050011</v>
      </c>
      <c r="O136" s="4">
        <f t="shared" si="24"/>
        <v>135</v>
      </c>
      <c r="P136" s="4">
        <f t="shared" si="25"/>
        <v>0.30769230769230771</v>
      </c>
    </row>
    <row r="137" spans="1:16">
      <c r="A137" s="9">
        <v>1664</v>
      </c>
      <c r="B137">
        <v>1.623</v>
      </c>
      <c r="C137" s="9">
        <v>3</v>
      </c>
      <c r="E137" s="4">
        <f t="shared" si="20"/>
        <v>136</v>
      </c>
      <c r="F137" s="4">
        <f t="shared" si="21"/>
        <v>0.3025641025641026</v>
      </c>
      <c r="G137" s="3">
        <f t="shared" si="22"/>
        <v>0.29230426153086153</v>
      </c>
      <c r="L137">
        <f t="shared" ca="1" si="23"/>
        <v>2.6607675584932569</v>
      </c>
      <c r="N137">
        <v>1.6619303225900319</v>
      </c>
      <c r="O137" s="4">
        <f t="shared" si="24"/>
        <v>136</v>
      </c>
      <c r="P137" s="4">
        <f t="shared" si="25"/>
        <v>0.3025641025641026</v>
      </c>
    </row>
    <row r="138" spans="1:16">
      <c r="A138" s="9">
        <v>1996</v>
      </c>
      <c r="B138">
        <v>1.619</v>
      </c>
      <c r="C138" s="9">
        <v>8</v>
      </c>
      <c r="E138" s="4">
        <f t="shared" si="20"/>
        <v>137</v>
      </c>
      <c r="F138" s="4">
        <f t="shared" si="21"/>
        <v>0.29743589743589749</v>
      </c>
      <c r="G138" s="3">
        <f t="shared" si="22"/>
        <v>0.29176613011919189</v>
      </c>
      <c r="L138">
        <f t="shared" ca="1" si="23"/>
        <v>5.5379697563565351</v>
      </c>
      <c r="N138">
        <v>1.6417208337652101</v>
      </c>
      <c r="O138" s="4">
        <f t="shared" si="24"/>
        <v>137</v>
      </c>
      <c r="P138" s="4">
        <f t="shared" si="25"/>
        <v>0.29743589743589749</v>
      </c>
    </row>
    <row r="139" spans="1:16">
      <c r="A139" s="9">
        <v>1980</v>
      </c>
      <c r="B139">
        <v>1.617</v>
      </c>
      <c r="C139" s="9">
        <v>2</v>
      </c>
      <c r="E139" s="4">
        <f t="shared" si="20"/>
        <v>138</v>
      </c>
      <c r="F139" s="4">
        <f t="shared" si="21"/>
        <v>0.29230769230769227</v>
      </c>
      <c r="G139" s="3">
        <f t="shared" si="22"/>
        <v>0.29149686644987088</v>
      </c>
      <c r="L139">
        <f t="shared" ca="1" si="23"/>
        <v>0.33337201819164664</v>
      </c>
      <c r="N139">
        <v>1.6206619407797858</v>
      </c>
      <c r="O139" s="4">
        <f t="shared" si="24"/>
        <v>138</v>
      </c>
      <c r="P139" s="4">
        <f t="shared" si="25"/>
        <v>0.29230769230769227</v>
      </c>
    </row>
    <row r="140" spans="1:16">
      <c r="A140" s="9">
        <v>1404</v>
      </c>
      <c r="B140">
        <v>1.6</v>
      </c>
      <c r="C140" s="9">
        <v>4</v>
      </c>
      <c r="E140" s="4">
        <f t="shared" si="20"/>
        <v>139</v>
      </c>
      <c r="F140" s="4">
        <f t="shared" si="21"/>
        <v>0.28717948717948716</v>
      </c>
      <c r="G140" s="3">
        <f t="shared" si="22"/>
        <v>0.28920277773645148</v>
      </c>
      <c r="L140">
        <f t="shared" ca="1" si="23"/>
        <v>4.5811560224990089</v>
      </c>
      <c r="N140">
        <v>1.6032511341593203</v>
      </c>
      <c r="O140" s="4">
        <f t="shared" si="24"/>
        <v>139</v>
      </c>
      <c r="P140" s="4">
        <f t="shared" si="25"/>
        <v>0.28717948717948716</v>
      </c>
    </row>
    <row r="141" spans="1:16">
      <c r="A141" s="9">
        <v>1283</v>
      </c>
      <c r="B141">
        <v>1.583</v>
      </c>
      <c r="C141" s="9">
        <v>2</v>
      </c>
      <c r="E141" s="4">
        <f t="shared" si="20"/>
        <v>140</v>
      </c>
      <c r="F141" s="4">
        <f t="shared" si="21"/>
        <v>0.28205128205128205</v>
      </c>
      <c r="G141" s="3">
        <f t="shared" si="22"/>
        <v>0.28689906596096149</v>
      </c>
      <c r="L141">
        <f t="shared" ca="1" si="23"/>
        <v>5.3804167684996074</v>
      </c>
      <c r="N141">
        <v>1.5674918314572737</v>
      </c>
      <c r="O141" s="4">
        <f t="shared" si="24"/>
        <v>140</v>
      </c>
      <c r="P141" s="4">
        <f t="shared" si="25"/>
        <v>0.28205128205128205</v>
      </c>
    </row>
    <row r="142" spans="1:16">
      <c r="A142" s="9">
        <v>1913</v>
      </c>
      <c r="B142">
        <v>1.569</v>
      </c>
      <c r="C142" s="9">
        <v>4</v>
      </c>
      <c r="E142" s="4">
        <f t="shared" si="20"/>
        <v>141</v>
      </c>
      <c r="F142" s="4">
        <f t="shared" si="21"/>
        <v>0.27692307692307694</v>
      </c>
      <c r="G142" s="3">
        <f t="shared" si="22"/>
        <v>0.28499461133706333</v>
      </c>
      <c r="L142">
        <f t="shared" ca="1" si="23"/>
        <v>3.2604921106548357</v>
      </c>
      <c r="N142">
        <v>1.5059473188722547</v>
      </c>
      <c r="O142" s="4">
        <f t="shared" si="24"/>
        <v>141</v>
      </c>
      <c r="P142" s="4">
        <f t="shared" si="25"/>
        <v>0.27692307692307694</v>
      </c>
    </row>
    <row r="143" spans="1:16">
      <c r="A143" s="9">
        <v>1310</v>
      </c>
      <c r="B143">
        <v>1.5640000000000001</v>
      </c>
      <c r="C143" s="9">
        <v>5</v>
      </c>
      <c r="E143" s="4">
        <f t="shared" si="20"/>
        <v>142</v>
      </c>
      <c r="F143" s="4">
        <f t="shared" si="21"/>
        <v>0.27179487179487183</v>
      </c>
      <c r="G143" s="3">
        <f t="shared" si="22"/>
        <v>0.2843128462815675</v>
      </c>
      <c r="L143">
        <f t="shared" ca="1" si="23"/>
        <v>13.679816172543344</v>
      </c>
      <c r="N143">
        <v>1.482985408548763</v>
      </c>
      <c r="O143" s="4">
        <f t="shared" si="24"/>
        <v>142</v>
      </c>
      <c r="P143" s="4">
        <f t="shared" si="25"/>
        <v>0.27179487179487183</v>
      </c>
    </row>
    <row r="144" spans="1:16">
      <c r="A144" s="9">
        <v>1392</v>
      </c>
      <c r="B144">
        <v>1.5489999999999999</v>
      </c>
      <c r="C144" s="9">
        <v>2</v>
      </c>
      <c r="E144" s="4">
        <f t="shared" si="20"/>
        <v>143</v>
      </c>
      <c r="F144" s="4">
        <f t="shared" si="21"/>
        <v>0.26666666666666672</v>
      </c>
      <c r="G144" s="3">
        <f t="shared" si="22"/>
        <v>0.28226246248814746</v>
      </c>
      <c r="L144">
        <f t="shared" ca="1" si="23"/>
        <v>0.99899057992279205</v>
      </c>
      <c r="N144">
        <v>1.42064641944574</v>
      </c>
      <c r="O144" s="4">
        <f t="shared" si="24"/>
        <v>143</v>
      </c>
      <c r="P144" s="4">
        <f t="shared" si="25"/>
        <v>0.26666666666666672</v>
      </c>
    </row>
    <row r="145" spans="1:16">
      <c r="A145" s="9">
        <v>1418</v>
      </c>
      <c r="B145">
        <v>1.544</v>
      </c>
      <c r="C145" s="9">
        <v>3</v>
      </c>
      <c r="E145" s="4">
        <f t="shared" si="20"/>
        <v>144</v>
      </c>
      <c r="F145" s="4">
        <f t="shared" si="21"/>
        <v>0.2615384615384615</v>
      </c>
      <c r="G145" s="3">
        <f t="shared" si="22"/>
        <v>0.28157729820122668</v>
      </c>
      <c r="L145">
        <f t="shared" ca="1" si="23"/>
        <v>0.16872090718662675</v>
      </c>
      <c r="N145">
        <v>1.3889403703794825</v>
      </c>
      <c r="O145" s="4">
        <f t="shared" si="24"/>
        <v>144</v>
      </c>
      <c r="P145" s="4">
        <f t="shared" si="25"/>
        <v>0.2615384615384615</v>
      </c>
    </row>
    <row r="146" spans="1:16">
      <c r="A146" s="9">
        <v>1835</v>
      </c>
      <c r="B146">
        <v>1.5349999999999999</v>
      </c>
      <c r="C146" s="9">
        <v>6</v>
      </c>
      <c r="E146" s="4">
        <f t="shared" si="20"/>
        <v>145</v>
      </c>
      <c r="F146" s="4">
        <f t="shared" si="21"/>
        <v>0.25641025641025639</v>
      </c>
      <c r="G146" s="3">
        <f t="shared" si="22"/>
        <v>0.28034184662321393</v>
      </c>
      <c r="L146">
        <f t="shared" ca="1" si="23"/>
        <v>13.989050933629677</v>
      </c>
      <c r="N146">
        <v>1.3511538722663334</v>
      </c>
      <c r="O146" s="4">
        <f t="shared" si="24"/>
        <v>145</v>
      </c>
      <c r="P146" s="4">
        <f t="shared" si="25"/>
        <v>0.25641025641025639</v>
      </c>
    </row>
    <row r="147" spans="1:16">
      <c r="A147" s="9">
        <v>1638</v>
      </c>
      <c r="B147">
        <v>1.4259999999999999</v>
      </c>
      <c r="C147" s="9">
        <v>8</v>
      </c>
      <c r="E147" s="4">
        <f t="shared" si="20"/>
        <v>146</v>
      </c>
      <c r="F147" s="4">
        <f t="shared" si="21"/>
        <v>0.25128205128205128</v>
      </c>
      <c r="G147" s="3">
        <f t="shared" si="22"/>
        <v>0.26515455764715345</v>
      </c>
      <c r="L147">
        <f t="shared" ca="1" si="23"/>
        <v>1.0315321532992119</v>
      </c>
      <c r="N147">
        <v>1.2763050452476579</v>
      </c>
      <c r="O147" s="4">
        <f t="shared" si="24"/>
        <v>146</v>
      </c>
      <c r="P147" s="4">
        <f t="shared" si="25"/>
        <v>0.25128205128205128</v>
      </c>
    </row>
    <row r="148" spans="1:16">
      <c r="A148" s="9">
        <v>1581</v>
      </c>
      <c r="B148">
        <v>1.4239999999999999</v>
      </c>
      <c r="C148" s="9">
        <v>4</v>
      </c>
      <c r="E148" s="4">
        <f t="shared" si="20"/>
        <v>147</v>
      </c>
      <c r="F148" s="4">
        <f t="shared" si="21"/>
        <v>0.24615384615384617</v>
      </c>
      <c r="G148" s="3">
        <f t="shared" si="22"/>
        <v>0.26487193610935877</v>
      </c>
      <c r="L148">
        <f t="shared" ca="1" si="23"/>
        <v>5.5568767271237789</v>
      </c>
      <c r="N148">
        <v>1.2642415340573092</v>
      </c>
      <c r="O148" s="4">
        <f t="shared" si="24"/>
        <v>147</v>
      </c>
      <c r="P148" s="4">
        <f t="shared" si="25"/>
        <v>0.24615384615384617</v>
      </c>
    </row>
    <row r="149" spans="1:16">
      <c r="A149" s="9">
        <v>1260</v>
      </c>
      <c r="B149">
        <v>1.3220000000000001</v>
      </c>
      <c r="C149" s="9">
        <v>2</v>
      </c>
      <c r="E149" s="4">
        <f t="shared" si="20"/>
        <v>148</v>
      </c>
      <c r="F149" s="4">
        <f t="shared" si="21"/>
        <v>0.24102564102564106</v>
      </c>
      <c r="G149" s="3">
        <f t="shared" si="22"/>
        <v>0.25026204204835734</v>
      </c>
      <c r="L149">
        <f t="shared" ca="1" si="23"/>
        <v>0.24772585981052386</v>
      </c>
      <c r="N149">
        <v>1.199589320336071</v>
      </c>
      <c r="O149" s="4">
        <f t="shared" si="24"/>
        <v>148</v>
      </c>
      <c r="P149" s="4">
        <f t="shared" si="25"/>
        <v>0.24102564102564106</v>
      </c>
    </row>
    <row r="150" spans="1:16">
      <c r="A150" s="9">
        <v>1322</v>
      </c>
      <c r="B150">
        <v>1.32</v>
      </c>
      <c r="C150" s="9">
        <v>3</v>
      </c>
      <c r="E150" s="4">
        <f t="shared" si="20"/>
        <v>149</v>
      </c>
      <c r="F150" s="4">
        <f t="shared" si="21"/>
        <v>0.23589743589743595</v>
      </c>
      <c r="G150" s="3">
        <f t="shared" si="22"/>
        <v>0.24997165165160481</v>
      </c>
      <c r="L150">
        <f t="shared" ca="1" si="23"/>
        <v>2.485503630223576</v>
      </c>
      <c r="N150">
        <v>1.187677563042163</v>
      </c>
      <c r="O150" s="4">
        <f t="shared" si="24"/>
        <v>149</v>
      </c>
      <c r="P150" s="4">
        <f t="shared" si="25"/>
        <v>0.23589743589743595</v>
      </c>
    </row>
    <row r="151" spans="1:16">
      <c r="A151" s="9">
        <v>1988</v>
      </c>
      <c r="B151">
        <v>1.306</v>
      </c>
      <c r="C151" s="9">
        <v>4</v>
      </c>
      <c r="E151" s="4">
        <f t="shared" si="20"/>
        <v>150</v>
      </c>
      <c r="F151" s="4">
        <f t="shared" si="21"/>
        <v>0.23076923076923073</v>
      </c>
      <c r="G151" s="3">
        <f t="shared" si="22"/>
        <v>0.24793460190518046</v>
      </c>
      <c r="L151">
        <f t="shared" ca="1" si="23"/>
        <v>3.7502861201201219</v>
      </c>
      <c r="N151">
        <v>1.1660662649402225</v>
      </c>
      <c r="O151" s="4">
        <f t="shared" si="24"/>
        <v>150</v>
      </c>
      <c r="P151" s="4">
        <f t="shared" si="25"/>
        <v>0.23076923076923073</v>
      </c>
    </row>
    <row r="152" spans="1:16">
      <c r="A152" s="9">
        <v>1514</v>
      </c>
      <c r="B152">
        <v>1.2210000000000001</v>
      </c>
      <c r="C152" s="9">
        <v>4</v>
      </c>
      <c r="E152" s="4">
        <f t="shared" si="20"/>
        <v>151</v>
      </c>
      <c r="F152" s="4">
        <f t="shared" si="21"/>
        <v>0.22564102564102562</v>
      </c>
      <c r="G152" s="3">
        <f t="shared" si="22"/>
        <v>0.23540140686686345</v>
      </c>
      <c r="L152">
        <f t="shared" ca="1" si="23"/>
        <v>23.932986102800143</v>
      </c>
      <c r="N152">
        <v>1.139062201141285</v>
      </c>
      <c r="O152" s="4">
        <f t="shared" si="24"/>
        <v>151</v>
      </c>
      <c r="P152" s="4">
        <f t="shared" si="25"/>
        <v>0.22564102564102562</v>
      </c>
    </row>
    <row r="153" spans="1:16">
      <c r="A153" s="9">
        <v>1378</v>
      </c>
      <c r="B153">
        <v>1.1870000000000001</v>
      </c>
      <c r="C153" s="9">
        <v>4</v>
      </c>
      <c r="E153" s="4">
        <f t="shared" si="20"/>
        <v>152</v>
      </c>
      <c r="F153" s="4">
        <f t="shared" si="21"/>
        <v>0.22051282051282051</v>
      </c>
      <c r="G153" s="3">
        <f t="shared" si="22"/>
        <v>0.23030646867983307</v>
      </c>
      <c r="L153">
        <f t="shared" ca="1" si="23"/>
        <v>0.29718162766754042</v>
      </c>
      <c r="N153">
        <v>1.1372390962591497</v>
      </c>
      <c r="O153" s="4">
        <f t="shared" si="24"/>
        <v>152</v>
      </c>
      <c r="P153" s="4">
        <f t="shared" si="25"/>
        <v>0.22051282051282051</v>
      </c>
    </row>
    <row r="154" spans="1:16">
      <c r="A154" s="9">
        <v>1397</v>
      </c>
      <c r="B154">
        <v>1.018</v>
      </c>
      <c r="C154" s="9">
        <v>5</v>
      </c>
      <c r="E154" s="4">
        <f t="shared" si="20"/>
        <v>153</v>
      </c>
      <c r="F154" s="4">
        <f t="shared" si="21"/>
        <v>0.2153846153846154</v>
      </c>
      <c r="G154" s="3">
        <f t="shared" si="22"/>
        <v>0.20424513337256073</v>
      </c>
      <c r="L154">
        <f t="shared" ca="1" si="23"/>
        <v>0.22380540789970149</v>
      </c>
      <c r="N154">
        <v>1.0718987696781661</v>
      </c>
      <c r="O154" s="4">
        <f t="shared" si="24"/>
        <v>153</v>
      </c>
      <c r="P154" s="4">
        <f t="shared" si="25"/>
        <v>0.2153846153846154</v>
      </c>
    </row>
    <row r="155" spans="1:16">
      <c r="A155" s="9">
        <v>1390</v>
      </c>
      <c r="B155">
        <v>1.0029999999999999</v>
      </c>
      <c r="C155" s="9">
        <v>4</v>
      </c>
      <c r="E155" s="4">
        <f t="shared" si="20"/>
        <v>154</v>
      </c>
      <c r="F155" s="4">
        <f t="shared" si="21"/>
        <v>0.21025641025641029</v>
      </c>
      <c r="G155" s="3">
        <f t="shared" si="22"/>
        <v>0.20186971433965803</v>
      </c>
      <c r="L155">
        <f t="shared" ca="1" si="23"/>
        <v>17.95581159829247</v>
      </c>
      <c r="N155">
        <v>1.0294049092175173</v>
      </c>
      <c r="O155" s="4">
        <f t="shared" si="24"/>
        <v>154</v>
      </c>
      <c r="P155" s="4">
        <f t="shared" si="25"/>
        <v>0.21025641025641029</v>
      </c>
    </row>
    <row r="156" spans="1:16">
      <c r="A156" s="9">
        <v>1652</v>
      </c>
      <c r="B156">
        <v>0.91900000000000004</v>
      </c>
      <c r="C156" s="9">
        <v>11</v>
      </c>
      <c r="E156" s="4">
        <f t="shared" si="20"/>
        <v>155</v>
      </c>
      <c r="F156" s="4">
        <f t="shared" si="21"/>
        <v>0.20512820512820518</v>
      </c>
      <c r="G156" s="3">
        <f t="shared" si="22"/>
        <v>0.1883668883012973</v>
      </c>
      <c r="L156">
        <f t="shared" ca="1" si="23"/>
        <v>12.157654315161974</v>
      </c>
      <c r="N156">
        <v>1.0274555786434862</v>
      </c>
      <c r="O156" s="4">
        <f t="shared" si="24"/>
        <v>155</v>
      </c>
      <c r="P156" s="4">
        <f t="shared" si="25"/>
        <v>0.20512820512820518</v>
      </c>
    </row>
    <row r="157" spans="1:16">
      <c r="A157" s="9">
        <v>1889</v>
      </c>
      <c r="B157">
        <v>0.9</v>
      </c>
      <c r="C157" s="9">
        <v>4</v>
      </c>
      <c r="E157" s="4">
        <f t="shared" si="20"/>
        <v>156</v>
      </c>
      <c r="F157" s="4">
        <f t="shared" si="21"/>
        <v>0.19999999999999996</v>
      </c>
      <c r="G157" s="3">
        <f t="shared" si="22"/>
        <v>0.18526398235433342</v>
      </c>
      <c r="L157">
        <f t="shared" ca="1" si="23"/>
        <v>10.362898833627224</v>
      </c>
      <c r="N157">
        <v>1.0083064014765237</v>
      </c>
      <c r="O157" s="4">
        <f t="shared" si="24"/>
        <v>156</v>
      </c>
      <c r="P157" s="4">
        <f t="shared" si="25"/>
        <v>0.19999999999999996</v>
      </c>
    </row>
    <row r="158" spans="1:16">
      <c r="A158" s="9">
        <v>1812</v>
      </c>
      <c r="B158">
        <v>0.9</v>
      </c>
      <c r="C158" s="9">
        <v>3</v>
      </c>
      <c r="E158" s="4">
        <f t="shared" si="20"/>
        <v>156</v>
      </c>
      <c r="F158" s="4">
        <f t="shared" si="21"/>
        <v>0.19999999999999996</v>
      </c>
      <c r="G158" s="3">
        <f t="shared" si="22"/>
        <v>0.18526398235433342</v>
      </c>
      <c r="L158">
        <f t="shared" ca="1" si="23"/>
        <v>4.5456783706800401</v>
      </c>
      <c r="N158">
        <v>0.99470178833251111</v>
      </c>
      <c r="O158" s="4">
        <f t="shared" si="24"/>
        <v>157</v>
      </c>
      <c r="P158" s="4">
        <f t="shared" si="25"/>
        <v>0.19487179487179485</v>
      </c>
    </row>
    <row r="159" spans="1:16">
      <c r="A159" s="9">
        <v>1440</v>
      </c>
      <c r="B159">
        <v>0.88600000000000001</v>
      </c>
      <c r="C159" s="9">
        <v>4</v>
      </c>
      <c r="E159" s="4">
        <f t="shared" si="20"/>
        <v>158</v>
      </c>
      <c r="F159" s="4">
        <f t="shared" si="21"/>
        <v>0.18974358974358974</v>
      </c>
      <c r="G159" s="3">
        <f t="shared" si="22"/>
        <v>0.1829657555214334</v>
      </c>
      <c r="L159">
        <f t="shared" ca="1" si="23"/>
        <v>8.0083768269473197</v>
      </c>
      <c r="N159">
        <v>0.92023716153683677</v>
      </c>
      <c r="O159" s="4">
        <f t="shared" si="24"/>
        <v>158</v>
      </c>
      <c r="P159" s="4">
        <f t="shared" si="25"/>
        <v>0.18974358974358974</v>
      </c>
    </row>
    <row r="160" spans="1:16">
      <c r="A160" s="9">
        <v>1798</v>
      </c>
      <c r="B160">
        <v>0.80400000000000005</v>
      </c>
      <c r="C160" s="9">
        <v>9</v>
      </c>
      <c r="E160" s="4">
        <f t="shared" si="20"/>
        <v>159</v>
      </c>
      <c r="F160" s="4">
        <f t="shared" si="21"/>
        <v>0.18461538461538463</v>
      </c>
      <c r="G160" s="3">
        <f t="shared" si="22"/>
        <v>0.1692953122973869</v>
      </c>
      <c r="L160">
        <f t="shared" ca="1" si="23"/>
        <v>5.5448495920767567</v>
      </c>
      <c r="N160">
        <v>0.91817927179925962</v>
      </c>
      <c r="O160" s="4">
        <f t="shared" si="24"/>
        <v>159</v>
      </c>
      <c r="P160" s="4">
        <f t="shared" si="25"/>
        <v>0.18461538461538463</v>
      </c>
    </row>
    <row r="161" spans="1:16">
      <c r="A161" s="9">
        <v>1518</v>
      </c>
      <c r="B161">
        <v>0.78500000000000003</v>
      </c>
      <c r="C161" s="9">
        <v>4</v>
      </c>
      <c r="E161" s="4">
        <f t="shared" si="20"/>
        <v>160</v>
      </c>
      <c r="F161" s="4">
        <f t="shared" si="21"/>
        <v>0.17948717948717952</v>
      </c>
      <c r="G161" s="3">
        <f t="shared" si="22"/>
        <v>0.1660748673191193</v>
      </c>
      <c r="L161">
        <f t="shared" ca="1" si="23"/>
        <v>1.7576136954800403</v>
      </c>
      <c r="N161">
        <v>0.8930207628750082</v>
      </c>
      <c r="O161" s="4">
        <f t="shared" si="24"/>
        <v>160</v>
      </c>
      <c r="P161" s="4">
        <f t="shared" si="25"/>
        <v>0.17948717948717952</v>
      </c>
    </row>
    <row r="162" spans="1:16">
      <c r="A162" s="9">
        <v>1167</v>
      </c>
      <c r="B162">
        <v>0.755</v>
      </c>
      <c r="C162" s="9">
        <v>19</v>
      </c>
      <c r="E162" s="4">
        <f t="shared" ref="E162:E196" si="26">RANK(B162,$B$2:$B$196)</f>
        <v>161</v>
      </c>
      <c r="F162" s="4">
        <f t="shared" ref="F162:F193" si="27">1-E162/$D$2</f>
        <v>0.17435897435897441</v>
      </c>
      <c r="G162" s="3">
        <f t="shared" ref="G162:G196" si="28">GAMMADIST(B162,$H$2,$I$2,TRUE)</f>
        <v>0.16094766495564278</v>
      </c>
      <c r="L162">
        <f t="shared" ref="L162:L196" ca="1" si="29">GAMMAINV(RAND(),$H$2,$I$2)</f>
        <v>3.859013035432171</v>
      </c>
      <c r="N162">
        <v>0.89145651731883424</v>
      </c>
      <c r="O162" s="4">
        <f t="shared" si="24"/>
        <v>161</v>
      </c>
      <c r="P162" s="4">
        <f t="shared" si="25"/>
        <v>0.17435897435897441</v>
      </c>
    </row>
    <row r="163" spans="1:16">
      <c r="A163" s="9">
        <v>1258</v>
      </c>
      <c r="B163">
        <v>0.753</v>
      </c>
      <c r="C163" s="9">
        <v>4</v>
      </c>
      <c r="E163" s="4">
        <f t="shared" si="26"/>
        <v>162</v>
      </c>
      <c r="F163" s="4">
        <f t="shared" si="27"/>
        <v>0.16923076923076918</v>
      </c>
      <c r="G163" s="3">
        <f t="shared" si="28"/>
        <v>0.16060397790061531</v>
      </c>
      <c r="L163">
        <f t="shared" ca="1" si="29"/>
        <v>5.3716793317903733</v>
      </c>
      <c r="N163">
        <v>0.86818190575178167</v>
      </c>
      <c r="O163" s="4">
        <f t="shared" si="24"/>
        <v>162</v>
      </c>
      <c r="P163" s="4">
        <f t="shared" si="25"/>
        <v>0.16923076923076918</v>
      </c>
    </row>
    <row r="164" spans="1:16">
      <c r="A164" s="9">
        <v>1656</v>
      </c>
      <c r="B164">
        <v>0.74299999999999999</v>
      </c>
      <c r="C164" s="9">
        <v>2</v>
      </c>
      <c r="E164" s="4">
        <f t="shared" si="26"/>
        <v>163</v>
      </c>
      <c r="F164" s="4">
        <f t="shared" si="27"/>
        <v>0.16410256410256407</v>
      </c>
      <c r="G164" s="3">
        <f t="shared" si="28"/>
        <v>0.15888197768853959</v>
      </c>
      <c r="L164">
        <f t="shared" ca="1" si="29"/>
        <v>2.3531960174196298</v>
      </c>
      <c r="N164">
        <v>0.83188723602633141</v>
      </c>
      <c r="O164" s="4">
        <f t="shared" si="24"/>
        <v>163</v>
      </c>
      <c r="P164" s="4">
        <f t="shared" si="25"/>
        <v>0.16410256410256407</v>
      </c>
    </row>
    <row r="165" spans="1:16">
      <c r="A165" s="9">
        <v>1057</v>
      </c>
      <c r="B165">
        <v>0.74</v>
      </c>
      <c r="C165" s="9">
        <v>10</v>
      </c>
      <c r="E165" s="4">
        <f t="shared" si="26"/>
        <v>164</v>
      </c>
      <c r="F165" s="4">
        <f t="shared" si="27"/>
        <v>0.15897435897435896</v>
      </c>
      <c r="G165" s="3">
        <f t="shared" si="28"/>
        <v>0.1583642128062194</v>
      </c>
      <c r="L165">
        <f t="shared" ca="1" si="29"/>
        <v>7.7203023023077115</v>
      </c>
      <c r="N165">
        <v>0.81160157906590968</v>
      </c>
      <c r="O165" s="4">
        <f t="shared" si="24"/>
        <v>164</v>
      </c>
      <c r="P165" s="4">
        <f t="shared" si="25"/>
        <v>0.15897435897435896</v>
      </c>
    </row>
    <row r="166" spans="1:16">
      <c r="A166" s="9">
        <v>2003</v>
      </c>
      <c r="B166">
        <v>0.72599999999999998</v>
      </c>
      <c r="C166" s="9">
        <v>5</v>
      </c>
      <c r="E166" s="4">
        <f t="shared" si="26"/>
        <v>165</v>
      </c>
      <c r="F166" s="4">
        <f t="shared" si="27"/>
        <v>0.15384615384615385</v>
      </c>
      <c r="G166" s="3">
        <f t="shared" si="28"/>
        <v>0.15594079872522745</v>
      </c>
      <c r="L166">
        <f t="shared" ca="1" si="29"/>
        <v>8.7777533358738253</v>
      </c>
      <c r="N166">
        <v>0.77188572591993365</v>
      </c>
      <c r="O166" s="4">
        <f t="shared" si="24"/>
        <v>165</v>
      </c>
      <c r="P166" s="4">
        <f t="shared" si="25"/>
        <v>0.15384615384615385</v>
      </c>
    </row>
    <row r="167" spans="1:16">
      <c r="A167" s="9">
        <v>1281</v>
      </c>
      <c r="B167">
        <v>0.68600000000000005</v>
      </c>
      <c r="C167" s="9">
        <v>2</v>
      </c>
      <c r="E167" s="4">
        <f t="shared" si="26"/>
        <v>166</v>
      </c>
      <c r="F167" s="4">
        <f t="shared" si="27"/>
        <v>0.14871794871794874</v>
      </c>
      <c r="G167" s="3">
        <f t="shared" si="28"/>
        <v>0.14895021870989772</v>
      </c>
      <c r="L167">
        <f t="shared" ca="1" si="29"/>
        <v>8.6429379457805489</v>
      </c>
      <c r="N167">
        <v>0.63673767618456734</v>
      </c>
      <c r="O167" s="4">
        <f t="shared" si="24"/>
        <v>166</v>
      </c>
      <c r="P167" s="4">
        <f t="shared" si="25"/>
        <v>0.14871794871794874</v>
      </c>
    </row>
    <row r="168" spans="1:16">
      <c r="A168" s="9">
        <v>1181</v>
      </c>
      <c r="B168">
        <v>0.67600000000000005</v>
      </c>
      <c r="C168" s="9">
        <v>14</v>
      </c>
      <c r="E168" s="4">
        <f t="shared" si="26"/>
        <v>167</v>
      </c>
      <c r="F168" s="4">
        <f t="shared" si="27"/>
        <v>0.14358974358974363</v>
      </c>
      <c r="G168" s="3">
        <f t="shared" si="28"/>
        <v>0.14718679110837737</v>
      </c>
      <c r="L168">
        <f t="shared" ca="1" si="29"/>
        <v>2.7045324793306831</v>
      </c>
      <c r="N168">
        <v>0.62684463337525664</v>
      </c>
      <c r="O168" s="4">
        <f t="shared" si="24"/>
        <v>167</v>
      </c>
      <c r="P168" s="4">
        <f t="shared" si="25"/>
        <v>0.14358974358974363</v>
      </c>
    </row>
    <row r="169" spans="1:16">
      <c r="A169" s="9">
        <v>1666</v>
      </c>
      <c r="B169">
        <v>0.629</v>
      </c>
      <c r="C169" s="9">
        <v>2</v>
      </c>
      <c r="E169" s="4">
        <f t="shared" si="26"/>
        <v>168</v>
      </c>
      <c r="F169" s="4">
        <f t="shared" si="27"/>
        <v>0.13846153846153841</v>
      </c>
      <c r="G169" s="3">
        <f t="shared" si="28"/>
        <v>0.13881077668961</v>
      </c>
      <c r="L169">
        <f t="shared" ca="1" si="29"/>
        <v>0.34359013821385043</v>
      </c>
      <c r="N169">
        <v>0.598266430547439</v>
      </c>
      <c r="O169" s="4">
        <f t="shared" si="24"/>
        <v>168</v>
      </c>
      <c r="P169" s="4">
        <f t="shared" si="25"/>
        <v>0.13846153846153841</v>
      </c>
    </row>
    <row r="170" spans="1:16">
      <c r="A170" s="9">
        <v>1616</v>
      </c>
      <c r="B170">
        <v>0.61199999999999999</v>
      </c>
      <c r="C170" s="9">
        <v>8</v>
      </c>
      <c r="E170" s="4">
        <f t="shared" si="26"/>
        <v>169</v>
      </c>
      <c r="F170" s="4">
        <f t="shared" si="27"/>
        <v>0.1333333333333333</v>
      </c>
      <c r="G170" s="3">
        <f t="shared" si="28"/>
        <v>0.13574432734143616</v>
      </c>
      <c r="L170">
        <f t="shared" ca="1" si="29"/>
        <v>4.1932403170611021</v>
      </c>
      <c r="N170">
        <v>0.59713447701679545</v>
      </c>
      <c r="O170" s="4">
        <f t="shared" si="24"/>
        <v>169</v>
      </c>
      <c r="P170" s="4">
        <f t="shared" si="25"/>
        <v>0.1333333333333333</v>
      </c>
    </row>
    <row r="171" spans="1:16">
      <c r="A171" s="9">
        <v>1673</v>
      </c>
      <c r="B171">
        <v>0.59799999999999998</v>
      </c>
      <c r="C171" s="9">
        <v>3</v>
      </c>
      <c r="E171" s="4">
        <f t="shared" si="26"/>
        <v>170</v>
      </c>
      <c r="F171" s="4">
        <f t="shared" si="27"/>
        <v>0.12820512820512819</v>
      </c>
      <c r="G171" s="3">
        <f t="shared" si="28"/>
        <v>0.13320381837615489</v>
      </c>
      <c r="L171">
        <f t="shared" ca="1" si="29"/>
        <v>6.5073039894356199</v>
      </c>
      <c r="N171">
        <v>0.55129395239842349</v>
      </c>
      <c r="O171" s="4">
        <f t="shared" si="24"/>
        <v>170</v>
      </c>
      <c r="P171" s="4">
        <f t="shared" si="25"/>
        <v>0.12820512820512819</v>
      </c>
    </row>
    <row r="172" spans="1:16">
      <c r="A172" s="9">
        <v>1563</v>
      </c>
      <c r="B172">
        <v>0.56100000000000005</v>
      </c>
      <c r="C172" s="9">
        <v>3</v>
      </c>
      <c r="E172" s="4">
        <f t="shared" si="26"/>
        <v>171</v>
      </c>
      <c r="F172" s="4">
        <f t="shared" si="27"/>
        <v>0.12307692307692308</v>
      </c>
      <c r="G172" s="3">
        <f t="shared" si="28"/>
        <v>0.12642142531138148</v>
      </c>
      <c r="L172">
        <f t="shared" ca="1" si="29"/>
        <v>7.6655477419482878</v>
      </c>
      <c r="N172">
        <v>0.54801446829596645</v>
      </c>
      <c r="O172" s="4">
        <f t="shared" si="24"/>
        <v>171</v>
      </c>
      <c r="P172" s="4">
        <f t="shared" si="25"/>
        <v>0.12307692307692308</v>
      </c>
    </row>
    <row r="173" spans="1:16">
      <c r="A173" s="9">
        <v>1906</v>
      </c>
      <c r="B173">
        <v>0.51800000000000002</v>
      </c>
      <c r="C173" s="9">
        <v>2</v>
      </c>
      <c r="E173" s="4">
        <f t="shared" si="26"/>
        <v>172</v>
      </c>
      <c r="F173" s="4">
        <f t="shared" si="27"/>
        <v>0.11794871794871797</v>
      </c>
      <c r="G173" s="3">
        <f t="shared" si="28"/>
        <v>0.11840901012167723</v>
      </c>
      <c r="L173">
        <f t="shared" ca="1" si="29"/>
        <v>4.8210329996757491</v>
      </c>
      <c r="N173">
        <v>0.5301423759552053</v>
      </c>
      <c r="O173" s="4">
        <f t="shared" si="24"/>
        <v>172</v>
      </c>
      <c r="P173" s="4">
        <f t="shared" si="25"/>
        <v>0.11794871794871797</v>
      </c>
    </row>
    <row r="174" spans="1:16">
      <c r="A174" s="9">
        <v>1852</v>
      </c>
      <c r="B174">
        <v>0.441</v>
      </c>
      <c r="C174" s="9">
        <v>7</v>
      </c>
      <c r="E174" s="4">
        <f t="shared" si="26"/>
        <v>173</v>
      </c>
      <c r="F174" s="4">
        <f t="shared" si="27"/>
        <v>0.11282051282051286</v>
      </c>
      <c r="G174" s="3">
        <f t="shared" si="28"/>
        <v>0.10368060929662962</v>
      </c>
      <c r="L174">
        <f t="shared" ca="1" si="29"/>
        <v>0.69839710427221391</v>
      </c>
      <c r="N174">
        <v>0.52306962804674861</v>
      </c>
      <c r="O174" s="4">
        <f t="shared" si="24"/>
        <v>173</v>
      </c>
      <c r="P174" s="4">
        <f t="shared" si="25"/>
        <v>0.11282051282051286</v>
      </c>
    </row>
    <row r="175" spans="1:16">
      <c r="A175" s="9">
        <v>1712</v>
      </c>
      <c r="B175">
        <v>0.42699999999999999</v>
      </c>
      <c r="C175" s="9">
        <v>4</v>
      </c>
      <c r="E175" s="4">
        <f t="shared" si="26"/>
        <v>174</v>
      </c>
      <c r="F175" s="4">
        <f t="shared" si="27"/>
        <v>0.10769230769230764</v>
      </c>
      <c r="G175" s="3">
        <f t="shared" si="28"/>
        <v>0.10094592328168016</v>
      </c>
      <c r="L175">
        <f t="shared" ca="1" si="29"/>
        <v>2.3150389321953257</v>
      </c>
      <c r="N175">
        <v>0.47359374692029665</v>
      </c>
      <c r="O175" s="4">
        <f t="shared" si="24"/>
        <v>174</v>
      </c>
      <c r="P175" s="4">
        <f t="shared" si="25"/>
        <v>0.10769230769230764</v>
      </c>
    </row>
    <row r="176" spans="1:16">
      <c r="A176" s="9">
        <v>1521</v>
      </c>
      <c r="B176">
        <v>0.42</v>
      </c>
      <c r="C176" s="9">
        <v>3</v>
      </c>
      <c r="E176" s="4">
        <f t="shared" si="26"/>
        <v>175</v>
      </c>
      <c r="F176" s="4">
        <f t="shared" si="27"/>
        <v>0.10256410256410253</v>
      </c>
      <c r="G176" s="3">
        <f t="shared" si="28"/>
        <v>9.9571603399391334E-2</v>
      </c>
      <c r="L176">
        <f t="shared" ca="1" si="29"/>
        <v>0.71031519690571532</v>
      </c>
      <c r="N176">
        <v>0.46917147239574242</v>
      </c>
      <c r="O176" s="4">
        <f t="shared" si="24"/>
        <v>175</v>
      </c>
      <c r="P176" s="4">
        <f t="shared" si="25"/>
        <v>0.10256410256410253</v>
      </c>
    </row>
    <row r="177" spans="1:16">
      <c r="A177" s="9">
        <v>1959</v>
      </c>
      <c r="B177">
        <v>0.41699999999999998</v>
      </c>
      <c r="C177" s="9">
        <v>8</v>
      </c>
      <c r="E177" s="4">
        <f t="shared" si="26"/>
        <v>176</v>
      </c>
      <c r="F177" s="4">
        <f t="shared" si="27"/>
        <v>9.7435897435897423E-2</v>
      </c>
      <c r="G177" s="3">
        <f t="shared" si="28"/>
        <v>9.8981161591374864E-2</v>
      </c>
      <c r="L177">
        <f t="shared" ca="1" si="29"/>
        <v>6.729650972947816</v>
      </c>
      <c r="N177">
        <v>0.37016389734015454</v>
      </c>
      <c r="O177" s="4">
        <f t="shared" si="24"/>
        <v>176</v>
      </c>
      <c r="P177" s="4">
        <f t="shared" si="25"/>
        <v>9.7435897435897423E-2</v>
      </c>
    </row>
    <row r="178" spans="1:16">
      <c r="A178" s="9">
        <v>1734</v>
      </c>
      <c r="B178">
        <v>0.376</v>
      </c>
      <c r="C178" s="9">
        <v>7</v>
      </c>
      <c r="E178" s="4">
        <f t="shared" si="26"/>
        <v>177</v>
      </c>
      <c r="F178" s="4">
        <f t="shared" si="27"/>
        <v>9.2307692307692313E-2</v>
      </c>
      <c r="G178" s="3">
        <f t="shared" si="28"/>
        <v>9.0821455378430241E-2</v>
      </c>
      <c r="L178">
        <f t="shared" ca="1" si="29"/>
        <v>2.6461639695341033</v>
      </c>
      <c r="N178">
        <v>0.34386179023409524</v>
      </c>
      <c r="O178" s="4">
        <f t="shared" si="24"/>
        <v>177</v>
      </c>
      <c r="P178" s="4">
        <f t="shared" si="25"/>
        <v>9.2307692307692313E-2</v>
      </c>
    </row>
    <row r="179" spans="1:16">
      <c r="A179" s="9">
        <v>1547</v>
      </c>
      <c r="B179">
        <v>0.375</v>
      </c>
      <c r="C179" s="9">
        <v>5</v>
      </c>
      <c r="E179" s="4">
        <f t="shared" si="26"/>
        <v>178</v>
      </c>
      <c r="F179" s="4">
        <f t="shared" si="27"/>
        <v>8.7179487179487203E-2</v>
      </c>
      <c r="G179" s="3">
        <f t="shared" si="28"/>
        <v>9.0620262822526707E-2</v>
      </c>
      <c r="L179">
        <f t="shared" ca="1" si="29"/>
        <v>4.7358505516185598</v>
      </c>
      <c r="N179">
        <v>0.31811630328765361</v>
      </c>
      <c r="O179" s="4">
        <f t="shared" si="24"/>
        <v>178</v>
      </c>
      <c r="P179" s="4">
        <f t="shared" si="25"/>
        <v>8.7179487179487203E-2</v>
      </c>
    </row>
    <row r="180" spans="1:16">
      <c r="A180" s="9">
        <v>1816</v>
      </c>
      <c r="B180">
        <v>0.373</v>
      </c>
      <c r="C180" s="9">
        <v>4</v>
      </c>
      <c r="E180" s="4">
        <f t="shared" si="26"/>
        <v>179</v>
      </c>
      <c r="F180" s="4">
        <f t="shared" si="27"/>
        <v>8.2051282051282093E-2</v>
      </c>
      <c r="G180" s="3">
        <f t="shared" si="28"/>
        <v>9.0217556225230353E-2</v>
      </c>
      <c r="L180">
        <f t="shared" ca="1" si="29"/>
        <v>7.0777435836764528</v>
      </c>
      <c r="N180">
        <v>0.28523873457875937</v>
      </c>
      <c r="O180" s="4">
        <f t="shared" si="24"/>
        <v>179</v>
      </c>
      <c r="P180" s="4">
        <f t="shared" si="25"/>
        <v>8.2051282051282093E-2</v>
      </c>
    </row>
    <row r="181" spans="1:16">
      <c r="A181" s="9">
        <v>1433</v>
      </c>
      <c r="B181">
        <v>0.371</v>
      </c>
      <c r="C181" s="9">
        <v>3</v>
      </c>
      <c r="E181" s="4">
        <f t="shared" si="26"/>
        <v>180</v>
      </c>
      <c r="F181" s="4">
        <f t="shared" si="27"/>
        <v>7.6923076923076872E-2</v>
      </c>
      <c r="G181" s="3">
        <f t="shared" si="28"/>
        <v>8.9814419253218661E-2</v>
      </c>
      <c r="L181">
        <f t="shared" ca="1" si="29"/>
        <v>0.58968790518419434</v>
      </c>
      <c r="N181">
        <v>0.24026939606014075</v>
      </c>
      <c r="O181" s="4">
        <f t="shared" si="24"/>
        <v>180</v>
      </c>
      <c r="P181" s="4">
        <f t="shared" si="25"/>
        <v>7.6923076923076872E-2</v>
      </c>
    </row>
    <row r="182" spans="1:16">
      <c r="A182" s="9">
        <v>1961</v>
      </c>
      <c r="B182">
        <v>0.36299999999999999</v>
      </c>
      <c r="C182" s="9">
        <v>2</v>
      </c>
      <c r="E182" s="4">
        <f t="shared" si="26"/>
        <v>181</v>
      </c>
      <c r="F182" s="4">
        <f t="shared" si="27"/>
        <v>7.1794871794871762E-2</v>
      </c>
      <c r="G182" s="3">
        <f t="shared" si="28"/>
        <v>8.8197525401465429E-2</v>
      </c>
      <c r="L182">
        <f t="shared" ca="1" si="29"/>
        <v>7.5548684274743163</v>
      </c>
      <c r="N182">
        <v>0.20610392456534926</v>
      </c>
      <c r="O182" s="4">
        <f t="shared" si="24"/>
        <v>181</v>
      </c>
      <c r="P182" s="4">
        <f t="shared" si="25"/>
        <v>7.1794871794871762E-2</v>
      </c>
    </row>
    <row r="183" spans="1:16">
      <c r="A183" s="9">
        <v>1585</v>
      </c>
      <c r="B183">
        <v>0.36</v>
      </c>
      <c r="C183" s="9">
        <v>4</v>
      </c>
      <c r="E183" s="4">
        <f t="shared" si="26"/>
        <v>182</v>
      </c>
      <c r="F183" s="4">
        <f t="shared" si="27"/>
        <v>6.6666666666666652E-2</v>
      </c>
      <c r="G183" s="3">
        <f t="shared" si="28"/>
        <v>8.7589378229400022E-2</v>
      </c>
      <c r="L183">
        <f t="shared" ca="1" si="29"/>
        <v>2.1877942770930199</v>
      </c>
      <c r="N183">
        <v>0.16573869170744093</v>
      </c>
      <c r="O183" s="4">
        <f t="shared" si="24"/>
        <v>182</v>
      </c>
      <c r="P183" s="4">
        <f t="shared" si="25"/>
        <v>6.6666666666666652E-2</v>
      </c>
    </row>
    <row r="184" spans="1:16">
      <c r="A184" s="9">
        <v>1974</v>
      </c>
      <c r="B184">
        <v>0.34200000000000003</v>
      </c>
      <c r="C184" s="9">
        <v>3</v>
      </c>
      <c r="E184" s="4">
        <f t="shared" si="26"/>
        <v>183</v>
      </c>
      <c r="F184" s="4">
        <f t="shared" si="27"/>
        <v>6.1538461538461542E-2</v>
      </c>
      <c r="G184" s="3">
        <f t="shared" si="28"/>
        <v>8.3919225000716441E-2</v>
      </c>
      <c r="L184">
        <f t="shared" ca="1" si="29"/>
        <v>1.1025238661542924</v>
      </c>
      <c r="N184">
        <v>0.16423390738301175</v>
      </c>
      <c r="O184" s="4">
        <f t="shared" si="24"/>
        <v>183</v>
      </c>
      <c r="P184" s="4">
        <f t="shared" si="25"/>
        <v>6.1538461538461542E-2</v>
      </c>
    </row>
    <row r="185" spans="1:16">
      <c r="A185" s="9">
        <v>1442</v>
      </c>
      <c r="B185">
        <v>0.32400000000000001</v>
      </c>
      <c r="C185" s="9">
        <v>2</v>
      </c>
      <c r="E185" s="4">
        <f t="shared" si="26"/>
        <v>184</v>
      </c>
      <c r="F185" s="4">
        <f t="shared" si="27"/>
        <v>5.6410256410256432E-2</v>
      </c>
      <c r="G185" s="3">
        <f t="shared" si="28"/>
        <v>8.0211335989767762E-2</v>
      </c>
      <c r="L185">
        <f t="shared" ca="1" si="29"/>
        <v>9.2897831173806118</v>
      </c>
      <c r="N185">
        <v>0.15318307161086087</v>
      </c>
      <c r="O185" s="4">
        <f t="shared" si="24"/>
        <v>184</v>
      </c>
      <c r="P185" s="4">
        <f t="shared" si="25"/>
        <v>5.6410256410256432E-2</v>
      </c>
    </row>
    <row r="186" spans="1:16">
      <c r="A186" s="9">
        <v>1661</v>
      </c>
      <c r="B186">
        <v>0.312</v>
      </c>
      <c r="C186" s="9">
        <v>3</v>
      </c>
      <c r="E186" s="4">
        <f t="shared" si="26"/>
        <v>185</v>
      </c>
      <c r="F186" s="4">
        <f t="shared" si="27"/>
        <v>5.1282051282051322E-2</v>
      </c>
      <c r="G186" s="3">
        <f t="shared" si="28"/>
        <v>7.7717504699759216E-2</v>
      </c>
      <c r="L186">
        <f t="shared" ca="1" si="29"/>
        <v>22.986489624176158</v>
      </c>
      <c r="N186">
        <v>0.13248755106438187</v>
      </c>
      <c r="O186" s="4">
        <f t="shared" si="24"/>
        <v>185</v>
      </c>
      <c r="P186" s="4">
        <f t="shared" si="25"/>
        <v>5.1282051282051322E-2</v>
      </c>
    </row>
    <row r="187" spans="1:16">
      <c r="A187" s="9">
        <v>1899</v>
      </c>
      <c r="B187">
        <v>0.28499999999999998</v>
      </c>
      <c r="C187" s="9">
        <v>6</v>
      </c>
      <c r="E187" s="4">
        <f t="shared" si="26"/>
        <v>186</v>
      </c>
      <c r="F187" s="4">
        <f t="shared" si="27"/>
        <v>4.6153846153846101E-2</v>
      </c>
      <c r="G187" s="3">
        <f t="shared" si="28"/>
        <v>7.2038622996592902E-2</v>
      </c>
      <c r="L187">
        <f t="shared" ca="1" si="29"/>
        <v>3.1668260817451754</v>
      </c>
      <c r="N187">
        <v>0.12740619901016476</v>
      </c>
      <c r="O187" s="4">
        <f t="shared" si="24"/>
        <v>186</v>
      </c>
      <c r="P187" s="4">
        <f t="shared" si="25"/>
        <v>4.6153846153846101E-2</v>
      </c>
    </row>
    <row r="188" spans="1:16">
      <c r="A188" s="9">
        <v>1948</v>
      </c>
      <c r="B188">
        <v>0.246</v>
      </c>
      <c r="C188" s="9">
        <v>5</v>
      </c>
      <c r="E188" s="4">
        <f t="shared" si="26"/>
        <v>187</v>
      </c>
      <c r="F188" s="4">
        <f t="shared" si="27"/>
        <v>4.1025641025640991E-2</v>
      </c>
      <c r="G188" s="3">
        <f t="shared" si="28"/>
        <v>6.3655545042087341E-2</v>
      </c>
      <c r="L188">
        <f t="shared" ca="1" si="29"/>
        <v>9.0470159840339761</v>
      </c>
      <c r="N188">
        <v>0.11983398883361493</v>
      </c>
      <c r="O188" s="4">
        <f t="shared" si="24"/>
        <v>187</v>
      </c>
      <c r="P188" s="4">
        <f t="shared" si="25"/>
        <v>4.1025641025640991E-2</v>
      </c>
    </row>
    <row r="189" spans="1:16">
      <c r="A189" s="9">
        <v>1931</v>
      </c>
      <c r="B189">
        <v>0.20899999999999999</v>
      </c>
      <c r="C189" s="9">
        <v>6</v>
      </c>
      <c r="E189" s="4">
        <f t="shared" si="26"/>
        <v>188</v>
      </c>
      <c r="F189" s="4">
        <f t="shared" si="27"/>
        <v>3.5897435897435881E-2</v>
      </c>
      <c r="G189" s="3">
        <f t="shared" si="28"/>
        <v>5.5479070146439935E-2</v>
      </c>
      <c r="L189">
        <f t="shared" ca="1" si="29"/>
        <v>4.3570978933495255</v>
      </c>
      <c r="N189">
        <v>0.10688616311409227</v>
      </c>
      <c r="O189" s="4">
        <f t="shared" si="24"/>
        <v>188</v>
      </c>
      <c r="P189" s="4">
        <f t="shared" si="25"/>
        <v>3.5897435897435881E-2</v>
      </c>
    </row>
    <row r="190" spans="1:16">
      <c r="A190" s="9">
        <v>1272</v>
      </c>
      <c r="B190">
        <v>0.192</v>
      </c>
      <c r="C190" s="9">
        <v>3</v>
      </c>
      <c r="E190" s="4">
        <f t="shared" si="26"/>
        <v>189</v>
      </c>
      <c r="F190" s="4">
        <f t="shared" si="27"/>
        <v>3.0769230769230771E-2</v>
      </c>
      <c r="G190" s="3">
        <f t="shared" si="28"/>
        <v>5.1639381671745442E-2</v>
      </c>
      <c r="L190">
        <f t="shared" ca="1" si="29"/>
        <v>8.2221090088264965</v>
      </c>
      <c r="N190">
        <v>9.9872290552312892E-2</v>
      </c>
      <c r="O190" s="4">
        <f t="shared" si="24"/>
        <v>189</v>
      </c>
      <c r="P190" s="4">
        <f t="shared" si="25"/>
        <v>3.0769230769230771E-2</v>
      </c>
    </row>
    <row r="191" spans="1:16">
      <c r="A191" s="9">
        <v>1693</v>
      </c>
      <c r="B191">
        <v>0.14599999999999999</v>
      </c>
      <c r="C191" s="9">
        <v>6</v>
      </c>
      <c r="E191" s="4">
        <f t="shared" si="26"/>
        <v>190</v>
      </c>
      <c r="F191" s="4">
        <f t="shared" si="27"/>
        <v>2.5641025641025661E-2</v>
      </c>
      <c r="G191" s="3">
        <f t="shared" si="28"/>
        <v>4.0939659142793308E-2</v>
      </c>
      <c r="L191">
        <f t="shared" ca="1" si="29"/>
        <v>0.26759998195896917</v>
      </c>
      <c r="N191">
        <v>8.5643062613222465E-2</v>
      </c>
      <c r="O191" s="4">
        <f t="shared" si="24"/>
        <v>190</v>
      </c>
      <c r="P191" s="4">
        <f t="shared" si="25"/>
        <v>2.5641025641025661E-2</v>
      </c>
    </row>
    <row r="192" spans="1:16">
      <c r="A192" s="9">
        <v>1325</v>
      </c>
      <c r="B192">
        <v>0.13800000000000001</v>
      </c>
      <c r="C192" s="9">
        <v>3</v>
      </c>
      <c r="E192" s="4">
        <f t="shared" si="26"/>
        <v>191</v>
      </c>
      <c r="F192" s="4">
        <f t="shared" si="27"/>
        <v>2.0512820512820551E-2</v>
      </c>
      <c r="G192" s="3">
        <f t="shared" si="28"/>
        <v>3.9025698822403809E-2</v>
      </c>
      <c r="L192">
        <f t="shared" ca="1" si="29"/>
        <v>2.4459475047985704</v>
      </c>
      <c r="N192">
        <v>7.6997057274247938E-2</v>
      </c>
      <c r="O192" s="4">
        <f t="shared" si="24"/>
        <v>191</v>
      </c>
      <c r="P192" s="4">
        <f t="shared" si="25"/>
        <v>2.0512820512820551E-2</v>
      </c>
    </row>
    <row r="193" spans="1:16">
      <c r="A193" s="9">
        <v>1066</v>
      </c>
      <c r="B193">
        <v>0.13200000000000001</v>
      </c>
      <c r="C193" s="9">
        <v>5</v>
      </c>
      <c r="E193" s="4">
        <f t="shared" si="26"/>
        <v>192</v>
      </c>
      <c r="F193" s="4">
        <f t="shared" si="27"/>
        <v>1.538461538461533E-2</v>
      </c>
      <c r="G193" s="3">
        <f t="shared" si="28"/>
        <v>3.75784381552383E-2</v>
      </c>
      <c r="L193">
        <f t="shared" ca="1" si="29"/>
        <v>5.4959789822768155</v>
      </c>
      <c r="N193">
        <v>4.6184327436427183E-2</v>
      </c>
      <c r="O193" s="4">
        <f t="shared" si="24"/>
        <v>192</v>
      </c>
      <c r="P193" s="4">
        <f t="shared" si="25"/>
        <v>1.538461538461533E-2</v>
      </c>
    </row>
    <row r="194" spans="1:16">
      <c r="A194" s="9">
        <v>1943</v>
      </c>
      <c r="B194">
        <v>0.10199999999999999</v>
      </c>
      <c r="C194" s="9">
        <v>7</v>
      </c>
      <c r="E194" s="4">
        <f t="shared" si="26"/>
        <v>193</v>
      </c>
      <c r="F194" s="4">
        <f>1-E194/$D$2</f>
        <v>1.025641025641022E-2</v>
      </c>
      <c r="G194" s="3">
        <f t="shared" si="28"/>
        <v>3.0171309464656001E-2</v>
      </c>
      <c r="L194">
        <f t="shared" ca="1" si="29"/>
        <v>2.2956161522162377</v>
      </c>
      <c r="N194">
        <v>3.7254762251479751E-2</v>
      </c>
      <c r="O194" s="4">
        <f t="shared" si="24"/>
        <v>193</v>
      </c>
      <c r="P194" s="4">
        <f t="shared" si="25"/>
        <v>1.025641025641022E-2</v>
      </c>
    </row>
    <row r="195" spans="1:16">
      <c r="A195" s="9">
        <v>1492</v>
      </c>
      <c r="B195">
        <v>8.9999999999999993E-3</v>
      </c>
      <c r="C195" s="9">
        <v>4</v>
      </c>
      <c r="E195" s="4">
        <f t="shared" si="26"/>
        <v>194</v>
      </c>
      <c r="F195" s="4">
        <f>1-E195/$D$2</f>
        <v>5.12820512820511E-3</v>
      </c>
      <c r="G195" s="3">
        <f t="shared" si="28"/>
        <v>3.7653547085762049E-3</v>
      </c>
      <c r="L195">
        <f t="shared" ca="1" si="29"/>
        <v>10.528106497867988</v>
      </c>
      <c r="N195">
        <v>2.9446282371727438E-2</v>
      </c>
      <c r="O195" s="4">
        <f t="shared" ref="O195:O196" si="30">RANK(N195,$N$2:$N$196)</f>
        <v>194</v>
      </c>
      <c r="P195" s="4">
        <f t="shared" ref="P195:P196" si="31">1-O195/$D$2</f>
        <v>5.12820512820511E-3</v>
      </c>
    </row>
    <row r="196" spans="1:16">
      <c r="A196" s="9">
        <v>1483</v>
      </c>
      <c r="B196">
        <v>7.0000000000000001E-3</v>
      </c>
      <c r="C196" s="9">
        <v>2</v>
      </c>
      <c r="E196" s="4">
        <f t="shared" si="26"/>
        <v>195</v>
      </c>
      <c r="F196" s="4">
        <f>1-E196/$D$2</f>
        <v>0</v>
      </c>
      <c r="G196" s="3">
        <f t="shared" si="28"/>
        <v>3.0339287846475041E-3</v>
      </c>
      <c r="L196">
        <f t="shared" ca="1" si="29"/>
        <v>1.0863223706403047</v>
      </c>
      <c r="N196">
        <v>4.9970519667662788E-3</v>
      </c>
      <c r="O196" s="4">
        <f t="shared" si="30"/>
        <v>195</v>
      </c>
      <c r="P196" s="4">
        <f t="shared" si="31"/>
        <v>0</v>
      </c>
    </row>
  </sheetData>
  <sortState ref="N1:N196">
    <sortCondition descending="1" ref="N1"/>
  </sortState>
  <pageMargins left="0.74791666666666667" right="0.74791666666666667" top="0.98402777777777772" bottom="0.98402777777777772" header="0.51180555555555551" footer="0.51180555555555551"/>
  <pageSetup firstPageNumber="0" orientation="portrait" horizontalDpi="300" verticalDpi="300"/>
  <headerFooter alignWithMargins="0"/>
</worksheet>
</file>

<file path=xl/worksheets/sheet10.xml><?xml version="1.0" encoding="utf-8"?>
<worksheet xmlns="http://schemas.openxmlformats.org/spreadsheetml/2006/main" xmlns:r="http://schemas.openxmlformats.org/officeDocument/2006/relationships">
  <sheetPr codeName="Sheet12"/>
  <dimension ref="A1:L198"/>
  <sheetViews>
    <sheetView workbookViewId="0">
      <selection activeCell="N8" sqref="N8"/>
    </sheetView>
  </sheetViews>
  <sheetFormatPr defaultRowHeight="12.75"/>
  <cols>
    <col min="2" max="2" width="12.28515625" customWidth="1"/>
    <col min="3" max="3" width="16" customWidth="1"/>
    <col min="4" max="4" width="5.7109375" customWidth="1"/>
    <col min="6" max="6" width="18.42578125" customWidth="1"/>
    <col min="7" max="7" width="16.85546875" style="3" customWidth="1"/>
    <col min="12" max="12" width="12.42578125" bestFit="1" customWidth="1"/>
  </cols>
  <sheetData>
    <row r="1" spans="1:12" ht="38.25">
      <c r="A1" s="34" t="s">
        <v>42</v>
      </c>
      <c r="B1" s="43" t="s">
        <v>62</v>
      </c>
      <c r="C1" s="44" t="s">
        <v>40</v>
      </c>
      <c r="D1" s="43" t="s">
        <v>56</v>
      </c>
      <c r="E1" s="43" t="s">
        <v>8</v>
      </c>
      <c r="F1" s="41" t="s">
        <v>63</v>
      </c>
      <c r="G1" s="42" t="s">
        <v>58</v>
      </c>
      <c r="H1" s="43" t="s">
        <v>64</v>
      </c>
      <c r="I1" t="s">
        <v>73</v>
      </c>
      <c r="J1" s="72" t="s">
        <v>55</v>
      </c>
      <c r="K1" s="72" t="s">
        <v>53</v>
      </c>
      <c r="L1" s="72"/>
    </row>
    <row r="2" spans="1:12">
      <c r="A2" s="9">
        <v>1148</v>
      </c>
      <c r="B2">
        <v>17</v>
      </c>
      <c r="C2" s="9">
        <v>11</v>
      </c>
      <c r="D2">
        <v>195</v>
      </c>
      <c r="E2" s="4">
        <f t="shared" ref="E2:E33" si="0">RANK(B2,$B$2:$B$196)</f>
        <v>1</v>
      </c>
      <c r="F2" s="4">
        <f t="shared" ref="F2:F33" si="1">1-E2/$D$2</f>
        <v>0.99487179487179489</v>
      </c>
      <c r="G2" s="3">
        <f t="shared" ref="G2:G33" si="2">EXPONDIST(B2,$H$2,TRUE)</f>
        <v>0.99888622485215517</v>
      </c>
      <c r="H2">
        <v>0.4</v>
      </c>
      <c r="I2">
        <v>0.81981162974598909</v>
      </c>
      <c r="J2">
        <v>2.8164655037285544</v>
      </c>
      <c r="K2">
        <f>GAMMADIST(B2,$I$2,$J$2,TRUE)</f>
        <v>0.99852489129987776</v>
      </c>
      <c r="L2">
        <f>(F2-K2)^2</f>
        <v>1.3345113512871818E-5</v>
      </c>
    </row>
    <row r="3" spans="1:12">
      <c r="A3" s="9">
        <v>1069</v>
      </c>
      <c r="B3">
        <v>14</v>
      </c>
      <c r="C3" s="9">
        <v>3</v>
      </c>
      <c r="E3" s="4">
        <f t="shared" si="0"/>
        <v>2</v>
      </c>
      <c r="F3" s="4">
        <f t="shared" si="1"/>
        <v>0.98974358974358978</v>
      </c>
      <c r="G3" s="3">
        <f t="shared" si="2"/>
        <v>0.99630213628351705</v>
      </c>
      <c r="K3">
        <f t="shared" ref="K3:K66" si="3">GAMMADIST(B3,$I$2,$J$2,TRUE)</f>
        <v>0.99558879391623878</v>
      </c>
      <c r="L3">
        <f t="shared" ref="L3:L66" si="4">(F3-K3)^2</f>
        <v>3.4166411819953265E-5</v>
      </c>
    </row>
    <row r="4" spans="1:12">
      <c r="A4" s="9">
        <v>1003</v>
      </c>
      <c r="B4">
        <v>14</v>
      </c>
      <c r="C4" s="9">
        <v>5</v>
      </c>
      <c r="E4" s="4">
        <f t="shared" si="0"/>
        <v>2</v>
      </c>
      <c r="F4" s="4">
        <f t="shared" si="1"/>
        <v>0.98974358974358978</v>
      </c>
      <c r="G4" s="3">
        <f t="shared" si="2"/>
        <v>0.99630213628351705</v>
      </c>
      <c r="K4">
        <f t="shared" si="3"/>
        <v>0.99558879391623878</v>
      </c>
      <c r="L4">
        <f t="shared" si="4"/>
        <v>3.4166411819953265E-5</v>
      </c>
    </row>
    <row r="5" spans="1:12">
      <c r="A5" s="9">
        <v>1121</v>
      </c>
      <c r="B5">
        <v>14</v>
      </c>
      <c r="C5" s="9">
        <v>6</v>
      </c>
      <c r="E5" s="4">
        <f t="shared" si="0"/>
        <v>2</v>
      </c>
      <c r="F5" s="4">
        <f t="shared" si="1"/>
        <v>0.98974358974358978</v>
      </c>
      <c r="G5" s="3">
        <f t="shared" si="2"/>
        <v>0.99630213628351705</v>
      </c>
      <c r="K5">
        <f t="shared" si="3"/>
        <v>0.99558879391623878</v>
      </c>
      <c r="L5">
        <f t="shared" si="4"/>
        <v>3.4166411819953265E-5</v>
      </c>
    </row>
    <row r="6" spans="1:12">
      <c r="A6" s="9">
        <v>1207</v>
      </c>
      <c r="B6">
        <v>11</v>
      </c>
      <c r="C6" s="9">
        <v>9</v>
      </c>
      <c r="E6" s="4">
        <f t="shared" si="0"/>
        <v>5</v>
      </c>
      <c r="F6" s="4">
        <f t="shared" si="1"/>
        <v>0.97435897435897434</v>
      </c>
      <c r="G6" s="3">
        <f t="shared" si="2"/>
        <v>0.98772266009693155</v>
      </c>
      <c r="K6">
        <f t="shared" si="3"/>
        <v>0.98672543480496089</v>
      </c>
      <c r="L6">
        <f t="shared" si="4"/>
        <v>1.5292934396214983E-4</v>
      </c>
    </row>
    <row r="7" spans="1:12">
      <c r="A7" s="9">
        <v>1453</v>
      </c>
      <c r="B7">
        <v>11</v>
      </c>
      <c r="C7" s="9">
        <v>3</v>
      </c>
      <c r="E7" s="4">
        <f t="shared" si="0"/>
        <v>5</v>
      </c>
      <c r="F7" s="4">
        <f t="shared" si="1"/>
        <v>0.97435897435897434</v>
      </c>
      <c r="G7" s="3">
        <f t="shared" si="2"/>
        <v>0.98772266009693155</v>
      </c>
      <c r="K7">
        <f t="shared" si="3"/>
        <v>0.98672543480496089</v>
      </c>
      <c r="L7">
        <f t="shared" si="4"/>
        <v>1.5292934396214983E-4</v>
      </c>
    </row>
    <row r="8" spans="1:12">
      <c r="A8" s="9">
        <v>1137</v>
      </c>
      <c r="B8">
        <v>10</v>
      </c>
      <c r="C8" s="9">
        <v>16</v>
      </c>
      <c r="E8" s="4">
        <f t="shared" si="0"/>
        <v>7</v>
      </c>
      <c r="F8" s="4">
        <f t="shared" si="1"/>
        <v>0.96410256410256412</v>
      </c>
      <c r="G8" s="3">
        <f>EXPONDIST(B8,$H$2,TRUE)</f>
        <v>0.98168436111126578</v>
      </c>
      <c r="K8">
        <f t="shared" si="3"/>
        <v>0.98079833579356512</v>
      </c>
      <c r="L8">
        <f t="shared" si="4"/>
        <v>2.7874879235803053E-4</v>
      </c>
    </row>
    <row r="9" spans="1:12">
      <c r="A9" s="9">
        <v>1566</v>
      </c>
      <c r="B9">
        <v>9</v>
      </c>
      <c r="C9" s="9">
        <v>3</v>
      </c>
      <c r="E9" s="4">
        <f t="shared" si="0"/>
        <v>8</v>
      </c>
      <c r="F9" s="4">
        <f t="shared" si="1"/>
        <v>0.95897435897435901</v>
      </c>
      <c r="G9" s="3">
        <f t="shared" si="2"/>
        <v>0.97267627755270747</v>
      </c>
      <c r="K9">
        <f t="shared" si="3"/>
        <v>0.97219030800524564</v>
      </c>
      <c r="L9">
        <f t="shared" si="4"/>
        <v>1.7466130878699329E-4</v>
      </c>
    </row>
    <row r="10" spans="1:12">
      <c r="A10" s="9">
        <v>1750</v>
      </c>
      <c r="B10">
        <v>8</v>
      </c>
      <c r="C10" s="9">
        <v>9</v>
      </c>
      <c r="E10" s="4">
        <f t="shared" si="0"/>
        <v>9</v>
      </c>
      <c r="F10" s="4">
        <f t="shared" si="1"/>
        <v>0.95384615384615379</v>
      </c>
      <c r="G10" s="3">
        <f t="shared" si="2"/>
        <v>0.95923779602163384</v>
      </c>
      <c r="K10">
        <f t="shared" si="3"/>
        <v>0.95966335984163786</v>
      </c>
      <c r="L10">
        <f t="shared" si="4"/>
        <v>3.3839885593895877E-5</v>
      </c>
    </row>
    <row r="11" spans="1:12">
      <c r="A11" s="9">
        <v>1038</v>
      </c>
      <c r="B11">
        <v>8</v>
      </c>
      <c r="C11" s="9">
        <v>6</v>
      </c>
      <c r="E11" s="4">
        <f t="shared" si="0"/>
        <v>9</v>
      </c>
      <c r="F11" s="4">
        <f t="shared" si="1"/>
        <v>0.95384615384615379</v>
      </c>
      <c r="G11" s="3">
        <f t="shared" si="2"/>
        <v>0.95923779602163384</v>
      </c>
      <c r="K11">
        <f t="shared" si="3"/>
        <v>0.95966335984163786</v>
      </c>
      <c r="L11">
        <f t="shared" si="4"/>
        <v>3.3839885593895877E-5</v>
      </c>
    </row>
    <row r="12" spans="1:12">
      <c r="A12" s="9">
        <v>1244</v>
      </c>
      <c r="B12">
        <v>8</v>
      </c>
      <c r="C12" s="9">
        <v>8</v>
      </c>
      <c r="E12" s="4">
        <f t="shared" si="0"/>
        <v>9</v>
      </c>
      <c r="F12" s="4">
        <f t="shared" si="1"/>
        <v>0.95384615384615379</v>
      </c>
      <c r="G12" s="3">
        <f t="shared" si="2"/>
        <v>0.95923779602163384</v>
      </c>
      <c r="K12">
        <f t="shared" si="3"/>
        <v>0.95966335984163786</v>
      </c>
      <c r="L12">
        <f t="shared" si="4"/>
        <v>3.3839885593895877E-5</v>
      </c>
    </row>
    <row r="13" spans="1:12">
      <c r="A13" s="9">
        <v>1641</v>
      </c>
      <c r="B13">
        <v>8</v>
      </c>
      <c r="C13" s="9">
        <v>3</v>
      </c>
      <c r="E13" s="4">
        <f t="shared" si="0"/>
        <v>9</v>
      </c>
      <c r="F13" s="4">
        <f t="shared" si="1"/>
        <v>0.95384615384615379</v>
      </c>
      <c r="G13" s="3">
        <f t="shared" si="2"/>
        <v>0.95923779602163384</v>
      </c>
      <c r="K13">
        <f t="shared" si="3"/>
        <v>0.95966335984163786</v>
      </c>
      <c r="L13">
        <f t="shared" si="4"/>
        <v>3.3839885593895877E-5</v>
      </c>
    </row>
    <row r="14" spans="1:12">
      <c r="A14" s="9">
        <v>1198</v>
      </c>
      <c r="B14">
        <v>7</v>
      </c>
      <c r="C14" s="9">
        <v>6</v>
      </c>
      <c r="E14" s="4">
        <f t="shared" si="0"/>
        <v>13</v>
      </c>
      <c r="F14" s="4">
        <f t="shared" si="1"/>
        <v>0.93333333333333335</v>
      </c>
      <c r="G14" s="3">
        <f t="shared" si="2"/>
        <v>0.93918993737478207</v>
      </c>
      <c r="K14">
        <f t="shared" si="3"/>
        <v>0.94138698713725888</v>
      </c>
      <c r="L14">
        <f t="shared" si="4"/>
        <v>6.486133959348418E-5</v>
      </c>
    </row>
    <row r="15" spans="1:12">
      <c r="A15" s="9">
        <v>1772</v>
      </c>
      <c r="B15">
        <v>7</v>
      </c>
      <c r="C15" s="9">
        <v>9</v>
      </c>
      <c r="E15" s="4">
        <f t="shared" si="0"/>
        <v>13</v>
      </c>
      <c r="F15" s="4">
        <f t="shared" si="1"/>
        <v>0.93333333333333335</v>
      </c>
      <c r="G15" s="3">
        <f t="shared" si="2"/>
        <v>0.93918993737478207</v>
      </c>
      <c r="K15">
        <f t="shared" si="3"/>
        <v>0.94138698713725888</v>
      </c>
      <c r="L15">
        <f t="shared" si="4"/>
        <v>6.486133959348418E-5</v>
      </c>
    </row>
    <row r="16" spans="1:12">
      <c r="A16" s="9">
        <v>1763</v>
      </c>
      <c r="B16">
        <v>7</v>
      </c>
      <c r="C16" s="9">
        <v>13</v>
      </c>
      <c r="E16" s="4">
        <f t="shared" si="0"/>
        <v>13</v>
      </c>
      <c r="F16" s="4">
        <f t="shared" si="1"/>
        <v>0.93333333333333335</v>
      </c>
      <c r="G16" s="3">
        <f t="shared" si="2"/>
        <v>0.93918993737478207</v>
      </c>
      <c r="K16">
        <f t="shared" si="3"/>
        <v>0.94138698713725888</v>
      </c>
      <c r="L16">
        <f t="shared" si="4"/>
        <v>6.486133959348418E-5</v>
      </c>
    </row>
    <row r="17" spans="1:12">
      <c r="A17" s="9">
        <v>1349</v>
      </c>
      <c r="B17">
        <v>7</v>
      </c>
      <c r="C17" s="9">
        <v>4</v>
      </c>
      <c r="E17" s="4">
        <f t="shared" si="0"/>
        <v>13</v>
      </c>
      <c r="F17" s="4">
        <f t="shared" si="1"/>
        <v>0.93333333333333335</v>
      </c>
      <c r="G17" s="3">
        <f t="shared" si="2"/>
        <v>0.93918993737478207</v>
      </c>
      <c r="K17">
        <f t="shared" si="3"/>
        <v>0.94138698713725888</v>
      </c>
      <c r="L17">
        <f t="shared" si="4"/>
        <v>6.486133959348418E-5</v>
      </c>
    </row>
    <row r="18" spans="1:12">
      <c r="A18" s="9">
        <v>1501</v>
      </c>
      <c r="B18">
        <v>7</v>
      </c>
      <c r="C18" s="9">
        <v>5</v>
      </c>
      <c r="E18" s="4">
        <f t="shared" si="0"/>
        <v>13</v>
      </c>
      <c r="F18" s="4">
        <f t="shared" si="1"/>
        <v>0.93333333333333335</v>
      </c>
      <c r="G18" s="3">
        <f t="shared" si="2"/>
        <v>0.93918993737478207</v>
      </c>
      <c r="K18">
        <f t="shared" si="3"/>
        <v>0.94138698713725888</v>
      </c>
      <c r="L18">
        <f t="shared" si="4"/>
        <v>6.486133959348418E-5</v>
      </c>
    </row>
    <row r="19" spans="1:12">
      <c r="A19" s="9">
        <v>1236</v>
      </c>
      <c r="B19">
        <v>7</v>
      </c>
      <c r="C19" s="9">
        <v>7</v>
      </c>
      <c r="E19" s="4">
        <f t="shared" si="0"/>
        <v>13</v>
      </c>
      <c r="F19" s="4">
        <f t="shared" si="1"/>
        <v>0.93333333333333335</v>
      </c>
      <c r="G19" s="3">
        <f t="shared" si="2"/>
        <v>0.93918993737478207</v>
      </c>
      <c r="K19">
        <f t="shared" si="3"/>
        <v>0.94138698713725888</v>
      </c>
      <c r="L19">
        <f t="shared" si="4"/>
        <v>6.486133959348418E-5</v>
      </c>
    </row>
    <row r="20" spans="1:12">
      <c r="A20" s="9">
        <v>1951</v>
      </c>
      <c r="B20">
        <v>6</v>
      </c>
      <c r="C20" s="9">
        <v>3</v>
      </c>
      <c r="E20" s="4">
        <f t="shared" si="0"/>
        <v>19</v>
      </c>
      <c r="F20" s="4">
        <f t="shared" si="1"/>
        <v>0.90256410256410258</v>
      </c>
      <c r="G20" s="3">
        <f t="shared" si="2"/>
        <v>0.90928204671058754</v>
      </c>
      <c r="K20">
        <f t="shared" si="3"/>
        <v>0.91463493880472779</v>
      </c>
      <c r="L20">
        <f t="shared" si="4"/>
        <v>1.4570508754799109E-4</v>
      </c>
    </row>
    <row r="21" spans="1:12">
      <c r="A21" s="9">
        <v>1859</v>
      </c>
      <c r="B21">
        <v>6</v>
      </c>
      <c r="C21" s="9">
        <v>5</v>
      </c>
      <c r="E21" s="4">
        <f t="shared" si="0"/>
        <v>19</v>
      </c>
      <c r="F21" s="4">
        <f t="shared" si="1"/>
        <v>0.90256410256410258</v>
      </c>
      <c r="G21" s="3">
        <f t="shared" si="2"/>
        <v>0.90928204671058754</v>
      </c>
      <c r="K21">
        <f t="shared" si="3"/>
        <v>0.91463493880472779</v>
      </c>
      <c r="L21">
        <f t="shared" si="4"/>
        <v>1.4570508754799109E-4</v>
      </c>
    </row>
    <row r="22" spans="1:12">
      <c r="A22" s="9">
        <v>1468</v>
      </c>
      <c r="B22">
        <v>6</v>
      </c>
      <c r="C22" s="9">
        <v>15</v>
      </c>
      <c r="E22" s="4">
        <f t="shared" si="0"/>
        <v>19</v>
      </c>
      <c r="F22" s="4">
        <f t="shared" si="1"/>
        <v>0.90256410256410258</v>
      </c>
      <c r="G22" s="3">
        <f t="shared" si="2"/>
        <v>0.90928204671058754</v>
      </c>
      <c r="K22">
        <f t="shared" si="3"/>
        <v>0.91463493880472779</v>
      </c>
      <c r="L22">
        <f t="shared" si="4"/>
        <v>1.4570508754799109E-4</v>
      </c>
    </row>
    <row r="23" spans="1:12">
      <c r="A23" s="9">
        <v>1020</v>
      </c>
      <c r="B23">
        <v>6</v>
      </c>
      <c r="C23" s="9">
        <v>17</v>
      </c>
      <c r="E23" s="4">
        <f t="shared" si="0"/>
        <v>19</v>
      </c>
      <c r="F23" s="4">
        <f t="shared" si="1"/>
        <v>0.90256410256410258</v>
      </c>
      <c r="G23" s="3">
        <f t="shared" si="2"/>
        <v>0.90928204671058754</v>
      </c>
      <c r="K23">
        <f t="shared" si="3"/>
        <v>0.91463493880472779</v>
      </c>
      <c r="L23">
        <f t="shared" si="4"/>
        <v>1.4570508754799109E-4</v>
      </c>
    </row>
    <row r="24" spans="1:12">
      <c r="A24" s="9">
        <v>1107</v>
      </c>
      <c r="B24">
        <v>6</v>
      </c>
      <c r="C24" s="9">
        <v>4</v>
      </c>
      <c r="E24" s="4">
        <f t="shared" si="0"/>
        <v>19</v>
      </c>
      <c r="F24" s="4">
        <f t="shared" si="1"/>
        <v>0.90256410256410258</v>
      </c>
      <c r="G24" s="3">
        <f t="shared" si="2"/>
        <v>0.90928204671058754</v>
      </c>
      <c r="K24">
        <f t="shared" si="3"/>
        <v>0.91463493880472779</v>
      </c>
      <c r="L24">
        <f t="shared" si="4"/>
        <v>1.4570508754799109E-4</v>
      </c>
    </row>
    <row r="25" spans="1:12">
      <c r="A25" s="9">
        <v>1229</v>
      </c>
      <c r="B25">
        <v>6</v>
      </c>
      <c r="C25" s="9">
        <v>8</v>
      </c>
      <c r="E25" s="4">
        <f t="shared" si="0"/>
        <v>19</v>
      </c>
      <c r="F25" s="4">
        <f t="shared" si="1"/>
        <v>0.90256410256410258</v>
      </c>
      <c r="G25" s="3">
        <f t="shared" si="2"/>
        <v>0.90928204671058754</v>
      </c>
      <c r="K25">
        <f t="shared" si="3"/>
        <v>0.91463493880472779</v>
      </c>
      <c r="L25">
        <f t="shared" si="4"/>
        <v>1.4570508754799109E-4</v>
      </c>
    </row>
    <row r="26" spans="1:12">
      <c r="A26" s="9">
        <v>1221</v>
      </c>
      <c r="B26">
        <v>6</v>
      </c>
      <c r="C26" s="9">
        <v>14</v>
      </c>
      <c r="E26" s="4">
        <f t="shared" si="0"/>
        <v>19</v>
      </c>
      <c r="F26" s="4">
        <f t="shared" si="1"/>
        <v>0.90256410256410258</v>
      </c>
      <c r="G26" s="3">
        <f t="shared" si="2"/>
        <v>0.90928204671058754</v>
      </c>
      <c r="K26">
        <f t="shared" si="3"/>
        <v>0.91463493880472779</v>
      </c>
      <c r="L26">
        <f t="shared" si="4"/>
        <v>1.4570508754799109E-4</v>
      </c>
    </row>
    <row r="27" spans="1:12">
      <c r="A27" s="9">
        <v>1115</v>
      </c>
      <c r="B27">
        <v>5</v>
      </c>
      <c r="C27" s="9">
        <v>8</v>
      </c>
      <c r="E27" s="4">
        <f t="shared" si="0"/>
        <v>26</v>
      </c>
      <c r="F27" s="4">
        <f t="shared" si="1"/>
        <v>0.8666666666666667</v>
      </c>
      <c r="G27" s="3">
        <f t="shared" si="2"/>
        <v>0.8646647167633873</v>
      </c>
      <c r="K27">
        <f t="shared" si="3"/>
        <v>0.87530442238360262</v>
      </c>
      <c r="L27">
        <f t="shared" si="4"/>
        <v>7.4610823825459245E-5</v>
      </c>
    </row>
    <row r="28" spans="1:12">
      <c r="A28" s="9">
        <v>1047</v>
      </c>
      <c r="B28">
        <v>5</v>
      </c>
      <c r="C28" s="9">
        <v>9</v>
      </c>
      <c r="E28" s="4">
        <f t="shared" si="0"/>
        <v>26</v>
      </c>
      <c r="F28" s="4">
        <f t="shared" si="1"/>
        <v>0.8666666666666667</v>
      </c>
      <c r="G28" s="3">
        <f t="shared" si="2"/>
        <v>0.8646647167633873</v>
      </c>
      <c r="K28">
        <f t="shared" si="3"/>
        <v>0.87530442238360262</v>
      </c>
      <c r="L28">
        <f t="shared" si="4"/>
        <v>7.4610823825459245E-5</v>
      </c>
    </row>
    <row r="29" spans="1:12">
      <c r="A29" s="9">
        <v>1687</v>
      </c>
      <c r="B29">
        <v>5</v>
      </c>
      <c r="C29" s="9">
        <v>3</v>
      </c>
      <c r="E29" s="4">
        <f t="shared" si="0"/>
        <v>26</v>
      </c>
      <c r="F29" s="4">
        <f t="shared" si="1"/>
        <v>0.8666666666666667</v>
      </c>
      <c r="G29" s="3">
        <f t="shared" si="2"/>
        <v>0.8646647167633873</v>
      </c>
      <c r="K29">
        <f t="shared" si="3"/>
        <v>0.87530442238360262</v>
      </c>
      <c r="L29">
        <f t="shared" si="4"/>
        <v>7.4610823825459245E-5</v>
      </c>
    </row>
    <row r="30" spans="1:12">
      <c r="A30" s="9">
        <v>1893</v>
      </c>
      <c r="B30">
        <v>5</v>
      </c>
      <c r="C30" s="9">
        <v>4</v>
      </c>
      <c r="E30" s="4">
        <f t="shared" si="0"/>
        <v>26</v>
      </c>
      <c r="F30" s="4">
        <f t="shared" si="1"/>
        <v>0.8666666666666667</v>
      </c>
      <c r="G30" s="3">
        <f t="shared" si="2"/>
        <v>0.8646647167633873</v>
      </c>
      <c r="K30">
        <f t="shared" si="3"/>
        <v>0.87530442238360262</v>
      </c>
      <c r="L30">
        <f t="shared" si="4"/>
        <v>7.4610823825459245E-5</v>
      </c>
    </row>
    <row r="31" spans="1:12">
      <c r="A31" s="9">
        <v>1183</v>
      </c>
      <c r="B31">
        <v>5</v>
      </c>
      <c r="C31" s="9">
        <v>2</v>
      </c>
      <c r="E31" s="4">
        <f t="shared" si="0"/>
        <v>26</v>
      </c>
      <c r="F31" s="4">
        <f t="shared" si="1"/>
        <v>0.8666666666666667</v>
      </c>
      <c r="G31" s="3">
        <f t="shared" si="2"/>
        <v>0.8646647167633873</v>
      </c>
      <c r="K31">
        <f t="shared" si="3"/>
        <v>0.87530442238360262</v>
      </c>
      <c r="L31">
        <f t="shared" si="4"/>
        <v>7.4610823825459245E-5</v>
      </c>
    </row>
    <row r="32" spans="1:12">
      <c r="A32" s="9">
        <v>1727</v>
      </c>
      <c r="B32">
        <v>5</v>
      </c>
      <c r="C32" s="9">
        <v>3</v>
      </c>
      <c r="E32" s="4">
        <f t="shared" si="0"/>
        <v>26</v>
      </c>
      <c r="F32" s="4">
        <f t="shared" si="1"/>
        <v>0.8666666666666667</v>
      </c>
      <c r="G32" s="3">
        <f t="shared" si="2"/>
        <v>0.8646647167633873</v>
      </c>
      <c r="K32">
        <f t="shared" si="3"/>
        <v>0.87530442238360262</v>
      </c>
      <c r="L32">
        <f t="shared" si="4"/>
        <v>7.4610823825459245E-5</v>
      </c>
    </row>
    <row r="33" spans="1:12">
      <c r="A33" s="9">
        <v>1936</v>
      </c>
      <c r="B33">
        <v>5</v>
      </c>
      <c r="C33" s="9">
        <v>2</v>
      </c>
      <c r="E33" s="4">
        <f t="shared" si="0"/>
        <v>26</v>
      </c>
      <c r="F33" s="4">
        <f t="shared" si="1"/>
        <v>0.8666666666666667</v>
      </c>
      <c r="G33" s="3">
        <f t="shared" si="2"/>
        <v>0.8646647167633873</v>
      </c>
      <c r="K33">
        <f t="shared" si="3"/>
        <v>0.87530442238360262</v>
      </c>
      <c r="L33">
        <f t="shared" si="4"/>
        <v>7.4610823825459245E-5</v>
      </c>
    </row>
    <row r="34" spans="1:12">
      <c r="A34" s="9">
        <v>1032</v>
      </c>
      <c r="B34">
        <v>5</v>
      </c>
      <c r="C34" s="9">
        <v>4</v>
      </c>
      <c r="E34" s="4">
        <f t="shared" ref="E34:E65" si="5">RANK(B34,$B$2:$B$196)</f>
        <v>26</v>
      </c>
      <c r="F34" s="4">
        <f t="shared" ref="F34:F65" si="6">1-E34/$D$2</f>
        <v>0.8666666666666667</v>
      </c>
      <c r="G34" s="3">
        <f t="shared" ref="G34:G65" si="7">EXPONDIST(B34,$H$2,TRUE)</f>
        <v>0.8646647167633873</v>
      </c>
      <c r="K34">
        <f t="shared" si="3"/>
        <v>0.87530442238360262</v>
      </c>
      <c r="L34">
        <f t="shared" si="4"/>
        <v>7.4610823825459245E-5</v>
      </c>
    </row>
    <row r="35" spans="1:12">
      <c r="A35" s="9">
        <v>1299</v>
      </c>
      <c r="B35">
        <v>5</v>
      </c>
      <c r="C35" s="9">
        <v>3</v>
      </c>
      <c r="E35" s="4">
        <f t="shared" si="5"/>
        <v>26</v>
      </c>
      <c r="F35" s="4">
        <f t="shared" si="6"/>
        <v>0.8666666666666667</v>
      </c>
      <c r="G35" s="3">
        <f t="shared" si="7"/>
        <v>0.8646647167633873</v>
      </c>
      <c r="K35">
        <f t="shared" si="3"/>
        <v>0.87530442238360262</v>
      </c>
      <c r="L35">
        <f t="shared" si="4"/>
        <v>7.4610823825459245E-5</v>
      </c>
    </row>
    <row r="36" spans="1:12">
      <c r="A36" s="9">
        <v>1597</v>
      </c>
      <c r="B36">
        <v>5</v>
      </c>
      <c r="C36" s="9">
        <v>2</v>
      </c>
      <c r="E36" s="4">
        <f t="shared" si="5"/>
        <v>26</v>
      </c>
      <c r="F36" s="4">
        <f t="shared" si="6"/>
        <v>0.8666666666666667</v>
      </c>
      <c r="G36" s="3">
        <f t="shared" si="7"/>
        <v>0.8646647167633873</v>
      </c>
      <c r="K36">
        <f t="shared" si="3"/>
        <v>0.87530442238360262</v>
      </c>
      <c r="L36">
        <f t="shared" si="4"/>
        <v>7.4610823825459245E-5</v>
      </c>
    </row>
    <row r="37" spans="1:12">
      <c r="A37" s="9">
        <v>1274</v>
      </c>
      <c r="B37">
        <v>4</v>
      </c>
      <c r="C37" s="9">
        <v>2</v>
      </c>
      <c r="E37" s="4">
        <f t="shared" si="5"/>
        <v>36</v>
      </c>
      <c r="F37" s="4">
        <f t="shared" si="6"/>
        <v>0.81538461538461537</v>
      </c>
      <c r="G37" s="3">
        <f t="shared" si="7"/>
        <v>0.79810348200534464</v>
      </c>
      <c r="K37">
        <f t="shared" si="3"/>
        <v>0.81712239238581275</v>
      </c>
      <c r="L37">
        <f t="shared" si="4"/>
        <v>3.0198689058905292E-6</v>
      </c>
    </row>
    <row r="38" spans="1:12">
      <c r="A38" s="9">
        <v>1696</v>
      </c>
      <c r="B38">
        <v>4</v>
      </c>
      <c r="C38" s="9">
        <v>3</v>
      </c>
      <c r="E38" s="4">
        <f t="shared" si="5"/>
        <v>36</v>
      </c>
      <c r="F38" s="4">
        <f t="shared" si="6"/>
        <v>0.81538461538461537</v>
      </c>
      <c r="G38" s="3">
        <f t="shared" si="7"/>
        <v>0.79810348200534464</v>
      </c>
      <c r="K38">
        <f t="shared" si="3"/>
        <v>0.81712239238581275</v>
      </c>
      <c r="L38">
        <f t="shared" si="4"/>
        <v>3.0198689058905292E-6</v>
      </c>
    </row>
    <row r="39" spans="1:12">
      <c r="A39" s="9">
        <v>1527</v>
      </c>
      <c r="B39">
        <v>4</v>
      </c>
      <c r="C39" s="9">
        <v>3</v>
      </c>
      <c r="E39" s="4">
        <f t="shared" si="5"/>
        <v>36</v>
      </c>
      <c r="F39" s="4">
        <f t="shared" si="6"/>
        <v>0.81538461538461537</v>
      </c>
      <c r="G39" s="3">
        <f t="shared" si="7"/>
        <v>0.79810348200534464</v>
      </c>
      <c r="K39">
        <f t="shared" si="3"/>
        <v>0.81712239238581275</v>
      </c>
      <c r="L39">
        <f t="shared" si="4"/>
        <v>3.0198689058905292E-6</v>
      </c>
    </row>
    <row r="40" spans="1:12">
      <c r="A40" s="9">
        <v>1291</v>
      </c>
      <c r="B40">
        <v>4</v>
      </c>
      <c r="C40" s="9">
        <v>4</v>
      </c>
      <c r="E40" s="4">
        <f t="shared" si="5"/>
        <v>36</v>
      </c>
      <c r="F40" s="4">
        <f t="shared" si="6"/>
        <v>0.81538461538461537</v>
      </c>
      <c r="G40" s="3">
        <f t="shared" si="7"/>
        <v>0.79810348200534464</v>
      </c>
      <c r="K40">
        <f t="shared" si="3"/>
        <v>0.81712239238581275</v>
      </c>
      <c r="L40">
        <f t="shared" si="4"/>
        <v>3.0198689058905292E-6</v>
      </c>
    </row>
    <row r="41" spans="1:12">
      <c r="A41" s="9">
        <v>1854</v>
      </c>
      <c r="B41">
        <v>4</v>
      </c>
      <c r="C41" s="9">
        <v>2</v>
      </c>
      <c r="E41" s="4">
        <f t="shared" si="5"/>
        <v>36</v>
      </c>
      <c r="F41" s="4">
        <f t="shared" si="6"/>
        <v>0.81538461538461537</v>
      </c>
      <c r="G41" s="3">
        <f t="shared" si="7"/>
        <v>0.79810348200534464</v>
      </c>
      <c r="K41">
        <f t="shared" si="3"/>
        <v>0.81712239238581275</v>
      </c>
      <c r="L41">
        <f t="shared" si="4"/>
        <v>3.0198689058905292E-6</v>
      </c>
    </row>
    <row r="42" spans="1:12">
      <c r="A42" s="9">
        <v>1845</v>
      </c>
      <c r="B42">
        <v>4</v>
      </c>
      <c r="C42" s="9">
        <v>4</v>
      </c>
      <c r="E42" s="4">
        <f t="shared" si="5"/>
        <v>36</v>
      </c>
      <c r="F42" s="4">
        <f t="shared" si="6"/>
        <v>0.81538461538461537</v>
      </c>
      <c r="G42" s="3">
        <f t="shared" si="7"/>
        <v>0.79810348200534464</v>
      </c>
      <c r="K42">
        <f t="shared" si="3"/>
        <v>0.81712239238581275</v>
      </c>
      <c r="L42">
        <f t="shared" si="4"/>
        <v>3.0198689058905292E-6</v>
      </c>
    </row>
    <row r="43" spans="1:12">
      <c r="A43" s="9">
        <v>1829</v>
      </c>
      <c r="B43">
        <v>4</v>
      </c>
      <c r="C43" s="9">
        <v>5</v>
      </c>
      <c r="E43" s="4">
        <f t="shared" si="5"/>
        <v>36</v>
      </c>
      <c r="F43" s="4">
        <f t="shared" si="6"/>
        <v>0.81538461538461537</v>
      </c>
      <c r="G43" s="3">
        <f t="shared" si="7"/>
        <v>0.79810348200534464</v>
      </c>
      <c r="K43">
        <f t="shared" si="3"/>
        <v>0.81712239238581275</v>
      </c>
      <c r="L43">
        <f t="shared" si="4"/>
        <v>3.0198689058905292E-6</v>
      </c>
    </row>
    <row r="44" spans="1:12">
      <c r="A44" s="9">
        <v>1369</v>
      </c>
      <c r="B44">
        <v>4</v>
      </c>
      <c r="C44" s="9">
        <v>5</v>
      </c>
      <c r="E44" s="4">
        <f t="shared" si="5"/>
        <v>36</v>
      </c>
      <c r="F44" s="4">
        <f t="shared" si="6"/>
        <v>0.81538461538461537</v>
      </c>
      <c r="G44" s="3">
        <f t="shared" si="7"/>
        <v>0.79810348200534464</v>
      </c>
      <c r="K44">
        <f t="shared" si="3"/>
        <v>0.81712239238581275</v>
      </c>
      <c r="L44">
        <f t="shared" si="4"/>
        <v>3.0198689058905292E-6</v>
      </c>
    </row>
    <row r="45" spans="1:12">
      <c r="A45" s="9">
        <v>1714</v>
      </c>
      <c r="B45">
        <v>4</v>
      </c>
      <c r="C45" s="9">
        <v>2</v>
      </c>
      <c r="E45" s="4">
        <f t="shared" si="5"/>
        <v>36</v>
      </c>
      <c r="F45" s="4">
        <f t="shared" si="6"/>
        <v>0.81538461538461537</v>
      </c>
      <c r="G45" s="3">
        <f t="shared" si="7"/>
        <v>0.79810348200534464</v>
      </c>
      <c r="K45">
        <f t="shared" si="3"/>
        <v>0.81712239238581275</v>
      </c>
      <c r="L45">
        <f t="shared" si="4"/>
        <v>3.0198689058905292E-6</v>
      </c>
    </row>
    <row r="46" spans="1:12">
      <c r="A46" s="9">
        <v>1364</v>
      </c>
      <c r="B46">
        <v>4</v>
      </c>
      <c r="C46" s="9">
        <v>4</v>
      </c>
      <c r="E46" s="4">
        <f t="shared" si="5"/>
        <v>36</v>
      </c>
      <c r="F46" s="4">
        <f t="shared" si="6"/>
        <v>0.81538461538461537</v>
      </c>
      <c r="G46" s="3">
        <f t="shared" si="7"/>
        <v>0.79810348200534464</v>
      </c>
      <c r="K46">
        <f t="shared" si="3"/>
        <v>0.81712239238581275</v>
      </c>
      <c r="L46">
        <f t="shared" si="4"/>
        <v>3.0198689058905292E-6</v>
      </c>
    </row>
    <row r="47" spans="1:12">
      <c r="A47" s="9">
        <v>1089</v>
      </c>
      <c r="B47">
        <v>4</v>
      </c>
      <c r="C47" s="9">
        <v>4</v>
      </c>
      <c r="E47" s="4">
        <f t="shared" si="5"/>
        <v>36</v>
      </c>
      <c r="F47" s="4">
        <f t="shared" si="6"/>
        <v>0.81538461538461537</v>
      </c>
      <c r="G47" s="3">
        <f t="shared" si="7"/>
        <v>0.79810348200534464</v>
      </c>
      <c r="K47">
        <f t="shared" si="3"/>
        <v>0.81712239238581275</v>
      </c>
      <c r="L47">
        <f t="shared" si="4"/>
        <v>3.0198689058905292E-6</v>
      </c>
    </row>
    <row r="48" spans="1:12">
      <c r="A48" s="9">
        <v>1305</v>
      </c>
      <c r="B48">
        <v>4</v>
      </c>
      <c r="C48" s="9">
        <v>6</v>
      </c>
      <c r="E48" s="4">
        <f t="shared" si="5"/>
        <v>36</v>
      </c>
      <c r="F48" s="4">
        <f t="shared" si="6"/>
        <v>0.81538461538461537</v>
      </c>
      <c r="G48" s="3">
        <f t="shared" si="7"/>
        <v>0.79810348200534464</v>
      </c>
      <c r="K48">
        <f t="shared" si="3"/>
        <v>0.81712239238581275</v>
      </c>
      <c r="L48">
        <f t="shared" si="4"/>
        <v>3.0198689058905292E-6</v>
      </c>
    </row>
    <row r="49" spans="1:12">
      <c r="A49" s="9">
        <v>1381</v>
      </c>
      <c r="B49">
        <v>4</v>
      </c>
      <c r="C49" s="9">
        <v>3</v>
      </c>
      <c r="E49" s="4">
        <f t="shared" si="5"/>
        <v>36</v>
      </c>
      <c r="F49" s="4">
        <f t="shared" si="6"/>
        <v>0.81538461538461537</v>
      </c>
      <c r="G49" s="3">
        <f t="shared" si="7"/>
        <v>0.79810348200534464</v>
      </c>
      <c r="K49">
        <f t="shared" si="3"/>
        <v>0.81712239238581275</v>
      </c>
      <c r="L49">
        <f t="shared" si="4"/>
        <v>3.0198689058905292E-6</v>
      </c>
    </row>
    <row r="50" spans="1:12">
      <c r="A50" s="9">
        <v>1192</v>
      </c>
      <c r="B50">
        <v>4</v>
      </c>
      <c r="C50" s="9">
        <v>9</v>
      </c>
      <c r="E50" s="4">
        <f t="shared" si="5"/>
        <v>36</v>
      </c>
      <c r="F50" s="4">
        <f t="shared" si="6"/>
        <v>0.81538461538461537</v>
      </c>
      <c r="G50" s="3">
        <f t="shared" si="7"/>
        <v>0.79810348200534464</v>
      </c>
      <c r="K50">
        <f t="shared" si="3"/>
        <v>0.81712239238581275</v>
      </c>
      <c r="L50">
        <f t="shared" si="4"/>
        <v>3.0198689058905292E-6</v>
      </c>
    </row>
    <row r="51" spans="1:12">
      <c r="A51" s="9">
        <v>1444</v>
      </c>
      <c r="B51">
        <v>4</v>
      </c>
      <c r="C51" s="9">
        <v>2</v>
      </c>
      <c r="E51" s="4">
        <f t="shared" si="5"/>
        <v>36</v>
      </c>
      <c r="F51" s="4">
        <f t="shared" si="6"/>
        <v>0.81538461538461537</v>
      </c>
      <c r="G51" s="3">
        <f t="shared" si="7"/>
        <v>0.79810348200534464</v>
      </c>
      <c r="K51">
        <f t="shared" si="3"/>
        <v>0.81712239238581275</v>
      </c>
      <c r="L51">
        <f t="shared" si="4"/>
        <v>3.0198689058905292E-6</v>
      </c>
    </row>
    <row r="52" spans="1:12">
      <c r="A52" s="9">
        <v>1061</v>
      </c>
      <c r="B52">
        <v>3</v>
      </c>
      <c r="C52" s="9">
        <v>4</v>
      </c>
      <c r="D52">
        <v>195</v>
      </c>
      <c r="E52" s="4">
        <f t="shared" si="5"/>
        <v>51</v>
      </c>
      <c r="F52" s="4">
        <f t="shared" si="6"/>
        <v>0.7384615384615385</v>
      </c>
      <c r="G52" s="3">
        <f t="shared" si="7"/>
        <v>0.69880578808779803</v>
      </c>
      <c r="K52">
        <f t="shared" si="3"/>
        <v>0.73024075432236213</v>
      </c>
      <c r="L52">
        <f t="shared" si="4"/>
        <v>6.7581291862933834E-5</v>
      </c>
    </row>
    <row r="53" spans="1:12">
      <c r="A53" s="9">
        <v>1916</v>
      </c>
      <c r="B53">
        <v>3</v>
      </c>
      <c r="C53" s="9">
        <v>3</v>
      </c>
      <c r="E53" s="4">
        <f t="shared" si="5"/>
        <v>51</v>
      </c>
      <c r="F53" s="4">
        <f t="shared" si="6"/>
        <v>0.7384615384615385</v>
      </c>
      <c r="G53" s="3">
        <f t="shared" si="7"/>
        <v>0.69880578808779803</v>
      </c>
      <c r="K53">
        <f t="shared" si="3"/>
        <v>0.73024075432236213</v>
      </c>
      <c r="L53">
        <f t="shared" si="4"/>
        <v>6.7581291862933834E-5</v>
      </c>
    </row>
    <row r="54" spans="1:12">
      <c r="A54" s="9">
        <v>1410</v>
      </c>
      <c r="B54">
        <v>3</v>
      </c>
      <c r="C54" s="9">
        <v>6</v>
      </c>
      <c r="E54" s="4">
        <f t="shared" si="5"/>
        <v>51</v>
      </c>
      <c r="F54" s="4">
        <f t="shared" si="6"/>
        <v>0.7384615384615385</v>
      </c>
      <c r="G54" s="3">
        <f t="shared" si="7"/>
        <v>0.69880578808779803</v>
      </c>
      <c r="K54">
        <f t="shared" si="3"/>
        <v>0.73024075432236213</v>
      </c>
      <c r="L54">
        <f t="shared" si="4"/>
        <v>6.7581291862933834E-5</v>
      </c>
    </row>
    <row r="55" spans="1:12">
      <c r="A55" s="9">
        <v>1837</v>
      </c>
      <c r="B55">
        <v>3</v>
      </c>
      <c r="C55" s="9">
        <v>2</v>
      </c>
      <c r="E55" s="4">
        <f t="shared" si="5"/>
        <v>51</v>
      </c>
      <c r="F55" s="4">
        <f t="shared" si="6"/>
        <v>0.7384615384615385</v>
      </c>
      <c r="G55" s="3">
        <f t="shared" si="7"/>
        <v>0.69880578808779803</v>
      </c>
      <c r="K55">
        <f t="shared" si="3"/>
        <v>0.73024075432236213</v>
      </c>
      <c r="L55">
        <f t="shared" si="4"/>
        <v>6.7581291862933834E-5</v>
      </c>
    </row>
    <row r="56" spans="1:12">
      <c r="A56" s="9">
        <v>1099</v>
      </c>
      <c r="B56">
        <v>3</v>
      </c>
      <c r="C56" s="9">
        <v>10</v>
      </c>
      <c r="E56" s="4">
        <f t="shared" si="5"/>
        <v>51</v>
      </c>
      <c r="F56" s="4">
        <f t="shared" si="6"/>
        <v>0.7384615384615385</v>
      </c>
      <c r="G56" s="3">
        <f t="shared" si="7"/>
        <v>0.69880578808779803</v>
      </c>
      <c r="K56">
        <f t="shared" si="3"/>
        <v>0.73024075432236213</v>
      </c>
      <c r="L56">
        <f t="shared" si="4"/>
        <v>6.7581291862933834E-5</v>
      </c>
    </row>
    <row r="57" spans="1:12">
      <c r="A57" s="9">
        <v>1400</v>
      </c>
      <c r="B57">
        <v>3</v>
      </c>
      <c r="C57" s="9">
        <v>3</v>
      </c>
      <c r="E57" s="4">
        <f t="shared" si="5"/>
        <v>51</v>
      </c>
      <c r="F57" s="4">
        <f t="shared" si="6"/>
        <v>0.7384615384615385</v>
      </c>
      <c r="G57" s="3">
        <f t="shared" si="7"/>
        <v>0.69880578808779803</v>
      </c>
      <c r="K57">
        <f t="shared" si="3"/>
        <v>0.73024075432236213</v>
      </c>
      <c r="L57">
        <f t="shared" si="4"/>
        <v>6.7581291862933834E-5</v>
      </c>
    </row>
    <row r="58" spans="1:12">
      <c r="A58" s="9">
        <v>1998</v>
      </c>
      <c r="B58">
        <v>3</v>
      </c>
      <c r="C58" s="9">
        <v>2</v>
      </c>
      <c r="E58" s="4">
        <f t="shared" si="5"/>
        <v>51</v>
      </c>
      <c r="F58" s="4">
        <f t="shared" si="6"/>
        <v>0.7384615384615385</v>
      </c>
      <c r="G58" s="3">
        <f t="shared" si="7"/>
        <v>0.69880578808779803</v>
      </c>
      <c r="K58">
        <f t="shared" si="3"/>
        <v>0.73024075432236213</v>
      </c>
      <c r="L58">
        <f t="shared" si="4"/>
        <v>6.7581291862933834E-5</v>
      </c>
    </row>
    <row r="59" spans="1:12">
      <c r="A59" s="9">
        <v>1789</v>
      </c>
      <c r="B59">
        <v>3</v>
      </c>
      <c r="C59" s="9">
        <v>4</v>
      </c>
      <c r="E59" s="4">
        <f t="shared" si="5"/>
        <v>51</v>
      </c>
      <c r="F59" s="4">
        <f t="shared" si="6"/>
        <v>0.7384615384615385</v>
      </c>
      <c r="G59" s="3">
        <f t="shared" si="7"/>
        <v>0.69880578808779803</v>
      </c>
      <c r="K59">
        <f t="shared" si="3"/>
        <v>0.73024075432236213</v>
      </c>
      <c r="L59">
        <f t="shared" si="4"/>
        <v>6.7581291862933834E-5</v>
      </c>
    </row>
    <row r="60" spans="1:12">
      <c r="A60" s="9">
        <v>1909</v>
      </c>
      <c r="B60">
        <v>3</v>
      </c>
      <c r="C60" s="9">
        <v>3</v>
      </c>
      <c r="E60" s="4">
        <f t="shared" si="5"/>
        <v>51</v>
      </c>
      <c r="F60" s="4">
        <f t="shared" si="6"/>
        <v>0.7384615384615385</v>
      </c>
      <c r="G60" s="3">
        <f t="shared" si="7"/>
        <v>0.69880578808779803</v>
      </c>
      <c r="K60">
        <f t="shared" si="3"/>
        <v>0.73024075432236213</v>
      </c>
      <c r="L60">
        <f t="shared" si="4"/>
        <v>6.7581291862933834E-5</v>
      </c>
    </row>
    <row r="61" spans="1:12">
      <c r="A61" s="9">
        <v>1327</v>
      </c>
      <c r="B61">
        <v>3</v>
      </c>
      <c r="C61" s="9">
        <v>2</v>
      </c>
      <c r="E61" s="4">
        <f t="shared" si="5"/>
        <v>51</v>
      </c>
      <c r="F61" s="4">
        <f t="shared" si="6"/>
        <v>0.7384615384615385</v>
      </c>
      <c r="G61" s="3">
        <f t="shared" si="7"/>
        <v>0.69880578808779803</v>
      </c>
      <c r="K61">
        <f t="shared" si="3"/>
        <v>0.73024075432236213</v>
      </c>
      <c r="L61">
        <f t="shared" si="4"/>
        <v>6.7581291862933834E-5</v>
      </c>
    </row>
    <row r="62" spans="1:12">
      <c r="A62" s="9">
        <v>998</v>
      </c>
      <c r="B62">
        <v>3</v>
      </c>
      <c r="C62" s="9">
        <v>2</v>
      </c>
      <c r="E62" s="4">
        <f t="shared" si="5"/>
        <v>51</v>
      </c>
      <c r="F62" s="4">
        <f t="shared" si="6"/>
        <v>0.7384615384615385</v>
      </c>
      <c r="G62" s="3">
        <f t="shared" si="7"/>
        <v>0.69880578808779803</v>
      </c>
      <c r="K62">
        <f t="shared" si="3"/>
        <v>0.73024075432236213</v>
      </c>
      <c r="L62">
        <f t="shared" si="4"/>
        <v>6.7581291862933834E-5</v>
      </c>
    </row>
    <row r="63" spans="1:12">
      <c r="A63" s="9">
        <v>1741</v>
      </c>
      <c r="B63">
        <v>3</v>
      </c>
      <c r="C63" s="9">
        <v>5</v>
      </c>
      <c r="E63" s="4">
        <f t="shared" si="5"/>
        <v>51</v>
      </c>
      <c r="F63" s="4">
        <f t="shared" si="6"/>
        <v>0.7384615384615385</v>
      </c>
      <c r="G63" s="3">
        <f t="shared" si="7"/>
        <v>0.69880578808779803</v>
      </c>
      <c r="K63">
        <f t="shared" si="3"/>
        <v>0.73024075432236213</v>
      </c>
      <c r="L63">
        <f t="shared" si="4"/>
        <v>6.7581291862933834E-5</v>
      </c>
    </row>
    <row r="64" spans="1:12">
      <c r="A64" s="9">
        <v>1736</v>
      </c>
      <c r="B64">
        <v>3</v>
      </c>
      <c r="C64" s="9">
        <v>2</v>
      </c>
      <c r="E64" s="4">
        <f t="shared" si="5"/>
        <v>51</v>
      </c>
      <c r="F64" s="4">
        <f t="shared" si="6"/>
        <v>0.7384615384615385</v>
      </c>
      <c r="G64" s="3">
        <f t="shared" si="7"/>
        <v>0.69880578808779803</v>
      </c>
      <c r="K64">
        <f t="shared" si="3"/>
        <v>0.73024075432236213</v>
      </c>
      <c r="L64">
        <f t="shared" si="4"/>
        <v>6.7581291862933834E-5</v>
      </c>
    </row>
    <row r="65" spans="1:12">
      <c r="A65" s="9">
        <v>1374</v>
      </c>
      <c r="B65">
        <v>3</v>
      </c>
      <c r="C65" s="9">
        <v>5</v>
      </c>
      <c r="E65" s="4">
        <f t="shared" si="5"/>
        <v>51</v>
      </c>
      <c r="F65" s="4">
        <f t="shared" si="6"/>
        <v>0.7384615384615385</v>
      </c>
      <c r="G65" s="3">
        <f t="shared" si="7"/>
        <v>0.69880578808779803</v>
      </c>
      <c r="K65">
        <f t="shared" si="3"/>
        <v>0.73024075432236213</v>
      </c>
      <c r="L65">
        <f t="shared" si="4"/>
        <v>6.7581291862933834E-5</v>
      </c>
    </row>
    <row r="66" spans="1:12">
      <c r="A66" s="9">
        <v>1625</v>
      </c>
      <c r="B66">
        <v>3</v>
      </c>
      <c r="C66" s="9">
        <v>2</v>
      </c>
      <c r="E66" s="4">
        <f t="shared" ref="E66:E97" si="8">RANK(B66,$B$2:$B$196)</f>
        <v>51</v>
      </c>
      <c r="F66" s="4">
        <f t="shared" ref="F66:F97" si="9">1-E66/$D$2</f>
        <v>0.7384615384615385</v>
      </c>
      <c r="G66" s="3">
        <f t="shared" ref="G66:G97" si="10">EXPONDIST(B66,$H$2,TRUE)</f>
        <v>0.69880578808779803</v>
      </c>
      <c r="K66">
        <f t="shared" si="3"/>
        <v>0.73024075432236213</v>
      </c>
      <c r="L66">
        <f t="shared" si="4"/>
        <v>6.7581291862933834E-5</v>
      </c>
    </row>
    <row r="67" spans="1:12">
      <c r="A67" s="9">
        <v>1287</v>
      </c>
      <c r="B67">
        <v>3</v>
      </c>
      <c r="C67" s="9">
        <v>4</v>
      </c>
      <c r="E67" s="4">
        <f t="shared" si="8"/>
        <v>51</v>
      </c>
      <c r="F67" s="4">
        <f t="shared" si="9"/>
        <v>0.7384615384615385</v>
      </c>
      <c r="G67" s="3">
        <f t="shared" si="10"/>
        <v>0.69880578808779803</v>
      </c>
      <c r="K67">
        <f t="shared" ref="K67:K130" si="11">GAMMADIST(B67,$I$2,$J$2,TRUE)</f>
        <v>0.73024075432236213</v>
      </c>
      <c r="L67">
        <f t="shared" ref="L67:L130" si="12">(F67-K67)^2</f>
        <v>6.7581291862933834E-5</v>
      </c>
    </row>
    <row r="68" spans="1:12">
      <c r="A68" s="9">
        <v>1708</v>
      </c>
      <c r="B68">
        <v>3</v>
      </c>
      <c r="C68" s="9">
        <v>5</v>
      </c>
      <c r="E68" s="4">
        <f t="shared" si="8"/>
        <v>51</v>
      </c>
      <c r="F68" s="4">
        <f t="shared" si="9"/>
        <v>0.7384615384615385</v>
      </c>
      <c r="G68" s="3">
        <f t="shared" si="10"/>
        <v>0.69880578808779803</v>
      </c>
      <c r="K68">
        <f t="shared" si="11"/>
        <v>0.73024075432236213</v>
      </c>
      <c r="L68">
        <f t="shared" si="12"/>
        <v>6.7581291862933834E-5</v>
      </c>
    </row>
    <row r="69" spans="1:12">
      <c r="A69" s="9">
        <v>1630</v>
      </c>
      <c r="B69">
        <v>3</v>
      </c>
      <c r="C69" s="9">
        <v>5</v>
      </c>
      <c r="E69" s="4">
        <f t="shared" si="8"/>
        <v>51</v>
      </c>
      <c r="F69" s="4">
        <f t="shared" si="9"/>
        <v>0.7384615384615385</v>
      </c>
      <c r="G69" s="3">
        <f t="shared" si="10"/>
        <v>0.69880578808779803</v>
      </c>
      <c r="K69">
        <f t="shared" si="11"/>
        <v>0.73024075432236213</v>
      </c>
      <c r="L69">
        <f t="shared" si="12"/>
        <v>6.7581291862933834E-5</v>
      </c>
    </row>
    <row r="70" spans="1:12">
      <c r="A70" s="9">
        <v>1510</v>
      </c>
      <c r="B70">
        <v>3</v>
      </c>
      <c r="C70" s="9">
        <v>9</v>
      </c>
      <c r="E70" s="4">
        <f t="shared" si="8"/>
        <v>51</v>
      </c>
      <c r="F70" s="4">
        <f t="shared" si="9"/>
        <v>0.7384615384615385</v>
      </c>
      <c r="G70" s="3">
        <f t="shared" si="10"/>
        <v>0.69880578808779803</v>
      </c>
      <c r="K70">
        <f t="shared" si="11"/>
        <v>0.73024075432236213</v>
      </c>
      <c r="L70">
        <f t="shared" si="12"/>
        <v>6.7581291862933834E-5</v>
      </c>
    </row>
    <row r="71" spans="1:12">
      <c r="A71" s="9">
        <v>1542</v>
      </c>
      <c r="B71">
        <v>3</v>
      </c>
      <c r="C71" s="9">
        <v>7</v>
      </c>
      <c r="E71" s="4">
        <f t="shared" si="8"/>
        <v>51</v>
      </c>
      <c r="F71" s="4">
        <f t="shared" si="9"/>
        <v>0.7384615384615385</v>
      </c>
      <c r="G71" s="3">
        <f t="shared" si="10"/>
        <v>0.69880578808779803</v>
      </c>
      <c r="K71">
        <f t="shared" si="11"/>
        <v>0.73024075432236213</v>
      </c>
      <c r="L71">
        <f t="shared" si="12"/>
        <v>6.7581291862933834E-5</v>
      </c>
    </row>
    <row r="72" spans="1:12">
      <c r="A72" s="9">
        <v>1514</v>
      </c>
      <c r="B72">
        <v>3</v>
      </c>
      <c r="C72" s="9">
        <v>4</v>
      </c>
      <c r="E72" s="4">
        <f t="shared" si="8"/>
        <v>51</v>
      </c>
      <c r="F72" s="4">
        <f t="shared" si="9"/>
        <v>0.7384615384615385</v>
      </c>
      <c r="G72" s="3">
        <f t="shared" si="10"/>
        <v>0.69880578808779803</v>
      </c>
      <c r="K72">
        <f t="shared" si="11"/>
        <v>0.73024075432236213</v>
      </c>
      <c r="L72">
        <f t="shared" si="12"/>
        <v>6.7581291862933834E-5</v>
      </c>
    </row>
    <row r="73" spans="1:12">
      <c r="A73" s="9">
        <v>1254</v>
      </c>
      <c r="B73">
        <v>3</v>
      </c>
      <c r="C73" s="9">
        <v>10</v>
      </c>
      <c r="E73" s="4">
        <f t="shared" si="8"/>
        <v>51</v>
      </c>
      <c r="F73" s="4">
        <f t="shared" si="9"/>
        <v>0.7384615384615385</v>
      </c>
      <c r="G73" s="3">
        <f t="shared" si="10"/>
        <v>0.69880578808779803</v>
      </c>
      <c r="K73">
        <f t="shared" si="11"/>
        <v>0.73024075432236213</v>
      </c>
      <c r="L73">
        <f t="shared" si="12"/>
        <v>6.7581291862933834E-5</v>
      </c>
    </row>
    <row r="74" spans="1:12">
      <c r="A74" s="9">
        <v>1315</v>
      </c>
      <c r="B74">
        <v>3</v>
      </c>
      <c r="C74" s="9">
        <v>5</v>
      </c>
      <c r="E74" s="4">
        <f t="shared" si="8"/>
        <v>51</v>
      </c>
      <c r="F74" s="4">
        <f t="shared" si="9"/>
        <v>0.7384615384615385</v>
      </c>
      <c r="G74" s="3">
        <f t="shared" si="10"/>
        <v>0.69880578808779803</v>
      </c>
      <c r="K74">
        <f t="shared" si="11"/>
        <v>0.73024075432236213</v>
      </c>
      <c r="L74">
        <f t="shared" si="12"/>
        <v>6.7581291862933834E-5</v>
      </c>
    </row>
    <row r="75" spans="1:12">
      <c r="A75" s="9">
        <v>1488</v>
      </c>
      <c r="B75">
        <v>3</v>
      </c>
      <c r="C75" s="9">
        <v>5</v>
      </c>
      <c r="E75" s="4">
        <f t="shared" si="8"/>
        <v>51</v>
      </c>
      <c r="F75" s="4">
        <f t="shared" si="9"/>
        <v>0.7384615384615385</v>
      </c>
      <c r="G75" s="3">
        <f t="shared" si="10"/>
        <v>0.69880578808779803</v>
      </c>
      <c r="K75">
        <f t="shared" si="11"/>
        <v>0.73024075432236213</v>
      </c>
      <c r="L75">
        <f t="shared" si="12"/>
        <v>6.7581291862933834E-5</v>
      </c>
    </row>
    <row r="76" spans="1:12">
      <c r="A76" s="9">
        <v>1345</v>
      </c>
      <c r="B76">
        <v>3</v>
      </c>
      <c r="C76" s="9">
        <v>9</v>
      </c>
      <c r="E76" s="4">
        <f t="shared" si="8"/>
        <v>51</v>
      </c>
      <c r="F76" s="4">
        <f t="shared" si="9"/>
        <v>0.7384615384615385</v>
      </c>
      <c r="G76" s="3">
        <f t="shared" si="10"/>
        <v>0.69880578808779803</v>
      </c>
      <c r="K76">
        <f t="shared" si="11"/>
        <v>0.73024075432236213</v>
      </c>
      <c r="L76">
        <f t="shared" si="12"/>
        <v>6.7581291862933834E-5</v>
      </c>
    </row>
    <row r="77" spans="1:12">
      <c r="A77" s="9">
        <v>1590</v>
      </c>
      <c r="B77">
        <v>3</v>
      </c>
      <c r="C77" s="9">
        <v>5</v>
      </c>
      <c r="E77" s="4">
        <f t="shared" si="8"/>
        <v>51</v>
      </c>
      <c r="F77" s="4">
        <f t="shared" si="9"/>
        <v>0.7384615384615385</v>
      </c>
      <c r="G77" s="3">
        <f t="shared" si="10"/>
        <v>0.69880578808779803</v>
      </c>
      <c r="K77">
        <f t="shared" si="11"/>
        <v>0.73024075432236213</v>
      </c>
      <c r="L77">
        <f t="shared" si="12"/>
        <v>6.7581291862933834E-5</v>
      </c>
    </row>
    <row r="78" spans="1:12">
      <c r="A78" s="9">
        <v>1703</v>
      </c>
      <c r="B78">
        <v>3</v>
      </c>
      <c r="C78" s="9">
        <v>7</v>
      </c>
      <c r="E78" s="4">
        <f t="shared" si="8"/>
        <v>51</v>
      </c>
      <c r="F78" s="4">
        <f t="shared" si="9"/>
        <v>0.7384615384615385</v>
      </c>
      <c r="G78" s="3">
        <f t="shared" si="10"/>
        <v>0.69880578808779803</v>
      </c>
      <c r="K78">
        <f t="shared" si="11"/>
        <v>0.73024075432236213</v>
      </c>
      <c r="L78">
        <f t="shared" si="12"/>
        <v>6.7581291862933834E-5</v>
      </c>
    </row>
    <row r="79" spans="1:12">
      <c r="A79" s="9">
        <v>1378</v>
      </c>
      <c r="B79">
        <v>2</v>
      </c>
      <c r="C79" s="9">
        <v>4</v>
      </c>
      <c r="E79" s="4">
        <f t="shared" si="8"/>
        <v>78</v>
      </c>
      <c r="F79" s="4">
        <f t="shared" si="9"/>
        <v>0.6</v>
      </c>
      <c r="G79" s="3">
        <f t="shared" si="10"/>
        <v>0.55067103588277844</v>
      </c>
      <c r="K79">
        <f t="shared" si="11"/>
        <v>0.59840462462974986</v>
      </c>
      <c r="L79">
        <f t="shared" si="12"/>
        <v>2.5452225720007021E-6</v>
      </c>
    </row>
    <row r="80" spans="1:12">
      <c r="A80" s="9">
        <v>1436</v>
      </c>
      <c r="B80">
        <v>2</v>
      </c>
      <c r="C80" s="9">
        <v>3</v>
      </c>
      <c r="E80" s="4">
        <f t="shared" si="8"/>
        <v>78</v>
      </c>
      <c r="F80" s="4">
        <f t="shared" si="9"/>
        <v>0.6</v>
      </c>
      <c r="G80" s="3">
        <f t="shared" si="10"/>
        <v>0.55067103588277844</v>
      </c>
      <c r="K80">
        <f t="shared" si="11"/>
        <v>0.59840462462974986</v>
      </c>
      <c r="L80">
        <f t="shared" si="12"/>
        <v>2.5452225720007021E-6</v>
      </c>
    </row>
    <row r="81" spans="1:12">
      <c r="A81" s="9">
        <v>1901</v>
      </c>
      <c r="B81">
        <v>2</v>
      </c>
      <c r="C81" s="9">
        <v>2</v>
      </c>
      <c r="E81" s="4">
        <f t="shared" si="8"/>
        <v>78</v>
      </c>
      <c r="F81" s="4">
        <f t="shared" si="9"/>
        <v>0.6</v>
      </c>
      <c r="G81" s="3">
        <f t="shared" si="10"/>
        <v>0.55067103588277844</v>
      </c>
      <c r="K81">
        <f t="shared" si="11"/>
        <v>0.59840462462974986</v>
      </c>
      <c r="L81">
        <f t="shared" si="12"/>
        <v>2.5452225720007021E-6</v>
      </c>
    </row>
    <row r="82" spans="1:12">
      <c r="A82" s="9">
        <v>1418</v>
      </c>
      <c r="B82">
        <v>2</v>
      </c>
      <c r="C82" s="9">
        <v>3</v>
      </c>
      <c r="E82" s="4">
        <f t="shared" si="8"/>
        <v>78</v>
      </c>
      <c r="F82" s="4">
        <f t="shared" si="9"/>
        <v>0.6</v>
      </c>
      <c r="G82" s="3">
        <f t="shared" si="10"/>
        <v>0.55067103588277844</v>
      </c>
      <c r="K82">
        <f t="shared" si="11"/>
        <v>0.59840462462974986</v>
      </c>
      <c r="L82">
        <f t="shared" si="12"/>
        <v>2.5452225720007021E-6</v>
      </c>
    </row>
    <row r="83" spans="1:12">
      <c r="A83" s="9">
        <v>1496</v>
      </c>
      <c r="B83">
        <v>2</v>
      </c>
      <c r="C83" s="9">
        <v>4</v>
      </c>
      <c r="E83" s="4">
        <f t="shared" si="8"/>
        <v>78</v>
      </c>
      <c r="F83" s="4">
        <f t="shared" si="9"/>
        <v>0.6</v>
      </c>
      <c r="G83" s="3">
        <f t="shared" si="10"/>
        <v>0.55067103588277844</v>
      </c>
      <c r="K83">
        <f t="shared" si="11"/>
        <v>0.59840462462974986</v>
      </c>
      <c r="L83">
        <f t="shared" si="12"/>
        <v>2.5452225720007021E-6</v>
      </c>
    </row>
    <row r="84" spans="1:12">
      <c r="A84" s="9">
        <v>1524</v>
      </c>
      <c r="B84">
        <v>2</v>
      </c>
      <c r="C84" s="9">
        <v>3</v>
      </c>
      <c r="E84" s="4">
        <f t="shared" si="8"/>
        <v>78</v>
      </c>
      <c r="F84" s="4">
        <f t="shared" si="9"/>
        <v>0.6</v>
      </c>
      <c r="G84" s="3">
        <f t="shared" si="10"/>
        <v>0.55067103588277844</v>
      </c>
      <c r="K84">
        <f t="shared" si="11"/>
        <v>0.59840462462974986</v>
      </c>
      <c r="L84">
        <f t="shared" si="12"/>
        <v>2.5452225720007021E-6</v>
      </c>
    </row>
    <row r="85" spans="1:12">
      <c r="A85" s="9">
        <v>1675</v>
      </c>
      <c r="B85">
        <v>2</v>
      </c>
      <c r="C85" s="9">
        <v>2</v>
      </c>
      <c r="E85" s="4">
        <f t="shared" si="8"/>
        <v>78</v>
      </c>
      <c r="F85" s="4">
        <f t="shared" si="9"/>
        <v>0.6</v>
      </c>
      <c r="G85" s="3">
        <f t="shared" si="10"/>
        <v>0.55067103588277844</v>
      </c>
      <c r="K85">
        <f t="shared" si="11"/>
        <v>0.59840462462974986</v>
      </c>
      <c r="L85">
        <f t="shared" si="12"/>
        <v>2.5452225720007021E-6</v>
      </c>
    </row>
    <row r="86" spans="1:12">
      <c r="A86" s="9">
        <v>1681</v>
      </c>
      <c r="B86">
        <v>2</v>
      </c>
      <c r="C86" s="9">
        <v>6</v>
      </c>
      <c r="E86" s="4">
        <f t="shared" si="8"/>
        <v>78</v>
      </c>
      <c r="F86" s="4">
        <f t="shared" si="9"/>
        <v>0.6</v>
      </c>
      <c r="G86" s="3">
        <f t="shared" si="10"/>
        <v>0.55067103588277844</v>
      </c>
      <c r="K86">
        <f t="shared" si="11"/>
        <v>0.59840462462974986</v>
      </c>
      <c r="L86">
        <f t="shared" si="12"/>
        <v>2.5452225720007021E-6</v>
      </c>
    </row>
    <row r="87" spans="1:12">
      <c r="A87" s="9">
        <v>1450</v>
      </c>
      <c r="B87">
        <v>2</v>
      </c>
      <c r="C87" s="9">
        <v>6</v>
      </c>
      <c r="E87" s="4">
        <f t="shared" si="8"/>
        <v>78</v>
      </c>
      <c r="F87" s="4">
        <f t="shared" si="9"/>
        <v>0.6</v>
      </c>
      <c r="G87" s="3">
        <f t="shared" si="10"/>
        <v>0.55067103588277844</v>
      </c>
      <c r="K87">
        <f t="shared" si="11"/>
        <v>0.59840462462974986</v>
      </c>
      <c r="L87">
        <f t="shared" si="12"/>
        <v>2.5452225720007021E-6</v>
      </c>
    </row>
    <row r="88" spans="1:12">
      <c r="A88" s="9">
        <v>1532</v>
      </c>
      <c r="B88">
        <v>2</v>
      </c>
      <c r="C88" s="9">
        <v>5</v>
      </c>
      <c r="E88" s="4">
        <f t="shared" si="8"/>
        <v>78</v>
      </c>
      <c r="F88" s="4">
        <f t="shared" si="9"/>
        <v>0.6</v>
      </c>
      <c r="G88" s="3">
        <f t="shared" si="10"/>
        <v>0.55067103588277844</v>
      </c>
      <c r="K88">
        <f t="shared" si="11"/>
        <v>0.59840462462974986</v>
      </c>
      <c r="L88">
        <f t="shared" si="12"/>
        <v>2.5452225720007021E-6</v>
      </c>
    </row>
    <row r="89" spans="1:12">
      <c r="A89" s="9">
        <v>1260</v>
      </c>
      <c r="B89">
        <v>2</v>
      </c>
      <c r="C89" s="9">
        <v>2</v>
      </c>
      <c r="E89" s="4">
        <f t="shared" si="8"/>
        <v>78</v>
      </c>
      <c r="F89" s="4">
        <f t="shared" si="9"/>
        <v>0.6</v>
      </c>
      <c r="G89" s="3">
        <f t="shared" si="10"/>
        <v>0.55067103588277844</v>
      </c>
      <c r="K89">
        <f t="shared" si="11"/>
        <v>0.59840462462974986</v>
      </c>
      <c r="L89">
        <f t="shared" si="12"/>
        <v>2.5452225720007021E-6</v>
      </c>
    </row>
    <row r="90" spans="1:12">
      <c r="A90" s="9">
        <v>1421</v>
      </c>
      <c r="B90">
        <v>2</v>
      </c>
      <c r="C90" s="9">
        <v>3</v>
      </c>
      <c r="E90" s="4">
        <f t="shared" si="8"/>
        <v>78</v>
      </c>
      <c r="F90" s="4">
        <f t="shared" si="9"/>
        <v>0.6</v>
      </c>
      <c r="G90" s="3">
        <f t="shared" si="10"/>
        <v>0.55067103588277844</v>
      </c>
      <c r="K90">
        <f t="shared" si="11"/>
        <v>0.59840462462974986</v>
      </c>
      <c r="L90">
        <f t="shared" si="12"/>
        <v>2.5452225720007021E-6</v>
      </c>
    </row>
    <row r="91" spans="1:12">
      <c r="A91" s="9">
        <v>1386</v>
      </c>
      <c r="B91">
        <v>2</v>
      </c>
      <c r="C91" s="9">
        <v>5</v>
      </c>
      <c r="E91" s="4">
        <f t="shared" si="8"/>
        <v>78</v>
      </c>
      <c r="F91" s="4">
        <f t="shared" si="9"/>
        <v>0.6</v>
      </c>
      <c r="G91" s="3">
        <f t="shared" si="10"/>
        <v>0.55067103588277844</v>
      </c>
      <c r="K91">
        <f t="shared" si="11"/>
        <v>0.59840462462974986</v>
      </c>
      <c r="L91">
        <f t="shared" si="12"/>
        <v>2.5452225720007021E-6</v>
      </c>
    </row>
    <row r="92" spans="1:12">
      <c r="A92" s="9">
        <v>1560</v>
      </c>
      <c r="B92">
        <v>2</v>
      </c>
      <c r="C92" s="9">
        <v>5</v>
      </c>
      <c r="E92" s="4">
        <f t="shared" si="8"/>
        <v>78</v>
      </c>
      <c r="F92" s="4">
        <f t="shared" si="9"/>
        <v>0.6</v>
      </c>
      <c r="G92" s="3">
        <f t="shared" si="10"/>
        <v>0.55067103588277844</v>
      </c>
      <c r="K92">
        <f t="shared" si="11"/>
        <v>0.59840462462974986</v>
      </c>
      <c r="L92">
        <f t="shared" si="12"/>
        <v>2.5452225720007021E-6</v>
      </c>
    </row>
    <row r="93" spans="1:12">
      <c r="A93" s="9">
        <v>1555</v>
      </c>
      <c r="B93">
        <v>2</v>
      </c>
      <c r="C93" s="9">
        <v>8</v>
      </c>
      <c r="E93" s="4">
        <f t="shared" si="8"/>
        <v>78</v>
      </c>
      <c r="F93" s="4">
        <f t="shared" si="9"/>
        <v>0.6</v>
      </c>
      <c r="G93" s="3">
        <f t="shared" si="10"/>
        <v>0.55067103588277844</v>
      </c>
      <c r="K93">
        <f t="shared" si="11"/>
        <v>0.59840462462974986</v>
      </c>
      <c r="L93">
        <f t="shared" si="12"/>
        <v>2.5452225720007021E-6</v>
      </c>
    </row>
    <row r="94" spans="1:12">
      <c r="A94" s="9">
        <v>1103</v>
      </c>
      <c r="B94">
        <v>2</v>
      </c>
      <c r="C94" s="9">
        <v>4</v>
      </c>
      <c r="E94" s="4">
        <f t="shared" si="8"/>
        <v>78</v>
      </c>
      <c r="F94" s="4">
        <f t="shared" si="9"/>
        <v>0.6</v>
      </c>
      <c r="G94" s="3">
        <f t="shared" si="10"/>
        <v>0.55067103588277844</v>
      </c>
      <c r="K94">
        <f t="shared" si="11"/>
        <v>0.59840462462974986</v>
      </c>
      <c r="L94">
        <f t="shared" si="12"/>
        <v>2.5452225720007021E-6</v>
      </c>
    </row>
    <row r="95" spans="1:12">
      <c r="A95" s="9">
        <v>1430</v>
      </c>
      <c r="B95">
        <v>2</v>
      </c>
      <c r="C95" s="9">
        <v>3</v>
      </c>
      <c r="E95" s="4">
        <f t="shared" si="8"/>
        <v>78</v>
      </c>
      <c r="F95" s="4">
        <f t="shared" si="9"/>
        <v>0.6</v>
      </c>
      <c r="G95" s="3">
        <f t="shared" si="10"/>
        <v>0.55067103588277844</v>
      </c>
      <c r="K95">
        <f t="shared" si="11"/>
        <v>0.59840462462974986</v>
      </c>
      <c r="L95">
        <f t="shared" si="12"/>
        <v>2.5452225720007021E-6</v>
      </c>
    </row>
    <row r="96" spans="1:12">
      <c r="A96" s="9">
        <v>1360</v>
      </c>
      <c r="B96">
        <v>2</v>
      </c>
      <c r="C96" s="9">
        <v>2</v>
      </c>
      <c r="E96" s="4">
        <f t="shared" si="8"/>
        <v>78</v>
      </c>
      <c r="F96" s="4">
        <f t="shared" si="9"/>
        <v>0.6</v>
      </c>
      <c r="G96" s="3">
        <f t="shared" si="10"/>
        <v>0.55067103588277844</v>
      </c>
      <c r="K96">
        <f t="shared" si="11"/>
        <v>0.59840462462974986</v>
      </c>
      <c r="L96">
        <f t="shared" si="12"/>
        <v>2.5452225720007021E-6</v>
      </c>
    </row>
    <row r="97" spans="1:12">
      <c r="A97" s="9">
        <v>1424</v>
      </c>
      <c r="B97">
        <v>2</v>
      </c>
      <c r="C97" s="9">
        <v>3</v>
      </c>
      <c r="E97" s="4">
        <f t="shared" si="8"/>
        <v>78</v>
      </c>
      <c r="F97" s="4">
        <f t="shared" si="9"/>
        <v>0.6</v>
      </c>
      <c r="G97" s="3">
        <f t="shared" si="10"/>
        <v>0.55067103588277844</v>
      </c>
      <c r="K97">
        <f t="shared" si="11"/>
        <v>0.59840462462974986</v>
      </c>
      <c r="L97">
        <f t="shared" si="12"/>
        <v>2.5452225720007021E-6</v>
      </c>
    </row>
    <row r="98" spans="1:12">
      <c r="A98" s="9">
        <v>1392</v>
      </c>
      <c r="B98">
        <v>2</v>
      </c>
      <c r="C98" s="9">
        <v>2</v>
      </c>
      <c r="E98" s="4">
        <f t="shared" ref="E98:E129" si="13">RANK(B98,$B$2:$B$196)</f>
        <v>78</v>
      </c>
      <c r="F98" s="4">
        <f t="shared" ref="F98:F129" si="14">1-E98/$D$2</f>
        <v>0.6</v>
      </c>
      <c r="G98" s="3">
        <f t="shared" ref="G98:G129" si="15">EXPONDIST(B98,$H$2,TRUE)</f>
        <v>0.55067103588277844</v>
      </c>
      <c r="K98">
        <f t="shared" si="11"/>
        <v>0.59840462462974986</v>
      </c>
      <c r="L98">
        <f t="shared" si="12"/>
        <v>2.5452225720007021E-6</v>
      </c>
    </row>
    <row r="99" spans="1:12">
      <c r="A99" s="9">
        <v>1028</v>
      </c>
      <c r="B99">
        <v>2</v>
      </c>
      <c r="C99" s="9">
        <v>8</v>
      </c>
      <c r="E99" s="4">
        <f t="shared" si="13"/>
        <v>78</v>
      </c>
      <c r="F99" s="4">
        <f t="shared" si="14"/>
        <v>0.6</v>
      </c>
      <c r="G99" s="3">
        <f t="shared" si="15"/>
        <v>0.55067103588277844</v>
      </c>
      <c r="K99">
        <f t="shared" si="11"/>
        <v>0.59840462462974986</v>
      </c>
      <c r="L99">
        <f t="shared" si="12"/>
        <v>2.5452225720007021E-6</v>
      </c>
    </row>
    <row r="100" spans="1:12">
      <c r="A100" s="9">
        <v>1581</v>
      </c>
      <c r="B100">
        <v>2</v>
      </c>
      <c r="C100" s="9">
        <v>4</v>
      </c>
      <c r="E100" s="4">
        <f t="shared" si="13"/>
        <v>78</v>
      </c>
      <c r="F100" s="4">
        <f t="shared" si="14"/>
        <v>0.6</v>
      </c>
      <c r="G100" s="3">
        <f t="shared" si="15"/>
        <v>0.55067103588277844</v>
      </c>
      <c r="K100">
        <f t="shared" si="11"/>
        <v>0.59840462462974986</v>
      </c>
      <c r="L100">
        <f t="shared" si="12"/>
        <v>2.5452225720007021E-6</v>
      </c>
    </row>
    <row r="101" spans="1:12">
      <c r="A101" s="9">
        <v>1658</v>
      </c>
      <c r="B101">
        <v>2</v>
      </c>
      <c r="C101" s="9">
        <v>2</v>
      </c>
      <c r="E101" s="4">
        <f t="shared" si="13"/>
        <v>78</v>
      </c>
      <c r="F101" s="4">
        <f t="shared" si="14"/>
        <v>0.6</v>
      </c>
      <c r="G101" s="3">
        <f t="shared" si="15"/>
        <v>0.55067103588277844</v>
      </c>
      <c r="K101">
        <f t="shared" si="11"/>
        <v>0.59840462462974986</v>
      </c>
      <c r="L101">
        <f t="shared" si="12"/>
        <v>2.5452225720007021E-6</v>
      </c>
    </row>
    <row r="102" spans="1:12">
      <c r="A102" s="9">
        <v>1971</v>
      </c>
      <c r="B102">
        <v>2</v>
      </c>
      <c r="C102" s="9">
        <v>5</v>
      </c>
      <c r="E102" s="4">
        <f t="shared" si="13"/>
        <v>78</v>
      </c>
      <c r="F102" s="4">
        <f t="shared" si="14"/>
        <v>0.6</v>
      </c>
      <c r="G102" s="3">
        <f t="shared" si="15"/>
        <v>0.55067103588277844</v>
      </c>
      <c r="K102">
        <f t="shared" si="11"/>
        <v>0.59840462462974986</v>
      </c>
      <c r="L102">
        <f t="shared" si="12"/>
        <v>2.5452225720007021E-6</v>
      </c>
    </row>
    <row r="103" spans="1:12">
      <c r="A103" s="9">
        <v>1618</v>
      </c>
      <c r="B103">
        <v>2</v>
      </c>
      <c r="C103" s="9">
        <v>2</v>
      </c>
      <c r="E103" s="4">
        <f t="shared" si="13"/>
        <v>78</v>
      </c>
      <c r="F103" s="4">
        <f t="shared" si="14"/>
        <v>0.6</v>
      </c>
      <c r="G103" s="3">
        <f t="shared" si="15"/>
        <v>0.55067103588277844</v>
      </c>
      <c r="K103">
        <f t="shared" si="11"/>
        <v>0.59840462462974986</v>
      </c>
      <c r="L103">
        <f t="shared" si="12"/>
        <v>2.5452225720007021E-6</v>
      </c>
    </row>
    <row r="104" spans="1:12">
      <c r="A104" s="9">
        <v>1296</v>
      </c>
      <c r="B104">
        <v>2</v>
      </c>
      <c r="C104" s="9">
        <v>5</v>
      </c>
      <c r="E104" s="4">
        <f t="shared" si="13"/>
        <v>78</v>
      </c>
      <c r="F104" s="4">
        <f t="shared" si="14"/>
        <v>0.6</v>
      </c>
      <c r="G104" s="3">
        <f t="shared" si="15"/>
        <v>0.55067103588277844</v>
      </c>
      <c r="K104">
        <f t="shared" si="11"/>
        <v>0.59840462462974986</v>
      </c>
      <c r="L104">
        <f t="shared" si="12"/>
        <v>2.5452225720007021E-6</v>
      </c>
    </row>
    <row r="105" spans="1:12">
      <c r="A105" s="9">
        <v>1966</v>
      </c>
      <c r="B105">
        <v>2</v>
      </c>
      <c r="C105" s="9">
        <v>3</v>
      </c>
      <c r="E105" s="4">
        <f t="shared" si="13"/>
        <v>78</v>
      </c>
      <c r="F105" s="4">
        <f t="shared" si="14"/>
        <v>0.6</v>
      </c>
      <c r="G105" s="3">
        <f t="shared" si="15"/>
        <v>0.55067103588277844</v>
      </c>
      <c r="K105">
        <f t="shared" si="11"/>
        <v>0.59840462462974986</v>
      </c>
      <c r="L105">
        <f t="shared" si="12"/>
        <v>2.5452225720007021E-6</v>
      </c>
    </row>
    <row r="106" spans="1:12">
      <c r="A106" s="9">
        <v>1963</v>
      </c>
      <c r="B106">
        <v>2</v>
      </c>
      <c r="C106" s="9">
        <v>2</v>
      </c>
      <c r="E106" s="4">
        <f t="shared" si="13"/>
        <v>78</v>
      </c>
      <c r="F106" s="4">
        <f t="shared" si="14"/>
        <v>0.6</v>
      </c>
      <c r="G106" s="3">
        <f t="shared" si="15"/>
        <v>0.55067103588277844</v>
      </c>
      <c r="K106">
        <f t="shared" si="11"/>
        <v>0.59840462462974986</v>
      </c>
      <c r="L106">
        <f t="shared" si="12"/>
        <v>2.5452225720007021E-6</v>
      </c>
    </row>
    <row r="107" spans="1:12">
      <c r="A107" s="9">
        <v>1319</v>
      </c>
      <c r="B107">
        <v>2</v>
      </c>
      <c r="C107" s="9">
        <v>4</v>
      </c>
      <c r="E107" s="4">
        <f t="shared" si="13"/>
        <v>78</v>
      </c>
      <c r="F107" s="4">
        <f t="shared" si="14"/>
        <v>0.6</v>
      </c>
      <c r="G107" s="3">
        <f t="shared" si="15"/>
        <v>0.55067103588277844</v>
      </c>
      <c r="K107">
        <f t="shared" si="11"/>
        <v>0.59840462462974986</v>
      </c>
      <c r="L107">
        <f t="shared" si="12"/>
        <v>2.5452225720007021E-6</v>
      </c>
    </row>
    <row r="108" spans="1:12">
      <c r="A108" s="9">
        <v>1269</v>
      </c>
      <c r="B108">
        <v>2</v>
      </c>
      <c r="C108" s="9">
        <v>9</v>
      </c>
      <c r="E108" s="4">
        <f t="shared" si="13"/>
        <v>78</v>
      </c>
      <c r="F108" s="4">
        <f t="shared" si="14"/>
        <v>0.6</v>
      </c>
      <c r="G108" s="3">
        <f t="shared" si="15"/>
        <v>0.55067103588277844</v>
      </c>
      <c r="K108">
        <f t="shared" si="11"/>
        <v>0.59840462462974986</v>
      </c>
      <c r="L108">
        <f t="shared" si="12"/>
        <v>2.5452225720007021E-6</v>
      </c>
    </row>
    <row r="109" spans="1:12">
      <c r="A109" s="9">
        <v>1819</v>
      </c>
      <c r="B109">
        <v>2</v>
      </c>
      <c r="C109" s="9">
        <v>3</v>
      </c>
      <c r="E109" s="4">
        <f t="shared" si="13"/>
        <v>78</v>
      </c>
      <c r="F109" s="4">
        <f t="shared" si="14"/>
        <v>0.6</v>
      </c>
      <c r="G109" s="3">
        <f t="shared" si="15"/>
        <v>0.55067103588277844</v>
      </c>
      <c r="K109">
        <f t="shared" si="11"/>
        <v>0.59840462462974986</v>
      </c>
      <c r="L109">
        <f t="shared" si="12"/>
        <v>2.5452225720007021E-6</v>
      </c>
    </row>
    <row r="110" spans="1:12">
      <c r="A110" s="9">
        <v>1886</v>
      </c>
      <c r="B110">
        <v>2</v>
      </c>
      <c r="C110" s="9">
        <v>7</v>
      </c>
      <c r="E110" s="4">
        <f t="shared" si="13"/>
        <v>78</v>
      </c>
      <c r="F110" s="4">
        <f t="shared" si="14"/>
        <v>0.6</v>
      </c>
      <c r="G110" s="3">
        <f t="shared" si="15"/>
        <v>0.55067103588277844</v>
      </c>
      <c r="K110">
        <f t="shared" si="11"/>
        <v>0.59840462462974986</v>
      </c>
      <c r="L110">
        <f t="shared" si="12"/>
        <v>2.5452225720007021E-6</v>
      </c>
    </row>
    <row r="111" spans="1:12">
      <c r="A111" s="9">
        <v>1841</v>
      </c>
      <c r="B111">
        <v>2</v>
      </c>
      <c r="C111" s="9">
        <v>4</v>
      </c>
      <c r="E111" s="4">
        <f t="shared" si="13"/>
        <v>78</v>
      </c>
      <c r="F111" s="4">
        <f t="shared" si="14"/>
        <v>0.6</v>
      </c>
      <c r="G111" s="3">
        <f t="shared" si="15"/>
        <v>0.55067103588277844</v>
      </c>
      <c r="K111">
        <f t="shared" si="11"/>
        <v>0.59840462462974986</v>
      </c>
      <c r="L111">
        <f t="shared" si="12"/>
        <v>2.5452225720007021E-6</v>
      </c>
    </row>
    <row r="112" spans="1:12">
      <c r="A112" s="9">
        <v>1404</v>
      </c>
      <c r="B112">
        <v>2</v>
      </c>
      <c r="C112" s="9">
        <v>4</v>
      </c>
      <c r="E112" s="4">
        <f t="shared" si="13"/>
        <v>78</v>
      </c>
      <c r="F112" s="4">
        <f t="shared" si="14"/>
        <v>0.6</v>
      </c>
      <c r="G112" s="3">
        <f t="shared" si="15"/>
        <v>0.55067103588277844</v>
      </c>
      <c r="K112">
        <f t="shared" si="11"/>
        <v>0.59840462462974986</v>
      </c>
      <c r="L112">
        <f t="shared" si="12"/>
        <v>2.5452225720007021E-6</v>
      </c>
    </row>
    <row r="113" spans="1:12">
      <c r="A113" s="9">
        <v>1684</v>
      </c>
      <c r="B113">
        <v>2</v>
      </c>
      <c r="C113" s="9">
        <v>3</v>
      </c>
      <c r="E113" s="4">
        <f t="shared" si="13"/>
        <v>78</v>
      </c>
      <c r="F113" s="4">
        <f t="shared" si="14"/>
        <v>0.6</v>
      </c>
      <c r="G113" s="3">
        <f t="shared" si="15"/>
        <v>0.55067103588277844</v>
      </c>
      <c r="K113">
        <f t="shared" si="11"/>
        <v>0.59840462462974986</v>
      </c>
      <c r="L113">
        <f t="shared" si="12"/>
        <v>2.5452225720007021E-6</v>
      </c>
    </row>
    <row r="114" spans="1:12">
      <c r="A114" s="9">
        <v>1805</v>
      </c>
      <c r="B114">
        <v>2</v>
      </c>
      <c r="C114" s="9">
        <v>5</v>
      </c>
      <c r="E114" s="4">
        <f t="shared" si="13"/>
        <v>78</v>
      </c>
      <c r="F114" s="4">
        <f t="shared" si="14"/>
        <v>0.6</v>
      </c>
      <c r="G114" s="3">
        <f t="shared" si="15"/>
        <v>0.55067103588277844</v>
      </c>
      <c r="K114">
        <f t="shared" si="11"/>
        <v>0.59840462462974986</v>
      </c>
      <c r="L114">
        <f t="shared" si="12"/>
        <v>2.5452225720007021E-6</v>
      </c>
    </row>
    <row r="115" spans="1:12">
      <c r="A115" s="9">
        <v>1879</v>
      </c>
      <c r="B115">
        <v>2</v>
      </c>
      <c r="C115" s="9">
        <v>5</v>
      </c>
      <c r="E115" s="4">
        <f t="shared" si="13"/>
        <v>78</v>
      </c>
      <c r="F115" s="4">
        <f t="shared" si="14"/>
        <v>0.6</v>
      </c>
      <c r="G115" s="3">
        <f t="shared" si="15"/>
        <v>0.55067103588277844</v>
      </c>
      <c r="K115">
        <f t="shared" si="11"/>
        <v>0.59840462462974986</v>
      </c>
      <c r="L115">
        <f t="shared" si="12"/>
        <v>2.5452225720007021E-6</v>
      </c>
    </row>
    <row r="116" spans="1:12">
      <c r="A116" s="9">
        <v>1085</v>
      </c>
      <c r="B116">
        <v>2</v>
      </c>
      <c r="C116" s="9">
        <v>16</v>
      </c>
      <c r="E116" s="4">
        <f t="shared" si="13"/>
        <v>78</v>
      </c>
      <c r="F116" s="4">
        <f t="shared" si="14"/>
        <v>0.6</v>
      </c>
      <c r="G116" s="3">
        <f t="shared" si="15"/>
        <v>0.55067103588277844</v>
      </c>
      <c r="K116">
        <f t="shared" si="11"/>
        <v>0.59840462462974986</v>
      </c>
      <c r="L116">
        <f t="shared" si="12"/>
        <v>2.5452225720007021E-6</v>
      </c>
    </row>
    <row r="117" spans="1:12">
      <c r="A117" s="9">
        <v>1724</v>
      </c>
      <c r="B117">
        <v>2</v>
      </c>
      <c r="C117" s="9">
        <v>2</v>
      </c>
      <c r="E117" s="4">
        <f t="shared" si="13"/>
        <v>78</v>
      </c>
      <c r="F117" s="4">
        <f t="shared" si="14"/>
        <v>0.6</v>
      </c>
      <c r="G117" s="3">
        <f t="shared" si="15"/>
        <v>0.55067103588277844</v>
      </c>
      <c r="K117">
        <f t="shared" si="11"/>
        <v>0.59840462462974986</v>
      </c>
      <c r="L117">
        <f t="shared" si="12"/>
        <v>2.5452225720007021E-6</v>
      </c>
    </row>
    <row r="118" spans="1:12">
      <c r="A118" s="9">
        <v>1800</v>
      </c>
      <c r="B118">
        <v>2</v>
      </c>
      <c r="C118" s="9">
        <v>2</v>
      </c>
      <c r="E118" s="4">
        <f t="shared" si="13"/>
        <v>78</v>
      </c>
      <c r="F118" s="4">
        <f t="shared" si="14"/>
        <v>0.6</v>
      </c>
      <c r="G118" s="3">
        <f t="shared" si="15"/>
        <v>0.55067103588277844</v>
      </c>
      <c r="K118">
        <f t="shared" si="11"/>
        <v>0.59840462462974986</v>
      </c>
      <c r="L118">
        <f t="shared" si="12"/>
        <v>2.5452225720007021E-6</v>
      </c>
    </row>
    <row r="119" spans="1:12">
      <c r="A119" s="9">
        <v>1785</v>
      </c>
      <c r="B119">
        <v>2</v>
      </c>
      <c r="C119" s="9">
        <v>5</v>
      </c>
      <c r="E119" s="4">
        <f t="shared" si="13"/>
        <v>78</v>
      </c>
      <c r="F119" s="4">
        <f t="shared" si="14"/>
        <v>0.6</v>
      </c>
      <c r="G119" s="3">
        <f t="shared" si="15"/>
        <v>0.55067103588277844</v>
      </c>
      <c r="K119">
        <f t="shared" si="11"/>
        <v>0.59840462462974986</v>
      </c>
      <c r="L119">
        <f t="shared" si="12"/>
        <v>2.5452225720007021E-6</v>
      </c>
    </row>
    <row r="120" spans="1:12">
      <c r="A120" s="9">
        <v>1623</v>
      </c>
      <c r="B120">
        <v>1</v>
      </c>
      <c r="C120" s="9">
        <v>5</v>
      </c>
      <c r="E120" s="4">
        <f t="shared" si="13"/>
        <v>119</v>
      </c>
      <c r="F120" s="4">
        <f t="shared" si="14"/>
        <v>0.38974358974358969</v>
      </c>
      <c r="G120" s="3">
        <f t="shared" si="15"/>
        <v>0.32967995396436067</v>
      </c>
      <c r="K120">
        <f t="shared" si="11"/>
        <v>0.39138517497393988</v>
      </c>
      <c r="L120">
        <f t="shared" si="12"/>
        <v>2.6948020685038676E-6</v>
      </c>
    </row>
    <row r="121" spans="1:12">
      <c r="A121" s="9">
        <v>1931</v>
      </c>
      <c r="B121">
        <v>1</v>
      </c>
      <c r="C121" s="9">
        <v>6</v>
      </c>
      <c r="E121" s="4">
        <f t="shared" si="13"/>
        <v>119</v>
      </c>
      <c r="F121" s="4">
        <f t="shared" si="14"/>
        <v>0.38974358974358969</v>
      </c>
      <c r="G121" s="3">
        <f t="shared" si="15"/>
        <v>0.32967995396436067</v>
      </c>
      <c r="K121">
        <f t="shared" si="11"/>
        <v>0.39138517497393988</v>
      </c>
      <c r="L121">
        <f t="shared" si="12"/>
        <v>2.6948020685038676E-6</v>
      </c>
    </row>
    <row r="122" spans="1:12">
      <c r="A122" s="9">
        <v>1585</v>
      </c>
      <c r="B122">
        <v>1</v>
      </c>
      <c r="C122" s="9">
        <v>4</v>
      </c>
      <c r="E122" s="4">
        <f t="shared" si="13"/>
        <v>119</v>
      </c>
      <c r="F122" s="4">
        <f t="shared" si="14"/>
        <v>0.38974358974358969</v>
      </c>
      <c r="G122" s="3">
        <f t="shared" si="15"/>
        <v>0.32967995396436067</v>
      </c>
      <c r="K122">
        <f t="shared" si="11"/>
        <v>0.39138517497393988</v>
      </c>
      <c r="L122">
        <f t="shared" si="12"/>
        <v>2.6948020685038676E-6</v>
      </c>
    </row>
    <row r="123" spans="1:12">
      <c r="A123" s="9">
        <v>1577</v>
      </c>
      <c r="B123">
        <v>1</v>
      </c>
      <c r="C123" s="9">
        <v>11</v>
      </c>
      <c r="E123" s="4">
        <f t="shared" si="13"/>
        <v>119</v>
      </c>
      <c r="F123" s="4">
        <f t="shared" si="14"/>
        <v>0.38974358974358969</v>
      </c>
      <c r="G123" s="3">
        <f t="shared" si="15"/>
        <v>0.32967995396436067</v>
      </c>
      <c r="K123">
        <f t="shared" si="11"/>
        <v>0.39138517497393988</v>
      </c>
      <c r="L123">
        <f t="shared" si="12"/>
        <v>2.6948020685038676E-6</v>
      </c>
    </row>
    <row r="124" spans="1:12">
      <c r="A124" s="9">
        <v>1518</v>
      </c>
      <c r="B124">
        <v>1</v>
      </c>
      <c r="C124" s="9">
        <v>4</v>
      </c>
      <c r="E124" s="4">
        <f t="shared" si="13"/>
        <v>119</v>
      </c>
      <c r="F124" s="4">
        <f t="shared" si="14"/>
        <v>0.38974358974358969</v>
      </c>
      <c r="G124" s="3">
        <f t="shared" si="15"/>
        <v>0.32967995396436067</v>
      </c>
      <c r="K124">
        <f t="shared" si="11"/>
        <v>0.39138517497393988</v>
      </c>
      <c r="L124">
        <f t="shared" si="12"/>
        <v>2.6948020685038676E-6</v>
      </c>
    </row>
    <row r="125" spans="1:12">
      <c r="A125" s="9">
        <v>1492</v>
      </c>
      <c r="B125">
        <v>1</v>
      </c>
      <c r="C125" s="9">
        <v>4</v>
      </c>
      <c r="E125" s="4">
        <f t="shared" si="13"/>
        <v>119</v>
      </c>
      <c r="F125" s="4">
        <f t="shared" si="14"/>
        <v>0.38974358974358969</v>
      </c>
      <c r="G125" s="3">
        <f t="shared" si="15"/>
        <v>0.32967995396436067</v>
      </c>
      <c r="K125">
        <f t="shared" si="11"/>
        <v>0.39138517497393988</v>
      </c>
      <c r="L125">
        <f t="shared" si="12"/>
        <v>2.6948020685038676E-6</v>
      </c>
    </row>
    <row r="126" spans="1:12">
      <c r="A126" s="9">
        <v>1563</v>
      </c>
      <c r="B126">
        <v>1</v>
      </c>
      <c r="C126" s="9">
        <v>3</v>
      </c>
      <c r="E126" s="4">
        <f t="shared" si="13"/>
        <v>119</v>
      </c>
      <c r="F126" s="4">
        <f t="shared" si="14"/>
        <v>0.38974358974358969</v>
      </c>
      <c r="G126" s="3">
        <f t="shared" si="15"/>
        <v>0.32967995396436067</v>
      </c>
      <c r="K126">
        <f t="shared" si="11"/>
        <v>0.39138517497393988</v>
      </c>
      <c r="L126">
        <f t="shared" si="12"/>
        <v>2.6948020685038676E-6</v>
      </c>
    </row>
    <row r="127" spans="1:12">
      <c r="A127" s="9">
        <v>1427</v>
      </c>
      <c r="B127">
        <v>1</v>
      </c>
      <c r="C127" s="9">
        <v>3</v>
      </c>
      <c r="E127" s="4">
        <f t="shared" si="13"/>
        <v>119</v>
      </c>
      <c r="F127" s="4">
        <f t="shared" si="14"/>
        <v>0.38974358974358969</v>
      </c>
      <c r="G127" s="3">
        <f t="shared" si="15"/>
        <v>0.32967995396436067</v>
      </c>
      <c r="K127">
        <f t="shared" si="11"/>
        <v>0.39138517497393988</v>
      </c>
      <c r="L127">
        <f t="shared" si="12"/>
        <v>2.6948020685038676E-6</v>
      </c>
    </row>
    <row r="128" spans="1:12">
      <c r="A128" s="9">
        <v>1415</v>
      </c>
      <c r="B128">
        <v>1</v>
      </c>
      <c r="C128" s="9">
        <v>5</v>
      </c>
      <c r="E128" s="4">
        <f t="shared" si="13"/>
        <v>119</v>
      </c>
      <c r="F128" s="4">
        <f t="shared" si="14"/>
        <v>0.38974358974358969</v>
      </c>
      <c r="G128" s="3">
        <f t="shared" si="15"/>
        <v>0.32967995396436067</v>
      </c>
      <c r="K128">
        <f t="shared" si="11"/>
        <v>0.39138517497393988</v>
      </c>
      <c r="L128">
        <f t="shared" si="12"/>
        <v>2.6948020685038676E-6</v>
      </c>
    </row>
    <row r="129" spans="1:12">
      <c r="A129" s="9">
        <v>1547</v>
      </c>
      <c r="B129">
        <v>1</v>
      </c>
      <c r="C129" s="9">
        <v>5</v>
      </c>
      <c r="E129" s="4">
        <f t="shared" si="13"/>
        <v>119</v>
      </c>
      <c r="F129" s="4">
        <f t="shared" si="14"/>
        <v>0.38974358974358969</v>
      </c>
      <c r="G129" s="3">
        <f t="shared" si="15"/>
        <v>0.32967995396436067</v>
      </c>
      <c r="K129">
        <f t="shared" si="11"/>
        <v>0.39138517497393988</v>
      </c>
      <c r="L129">
        <f t="shared" si="12"/>
        <v>2.6948020685038676E-6</v>
      </c>
    </row>
    <row r="130" spans="1:12">
      <c r="A130" s="9">
        <v>1433</v>
      </c>
      <c r="B130">
        <v>1</v>
      </c>
      <c r="C130" s="9">
        <v>3</v>
      </c>
      <c r="E130" s="4">
        <f t="shared" ref="E130:E161" si="16">RANK(B130,$B$2:$B$196)</f>
        <v>119</v>
      </c>
      <c r="F130" s="4">
        <f t="shared" ref="F130:F161" si="17">1-E130/$D$2</f>
        <v>0.38974358974358969</v>
      </c>
      <c r="G130" s="3">
        <f t="shared" ref="G130:G161" si="18">EXPONDIST(B130,$H$2,TRUE)</f>
        <v>0.32967995396436067</v>
      </c>
      <c r="K130">
        <f t="shared" si="11"/>
        <v>0.39138517497393988</v>
      </c>
      <c r="L130">
        <f t="shared" si="12"/>
        <v>2.6948020685038676E-6</v>
      </c>
    </row>
    <row r="131" spans="1:12">
      <c r="A131" s="9">
        <v>1906</v>
      </c>
      <c r="B131">
        <v>1</v>
      </c>
      <c r="C131" s="9">
        <v>2</v>
      </c>
      <c r="E131" s="4">
        <f t="shared" si="16"/>
        <v>119</v>
      </c>
      <c r="F131" s="4">
        <f t="shared" si="17"/>
        <v>0.38974358974358969</v>
      </c>
      <c r="G131" s="3">
        <f t="shared" si="18"/>
        <v>0.32967995396436067</v>
      </c>
      <c r="K131">
        <f t="shared" ref="K131:K194" si="19">GAMMADIST(B131,$I$2,$J$2,TRUE)</f>
        <v>0.39138517497393988</v>
      </c>
      <c r="L131">
        <f t="shared" ref="L131:L194" si="20">(F131-K131)^2</f>
        <v>2.6948020685038676E-6</v>
      </c>
    </row>
    <row r="132" spans="1:12">
      <c r="A132" s="9">
        <v>1959</v>
      </c>
      <c r="B132">
        <v>1</v>
      </c>
      <c r="C132" s="9">
        <v>8</v>
      </c>
      <c r="E132" s="4">
        <f t="shared" si="16"/>
        <v>119</v>
      </c>
      <c r="F132" s="4">
        <f t="shared" si="17"/>
        <v>0.38974358974358969</v>
      </c>
      <c r="G132" s="3">
        <f t="shared" si="18"/>
        <v>0.32967995396436067</v>
      </c>
      <c r="K132">
        <f t="shared" si="19"/>
        <v>0.39138517497393988</v>
      </c>
      <c r="L132">
        <f t="shared" si="20"/>
        <v>2.6948020685038676E-6</v>
      </c>
    </row>
    <row r="133" spans="1:12">
      <c r="A133" s="9">
        <v>1925</v>
      </c>
      <c r="B133">
        <v>1</v>
      </c>
      <c r="C133" s="9">
        <v>9</v>
      </c>
      <c r="E133" s="4">
        <f t="shared" si="16"/>
        <v>119</v>
      </c>
      <c r="F133" s="4">
        <f t="shared" si="17"/>
        <v>0.38974358974358969</v>
      </c>
      <c r="G133" s="3">
        <f t="shared" si="18"/>
        <v>0.32967995396436067</v>
      </c>
      <c r="K133">
        <f t="shared" si="19"/>
        <v>0.39138517497393988</v>
      </c>
      <c r="L133">
        <f t="shared" si="20"/>
        <v>2.6948020685038676E-6</v>
      </c>
    </row>
    <row r="134" spans="1:12">
      <c r="A134" s="9">
        <v>1913</v>
      </c>
      <c r="B134">
        <v>1</v>
      </c>
      <c r="C134" s="9">
        <v>4</v>
      </c>
      <c r="E134" s="4">
        <f t="shared" si="16"/>
        <v>119</v>
      </c>
      <c r="F134" s="4">
        <f t="shared" si="17"/>
        <v>0.38974358974358969</v>
      </c>
      <c r="G134" s="3">
        <f t="shared" si="18"/>
        <v>0.32967995396436067</v>
      </c>
      <c r="K134">
        <f t="shared" si="19"/>
        <v>0.39138517497393988</v>
      </c>
      <c r="L134">
        <f t="shared" si="20"/>
        <v>2.6948020685038676E-6</v>
      </c>
    </row>
    <row r="135" spans="1:12">
      <c r="A135" s="9">
        <v>1948</v>
      </c>
      <c r="B135">
        <v>1</v>
      </c>
      <c r="C135" s="9">
        <v>5</v>
      </c>
      <c r="E135" s="4">
        <f t="shared" si="16"/>
        <v>119</v>
      </c>
      <c r="F135" s="4">
        <f t="shared" si="17"/>
        <v>0.38974358974358969</v>
      </c>
      <c r="G135" s="3">
        <f t="shared" si="18"/>
        <v>0.32967995396436067</v>
      </c>
      <c r="K135">
        <f t="shared" si="19"/>
        <v>0.39138517497393988</v>
      </c>
      <c r="L135">
        <f t="shared" si="20"/>
        <v>2.6948020685038676E-6</v>
      </c>
    </row>
    <row r="136" spans="1:12">
      <c r="A136" s="9">
        <v>1535</v>
      </c>
      <c r="B136">
        <v>1</v>
      </c>
      <c r="C136" s="9">
        <v>3</v>
      </c>
      <c r="E136" s="4">
        <f t="shared" si="16"/>
        <v>119</v>
      </c>
      <c r="F136" s="4">
        <f t="shared" si="17"/>
        <v>0.38974358974358969</v>
      </c>
      <c r="G136" s="3">
        <f t="shared" si="18"/>
        <v>0.32967995396436067</v>
      </c>
      <c r="K136">
        <f t="shared" si="19"/>
        <v>0.39138517497393988</v>
      </c>
      <c r="L136">
        <f t="shared" si="20"/>
        <v>2.6948020685038676E-6</v>
      </c>
    </row>
    <row r="137" spans="1:12">
      <c r="A137" s="9">
        <v>1521</v>
      </c>
      <c r="B137">
        <v>1</v>
      </c>
      <c r="C137" s="9">
        <v>3</v>
      </c>
      <c r="E137" s="4">
        <f t="shared" si="16"/>
        <v>119</v>
      </c>
      <c r="F137" s="4">
        <f t="shared" si="17"/>
        <v>0.38974358974358969</v>
      </c>
      <c r="G137" s="3">
        <f t="shared" si="18"/>
        <v>0.32967995396436067</v>
      </c>
      <c r="K137">
        <f t="shared" si="19"/>
        <v>0.39138517497393988</v>
      </c>
      <c r="L137">
        <f t="shared" si="20"/>
        <v>2.6948020685038676E-6</v>
      </c>
    </row>
    <row r="138" spans="1:12">
      <c r="A138" s="9">
        <v>1943</v>
      </c>
      <c r="B138">
        <v>1</v>
      </c>
      <c r="C138" s="9">
        <v>7</v>
      </c>
      <c r="E138" s="4">
        <f t="shared" si="16"/>
        <v>119</v>
      </c>
      <c r="F138" s="4">
        <f t="shared" si="17"/>
        <v>0.38974358974358969</v>
      </c>
      <c r="G138" s="3">
        <f t="shared" si="18"/>
        <v>0.32967995396436067</v>
      </c>
      <c r="K138">
        <f t="shared" si="19"/>
        <v>0.39138517497393988</v>
      </c>
      <c r="L138">
        <f t="shared" si="20"/>
        <v>2.6948020685038676E-6</v>
      </c>
    </row>
    <row r="139" spans="1:12">
      <c r="A139" s="9">
        <v>1934</v>
      </c>
      <c r="B139">
        <v>1</v>
      </c>
      <c r="C139" s="9">
        <v>3</v>
      </c>
      <c r="E139" s="4">
        <f t="shared" si="16"/>
        <v>119</v>
      </c>
      <c r="F139" s="4">
        <f t="shared" si="17"/>
        <v>0.38974358974358969</v>
      </c>
      <c r="G139" s="3">
        <f t="shared" si="18"/>
        <v>0.32967995396436067</v>
      </c>
      <c r="K139">
        <f t="shared" si="19"/>
        <v>0.39138517497393988</v>
      </c>
      <c r="L139">
        <f t="shared" si="20"/>
        <v>2.6948020685038676E-6</v>
      </c>
    </row>
    <row r="140" spans="1:12">
      <c r="A140" s="9">
        <v>1397</v>
      </c>
      <c r="B140">
        <v>1</v>
      </c>
      <c r="C140" s="9">
        <v>5</v>
      </c>
      <c r="E140" s="4">
        <f t="shared" si="16"/>
        <v>119</v>
      </c>
      <c r="F140" s="4">
        <f t="shared" si="17"/>
        <v>0.38974358974358969</v>
      </c>
      <c r="G140" s="3">
        <f t="shared" si="18"/>
        <v>0.32967995396436067</v>
      </c>
      <c r="K140">
        <f t="shared" si="19"/>
        <v>0.39138517497393988</v>
      </c>
      <c r="L140">
        <f t="shared" si="20"/>
        <v>2.6948020685038676E-6</v>
      </c>
    </row>
    <row r="141" spans="1:12">
      <c r="A141" s="9">
        <v>1616</v>
      </c>
      <c r="B141">
        <v>1</v>
      </c>
      <c r="C141" s="9">
        <v>8</v>
      </c>
      <c r="E141" s="4">
        <f t="shared" si="16"/>
        <v>119</v>
      </c>
      <c r="F141" s="4">
        <f t="shared" si="17"/>
        <v>0.38974358974358969</v>
      </c>
      <c r="G141" s="3">
        <f t="shared" si="18"/>
        <v>0.32967995396436067</v>
      </c>
      <c r="K141">
        <f t="shared" si="19"/>
        <v>0.39138517497393988</v>
      </c>
      <c r="L141">
        <f t="shared" si="20"/>
        <v>2.6948020685038676E-6</v>
      </c>
    </row>
    <row r="142" spans="1:12">
      <c r="A142" s="9">
        <v>1608</v>
      </c>
      <c r="B142">
        <v>1</v>
      </c>
      <c r="C142" s="9">
        <v>11</v>
      </c>
      <c r="E142" s="4">
        <f t="shared" si="16"/>
        <v>119</v>
      </c>
      <c r="F142" s="4">
        <f t="shared" si="17"/>
        <v>0.38974358974358969</v>
      </c>
      <c r="G142" s="3">
        <f t="shared" si="18"/>
        <v>0.32967995396436067</v>
      </c>
      <c r="K142">
        <f t="shared" si="19"/>
        <v>0.39138517497393988</v>
      </c>
      <c r="L142">
        <f t="shared" si="20"/>
        <v>2.6948020685038676E-6</v>
      </c>
    </row>
    <row r="143" spans="1:12">
      <c r="A143" s="9">
        <v>1673</v>
      </c>
      <c r="B143">
        <v>1</v>
      </c>
      <c r="C143" s="9">
        <v>3</v>
      </c>
      <c r="E143" s="4">
        <f t="shared" si="16"/>
        <v>119</v>
      </c>
      <c r="F143" s="4">
        <f t="shared" si="17"/>
        <v>0.38974358974358969</v>
      </c>
      <c r="G143" s="3">
        <f t="shared" si="18"/>
        <v>0.32967995396436067</v>
      </c>
      <c r="K143">
        <f t="shared" si="19"/>
        <v>0.39138517497393988</v>
      </c>
      <c r="L143">
        <f t="shared" si="20"/>
        <v>2.6948020685038676E-6</v>
      </c>
    </row>
    <row r="144" spans="1:12">
      <c r="A144" s="9">
        <v>1670</v>
      </c>
      <c r="B144">
        <v>1</v>
      </c>
      <c r="C144" s="9">
        <v>4</v>
      </c>
      <c r="E144" s="4">
        <f t="shared" si="16"/>
        <v>119</v>
      </c>
      <c r="F144" s="4">
        <f t="shared" si="17"/>
        <v>0.38974358974358969</v>
      </c>
      <c r="G144" s="3">
        <f t="shared" si="18"/>
        <v>0.32967995396436067</v>
      </c>
      <c r="K144">
        <f t="shared" si="19"/>
        <v>0.39138517497393988</v>
      </c>
      <c r="L144">
        <f t="shared" si="20"/>
        <v>2.6948020685038676E-6</v>
      </c>
    </row>
    <row r="145" spans="1:12">
      <c r="A145" s="9">
        <v>1595</v>
      </c>
      <c r="B145">
        <v>1</v>
      </c>
      <c r="C145" s="9">
        <v>5</v>
      </c>
      <c r="E145" s="4">
        <f t="shared" si="16"/>
        <v>119</v>
      </c>
      <c r="F145" s="4">
        <f t="shared" si="17"/>
        <v>0.38974358974358969</v>
      </c>
      <c r="G145" s="3">
        <f t="shared" si="18"/>
        <v>0.32967995396436067</v>
      </c>
      <c r="K145">
        <f t="shared" si="19"/>
        <v>0.39138517497393988</v>
      </c>
      <c r="L145">
        <f t="shared" si="20"/>
        <v>2.6948020685038676E-6</v>
      </c>
    </row>
    <row r="146" spans="1:12">
      <c r="A146" s="9">
        <v>1652</v>
      </c>
      <c r="B146">
        <v>1</v>
      </c>
      <c r="C146" s="9">
        <v>11</v>
      </c>
      <c r="E146" s="4">
        <f t="shared" si="16"/>
        <v>119</v>
      </c>
      <c r="F146" s="4">
        <f t="shared" si="17"/>
        <v>0.38974358974358969</v>
      </c>
      <c r="G146" s="3">
        <f t="shared" si="18"/>
        <v>0.32967995396436067</v>
      </c>
      <c r="K146">
        <f t="shared" si="19"/>
        <v>0.39138517497393988</v>
      </c>
      <c r="L146">
        <f t="shared" si="20"/>
        <v>2.6948020685038676E-6</v>
      </c>
    </row>
    <row r="147" spans="1:12">
      <c r="A147" s="9">
        <v>1638</v>
      </c>
      <c r="B147">
        <v>1</v>
      </c>
      <c r="C147" s="9">
        <v>8</v>
      </c>
      <c r="E147" s="4">
        <f t="shared" si="16"/>
        <v>119</v>
      </c>
      <c r="F147" s="4">
        <f t="shared" si="17"/>
        <v>0.38974358974358969</v>
      </c>
      <c r="G147" s="3">
        <f t="shared" si="18"/>
        <v>0.32967995396436067</v>
      </c>
      <c r="K147">
        <f t="shared" si="19"/>
        <v>0.39138517497393988</v>
      </c>
      <c r="L147">
        <f t="shared" si="20"/>
        <v>2.6948020685038676E-6</v>
      </c>
    </row>
    <row r="148" spans="1:12">
      <c r="A148" s="9">
        <v>1440</v>
      </c>
      <c r="B148">
        <v>1</v>
      </c>
      <c r="C148" s="9">
        <v>4</v>
      </c>
      <c r="E148" s="4">
        <f t="shared" si="16"/>
        <v>119</v>
      </c>
      <c r="F148" s="4">
        <f t="shared" si="17"/>
        <v>0.38974358974358969</v>
      </c>
      <c r="G148" s="3">
        <f t="shared" si="18"/>
        <v>0.32967995396436067</v>
      </c>
      <c r="K148">
        <f t="shared" si="19"/>
        <v>0.39138517497393988</v>
      </c>
      <c r="L148">
        <f t="shared" si="20"/>
        <v>2.6948020685038676E-6</v>
      </c>
    </row>
    <row r="149" spans="1:12">
      <c r="A149" s="9">
        <v>1654</v>
      </c>
      <c r="B149">
        <v>1</v>
      </c>
      <c r="C149" s="9">
        <v>2</v>
      </c>
      <c r="E149" s="4">
        <f t="shared" si="16"/>
        <v>119</v>
      </c>
      <c r="F149" s="4">
        <f t="shared" si="17"/>
        <v>0.38974358974358969</v>
      </c>
      <c r="G149" s="3">
        <f t="shared" si="18"/>
        <v>0.32967995396436067</v>
      </c>
      <c r="K149">
        <f t="shared" si="19"/>
        <v>0.39138517497393988</v>
      </c>
      <c r="L149">
        <f t="shared" si="20"/>
        <v>2.6948020685038676E-6</v>
      </c>
    </row>
    <row r="150" spans="1:12">
      <c r="A150" s="9">
        <v>1442</v>
      </c>
      <c r="B150">
        <v>1</v>
      </c>
      <c r="C150" s="9">
        <v>2</v>
      </c>
      <c r="E150" s="4">
        <f t="shared" si="16"/>
        <v>119</v>
      </c>
      <c r="F150" s="4">
        <f t="shared" si="17"/>
        <v>0.38974358974358969</v>
      </c>
      <c r="G150" s="3">
        <f t="shared" si="18"/>
        <v>0.32967995396436067</v>
      </c>
      <c r="K150">
        <f t="shared" si="19"/>
        <v>0.39138517497393988</v>
      </c>
      <c r="L150">
        <f t="shared" si="20"/>
        <v>2.6948020685038676E-6</v>
      </c>
    </row>
    <row r="151" spans="1:12">
      <c r="A151" s="9">
        <v>1666</v>
      </c>
      <c r="B151">
        <v>1</v>
      </c>
      <c r="C151" s="9">
        <v>2</v>
      </c>
      <c r="E151" s="4">
        <f t="shared" si="16"/>
        <v>119</v>
      </c>
      <c r="F151" s="4">
        <f t="shared" si="17"/>
        <v>0.38974358974358969</v>
      </c>
      <c r="G151" s="3">
        <f t="shared" si="18"/>
        <v>0.32967995396436067</v>
      </c>
      <c r="K151">
        <f t="shared" si="19"/>
        <v>0.39138517497393988</v>
      </c>
      <c r="L151">
        <f t="shared" si="20"/>
        <v>2.6948020685038676E-6</v>
      </c>
    </row>
    <row r="152" spans="1:12">
      <c r="A152" s="9">
        <v>1483</v>
      </c>
      <c r="B152">
        <v>1</v>
      </c>
      <c r="C152" s="9">
        <v>2</v>
      </c>
      <c r="E152" s="4">
        <f t="shared" si="16"/>
        <v>119</v>
      </c>
      <c r="F152" s="4">
        <f t="shared" si="17"/>
        <v>0.38974358974358969</v>
      </c>
      <c r="G152" s="3">
        <f t="shared" si="18"/>
        <v>0.32967995396436067</v>
      </c>
      <c r="K152">
        <f t="shared" si="19"/>
        <v>0.39138517497393988</v>
      </c>
      <c r="L152">
        <f t="shared" si="20"/>
        <v>2.6948020685038676E-6</v>
      </c>
    </row>
    <row r="153" spans="1:12">
      <c r="A153" s="9">
        <v>1481</v>
      </c>
      <c r="B153">
        <v>1</v>
      </c>
      <c r="C153" s="9">
        <v>13</v>
      </c>
      <c r="E153" s="4">
        <f t="shared" si="16"/>
        <v>119</v>
      </c>
      <c r="F153" s="4">
        <f t="shared" si="17"/>
        <v>0.38974358974358969</v>
      </c>
      <c r="G153" s="3">
        <f t="shared" si="18"/>
        <v>0.32967995396436067</v>
      </c>
      <c r="K153">
        <f t="shared" si="19"/>
        <v>0.39138517497393988</v>
      </c>
      <c r="L153">
        <f t="shared" si="20"/>
        <v>2.6948020685038676E-6</v>
      </c>
    </row>
    <row r="154" spans="1:12">
      <c r="A154" s="9">
        <v>1664</v>
      </c>
      <c r="B154">
        <v>1</v>
      </c>
      <c r="C154" s="9">
        <v>3</v>
      </c>
      <c r="E154" s="4">
        <f t="shared" si="16"/>
        <v>119</v>
      </c>
      <c r="F154" s="4">
        <f t="shared" si="17"/>
        <v>0.38974358974358969</v>
      </c>
      <c r="G154" s="3">
        <f t="shared" si="18"/>
        <v>0.32967995396436067</v>
      </c>
      <c r="K154">
        <f t="shared" si="19"/>
        <v>0.39138517497393988</v>
      </c>
      <c r="L154">
        <f t="shared" si="20"/>
        <v>2.6948020685038676E-6</v>
      </c>
    </row>
    <row r="155" spans="1:12">
      <c r="A155" s="9">
        <v>1712</v>
      </c>
      <c r="B155">
        <v>1</v>
      </c>
      <c r="C155" s="9">
        <v>4</v>
      </c>
      <c r="E155" s="4">
        <f t="shared" si="16"/>
        <v>119</v>
      </c>
      <c r="F155" s="4">
        <f t="shared" si="17"/>
        <v>0.38974358974358969</v>
      </c>
      <c r="G155" s="3">
        <f t="shared" si="18"/>
        <v>0.32967995396436067</v>
      </c>
      <c r="K155">
        <f t="shared" si="19"/>
        <v>0.39138517497393988</v>
      </c>
      <c r="L155">
        <f t="shared" si="20"/>
        <v>2.6948020685038676E-6</v>
      </c>
    </row>
    <row r="156" spans="1:12">
      <c r="A156" s="9">
        <v>1693</v>
      </c>
      <c r="B156">
        <v>1</v>
      </c>
      <c r="C156" s="9">
        <v>6</v>
      </c>
      <c r="E156" s="4">
        <f t="shared" si="16"/>
        <v>119</v>
      </c>
      <c r="F156" s="4">
        <f t="shared" si="17"/>
        <v>0.38974358974358969</v>
      </c>
      <c r="G156" s="3">
        <f t="shared" si="18"/>
        <v>0.32967995396436067</v>
      </c>
      <c r="K156">
        <f t="shared" si="19"/>
        <v>0.39138517497393988</v>
      </c>
      <c r="L156">
        <f t="shared" si="20"/>
        <v>2.6948020685038676E-6</v>
      </c>
    </row>
    <row r="157" spans="1:12">
      <c r="A157" s="9">
        <v>1661</v>
      </c>
      <c r="B157">
        <v>1</v>
      </c>
      <c r="C157" s="9">
        <v>3</v>
      </c>
      <c r="E157" s="4">
        <f t="shared" si="16"/>
        <v>119</v>
      </c>
      <c r="F157" s="4">
        <f t="shared" si="17"/>
        <v>0.38974358974358969</v>
      </c>
      <c r="G157" s="3">
        <f t="shared" si="18"/>
        <v>0.32967995396436067</v>
      </c>
      <c r="K157">
        <f t="shared" si="19"/>
        <v>0.39138517497393988</v>
      </c>
      <c r="L157">
        <f t="shared" si="20"/>
        <v>2.6948020685038676E-6</v>
      </c>
    </row>
    <row r="158" spans="1:12">
      <c r="A158" s="9">
        <v>1656</v>
      </c>
      <c r="B158">
        <v>1</v>
      </c>
      <c r="C158" s="9">
        <v>2</v>
      </c>
      <c r="E158" s="4">
        <f t="shared" si="16"/>
        <v>119</v>
      </c>
      <c r="F158" s="4">
        <f t="shared" si="17"/>
        <v>0.38974358974358969</v>
      </c>
      <c r="G158" s="3">
        <f t="shared" si="18"/>
        <v>0.32967995396436067</v>
      </c>
      <c r="K158">
        <f t="shared" si="19"/>
        <v>0.39138517497393988</v>
      </c>
      <c r="L158">
        <f t="shared" si="20"/>
        <v>2.6948020685038676E-6</v>
      </c>
    </row>
    <row r="159" spans="1:12">
      <c r="A159" s="9">
        <v>1057</v>
      </c>
      <c r="B159">
        <v>1</v>
      </c>
      <c r="C159" s="9">
        <v>10</v>
      </c>
      <c r="E159" s="4">
        <f t="shared" si="16"/>
        <v>119</v>
      </c>
      <c r="F159" s="4">
        <f t="shared" si="17"/>
        <v>0.38974358974358969</v>
      </c>
      <c r="G159" s="3">
        <f t="shared" si="18"/>
        <v>0.32967995396436067</v>
      </c>
      <c r="K159">
        <f t="shared" si="19"/>
        <v>0.39138517497393988</v>
      </c>
      <c r="L159">
        <f t="shared" si="20"/>
        <v>2.6948020685038676E-6</v>
      </c>
    </row>
    <row r="160" spans="1:12">
      <c r="A160" s="9">
        <v>1279</v>
      </c>
      <c r="B160">
        <v>1</v>
      </c>
      <c r="C160" s="9">
        <v>5</v>
      </c>
      <c r="E160" s="4">
        <f t="shared" si="16"/>
        <v>119</v>
      </c>
      <c r="F160" s="4">
        <f t="shared" si="17"/>
        <v>0.38974358974358969</v>
      </c>
      <c r="G160" s="3">
        <f t="shared" si="18"/>
        <v>0.32967995396436067</v>
      </c>
      <c r="K160">
        <f t="shared" si="19"/>
        <v>0.39138517497393988</v>
      </c>
      <c r="L160">
        <f t="shared" si="20"/>
        <v>2.6948020685038676E-6</v>
      </c>
    </row>
    <row r="161" spans="1:12">
      <c r="A161" s="9">
        <v>1272</v>
      </c>
      <c r="B161">
        <v>1</v>
      </c>
      <c r="C161" s="9">
        <v>3</v>
      </c>
      <c r="E161" s="4">
        <f t="shared" si="16"/>
        <v>119</v>
      </c>
      <c r="F161" s="4">
        <f t="shared" si="17"/>
        <v>0.38974358974358969</v>
      </c>
      <c r="G161" s="3">
        <f t="shared" si="18"/>
        <v>0.32967995396436067</v>
      </c>
      <c r="K161">
        <f t="shared" si="19"/>
        <v>0.39138517497393988</v>
      </c>
      <c r="L161">
        <f t="shared" si="20"/>
        <v>2.6948020685038676E-6</v>
      </c>
    </row>
    <row r="162" spans="1:12">
      <c r="A162" s="9">
        <v>1181</v>
      </c>
      <c r="B162">
        <v>1</v>
      </c>
      <c r="C162" s="9">
        <v>14</v>
      </c>
      <c r="E162" s="4">
        <f t="shared" ref="E162:E196" si="21">RANK(B162,$B$2:$B$196)</f>
        <v>119</v>
      </c>
      <c r="F162" s="4">
        <f t="shared" ref="F162:F193" si="22">1-E162/$D$2</f>
        <v>0.38974358974358969</v>
      </c>
      <c r="G162" s="3">
        <f t="shared" ref="G162:G197" si="23">EXPONDIST(B162,$H$2,TRUE)</f>
        <v>0.32967995396436067</v>
      </c>
      <c r="K162">
        <f t="shared" si="19"/>
        <v>0.39138517497393988</v>
      </c>
      <c r="L162">
        <f t="shared" si="20"/>
        <v>2.6948020685038676E-6</v>
      </c>
    </row>
    <row r="163" spans="1:12">
      <c r="A163" s="9">
        <v>1167</v>
      </c>
      <c r="B163">
        <v>1</v>
      </c>
      <c r="C163" s="9">
        <v>19</v>
      </c>
      <c r="E163" s="4">
        <f t="shared" si="21"/>
        <v>119</v>
      </c>
      <c r="F163" s="4">
        <f t="shared" si="22"/>
        <v>0.38974358974358969</v>
      </c>
      <c r="G163" s="3">
        <f t="shared" si="23"/>
        <v>0.32967995396436067</v>
      </c>
      <c r="K163">
        <f t="shared" si="19"/>
        <v>0.39138517497393988</v>
      </c>
      <c r="L163">
        <f t="shared" si="20"/>
        <v>2.6948020685038676E-6</v>
      </c>
    </row>
    <row r="164" spans="1:12">
      <c r="A164" s="9">
        <v>1358</v>
      </c>
      <c r="B164">
        <v>1</v>
      </c>
      <c r="C164" s="9">
        <v>9</v>
      </c>
      <c r="E164" s="4">
        <f t="shared" si="21"/>
        <v>119</v>
      </c>
      <c r="F164" s="4">
        <f t="shared" si="22"/>
        <v>0.38974358974358969</v>
      </c>
      <c r="G164" s="3">
        <f t="shared" si="23"/>
        <v>0.32967995396436067</v>
      </c>
      <c r="K164">
        <f t="shared" si="19"/>
        <v>0.39138517497393988</v>
      </c>
      <c r="L164">
        <f t="shared" si="20"/>
        <v>2.6948020685038676E-6</v>
      </c>
    </row>
    <row r="165" spans="1:12">
      <c r="A165" s="9">
        <v>1835</v>
      </c>
      <c r="B165">
        <v>1</v>
      </c>
      <c r="C165" s="9">
        <v>6</v>
      </c>
      <c r="E165" s="4">
        <f t="shared" si="21"/>
        <v>119</v>
      </c>
      <c r="F165" s="4">
        <f t="shared" si="22"/>
        <v>0.38974358974358969</v>
      </c>
      <c r="G165" s="3">
        <f t="shared" si="23"/>
        <v>0.32967995396436067</v>
      </c>
      <c r="K165">
        <f t="shared" si="19"/>
        <v>0.39138517497393988</v>
      </c>
      <c r="L165">
        <f t="shared" si="20"/>
        <v>2.6948020685038676E-6</v>
      </c>
    </row>
    <row r="166" spans="1:12">
      <c r="A166" s="9">
        <v>1824</v>
      </c>
      <c r="B166">
        <v>1</v>
      </c>
      <c r="C166" s="9">
        <v>2</v>
      </c>
      <c r="E166" s="4">
        <f t="shared" si="21"/>
        <v>119</v>
      </c>
      <c r="F166" s="4">
        <f t="shared" si="22"/>
        <v>0.38974358974358969</v>
      </c>
      <c r="G166" s="3">
        <f t="shared" si="23"/>
        <v>0.32967995396436067</v>
      </c>
      <c r="K166">
        <f t="shared" si="19"/>
        <v>0.39138517497393988</v>
      </c>
      <c r="L166">
        <f t="shared" si="20"/>
        <v>2.6948020685038676E-6</v>
      </c>
    </row>
    <row r="167" spans="1:12">
      <c r="A167" s="9">
        <v>1852</v>
      </c>
      <c r="B167">
        <v>1</v>
      </c>
      <c r="C167" s="9">
        <v>7</v>
      </c>
      <c r="E167" s="4">
        <f t="shared" si="21"/>
        <v>119</v>
      </c>
      <c r="F167" s="4">
        <f t="shared" si="22"/>
        <v>0.38974358974358969</v>
      </c>
      <c r="G167" s="3">
        <f t="shared" si="23"/>
        <v>0.32967995396436067</v>
      </c>
      <c r="K167">
        <f t="shared" si="19"/>
        <v>0.39138517497393988</v>
      </c>
      <c r="L167">
        <f t="shared" si="20"/>
        <v>2.6948020685038676E-6</v>
      </c>
    </row>
    <row r="168" spans="1:12">
      <c r="A168" s="9">
        <v>1874</v>
      </c>
      <c r="B168">
        <v>1</v>
      </c>
      <c r="C168" s="9">
        <v>15</v>
      </c>
      <c r="E168" s="4">
        <f t="shared" si="21"/>
        <v>119</v>
      </c>
      <c r="F168" s="4">
        <f t="shared" si="22"/>
        <v>0.38974358974358969</v>
      </c>
      <c r="G168" s="3">
        <f t="shared" si="23"/>
        <v>0.32967995396436067</v>
      </c>
      <c r="K168">
        <f t="shared" si="19"/>
        <v>0.39138517497393988</v>
      </c>
      <c r="L168">
        <f t="shared" si="20"/>
        <v>2.6948020685038676E-6</v>
      </c>
    </row>
    <row r="169" spans="1:12">
      <c r="A169" s="9">
        <v>1336</v>
      </c>
      <c r="B169">
        <v>1</v>
      </c>
      <c r="C169" s="9">
        <v>9</v>
      </c>
      <c r="E169" s="4">
        <f t="shared" si="21"/>
        <v>119</v>
      </c>
      <c r="F169" s="4">
        <f t="shared" si="22"/>
        <v>0.38974358974358969</v>
      </c>
      <c r="G169" s="3">
        <f t="shared" si="23"/>
        <v>0.32967995396436067</v>
      </c>
      <c r="K169">
        <f t="shared" si="19"/>
        <v>0.39138517497393988</v>
      </c>
      <c r="L169">
        <f t="shared" si="20"/>
        <v>2.6948020685038676E-6</v>
      </c>
    </row>
    <row r="170" spans="1:12">
      <c r="A170" s="9">
        <v>1283</v>
      </c>
      <c r="B170">
        <v>1</v>
      </c>
      <c r="C170" s="9">
        <v>2</v>
      </c>
      <c r="E170" s="4">
        <f t="shared" si="21"/>
        <v>119</v>
      </c>
      <c r="F170" s="4">
        <f t="shared" si="22"/>
        <v>0.38974358974358969</v>
      </c>
      <c r="G170" s="3">
        <f t="shared" si="23"/>
        <v>0.32967995396436067</v>
      </c>
      <c r="K170">
        <f t="shared" si="19"/>
        <v>0.39138517497393988</v>
      </c>
      <c r="L170">
        <f t="shared" si="20"/>
        <v>2.6948020685038676E-6</v>
      </c>
    </row>
    <row r="171" spans="1:12">
      <c r="A171" s="9">
        <v>1066</v>
      </c>
      <c r="B171">
        <v>1</v>
      </c>
      <c r="C171" s="9">
        <v>5</v>
      </c>
      <c r="E171" s="4">
        <f t="shared" si="21"/>
        <v>119</v>
      </c>
      <c r="F171" s="4">
        <f t="shared" si="22"/>
        <v>0.38974358974358969</v>
      </c>
      <c r="G171" s="3">
        <f t="shared" si="23"/>
        <v>0.32967995396436067</v>
      </c>
      <c r="K171">
        <f t="shared" si="19"/>
        <v>0.39138517497393988</v>
      </c>
      <c r="L171">
        <f t="shared" si="20"/>
        <v>2.6948020685038676E-6</v>
      </c>
    </row>
    <row r="172" spans="1:12">
      <c r="A172" s="9">
        <v>1390</v>
      </c>
      <c r="B172">
        <v>1</v>
      </c>
      <c r="C172" s="9">
        <v>4</v>
      </c>
      <c r="E172" s="4">
        <f t="shared" si="21"/>
        <v>119</v>
      </c>
      <c r="F172" s="4">
        <f t="shared" si="22"/>
        <v>0.38974358974358969</v>
      </c>
      <c r="G172" s="3">
        <f t="shared" si="23"/>
        <v>0.32967995396436067</v>
      </c>
      <c r="K172">
        <f t="shared" si="19"/>
        <v>0.39138517497393988</v>
      </c>
      <c r="L172">
        <f t="shared" si="20"/>
        <v>2.6948020685038676E-6</v>
      </c>
    </row>
    <row r="173" spans="1:12">
      <c r="A173" s="9">
        <v>1281</v>
      </c>
      <c r="B173">
        <v>1</v>
      </c>
      <c r="C173" s="9">
        <v>2</v>
      </c>
      <c r="E173" s="4">
        <f t="shared" si="21"/>
        <v>119</v>
      </c>
      <c r="F173" s="4">
        <f t="shared" si="22"/>
        <v>0.38974358974358969</v>
      </c>
      <c r="G173" s="3">
        <f t="shared" si="23"/>
        <v>0.32967995396436067</v>
      </c>
      <c r="K173">
        <f t="shared" si="19"/>
        <v>0.39138517497393988</v>
      </c>
      <c r="L173">
        <f t="shared" si="20"/>
        <v>2.6948020685038676E-6</v>
      </c>
    </row>
    <row r="174" spans="1:12">
      <c r="A174" s="9">
        <v>1310</v>
      </c>
      <c r="B174">
        <v>1</v>
      </c>
      <c r="C174" s="9">
        <v>5</v>
      </c>
      <c r="E174" s="4">
        <f t="shared" si="21"/>
        <v>119</v>
      </c>
      <c r="F174" s="4">
        <f t="shared" si="22"/>
        <v>0.38974358974358969</v>
      </c>
      <c r="G174" s="3">
        <f t="shared" si="23"/>
        <v>0.32967995396436067</v>
      </c>
      <c r="K174">
        <f t="shared" si="19"/>
        <v>0.39138517497393988</v>
      </c>
      <c r="L174">
        <f t="shared" si="20"/>
        <v>2.6948020685038676E-6</v>
      </c>
    </row>
    <row r="175" spans="1:12">
      <c r="A175" s="9">
        <v>1258</v>
      </c>
      <c r="B175">
        <v>1</v>
      </c>
      <c r="C175" s="9">
        <v>4</v>
      </c>
      <c r="E175" s="4">
        <f t="shared" si="21"/>
        <v>119</v>
      </c>
      <c r="F175" s="4">
        <f t="shared" si="22"/>
        <v>0.38974358974358969</v>
      </c>
      <c r="G175" s="3">
        <f t="shared" si="23"/>
        <v>0.32967995396436067</v>
      </c>
      <c r="K175">
        <f t="shared" si="19"/>
        <v>0.39138517497393988</v>
      </c>
      <c r="L175">
        <f t="shared" si="20"/>
        <v>2.6948020685038676E-6</v>
      </c>
    </row>
    <row r="176" spans="1:12">
      <c r="A176" s="9">
        <v>1322</v>
      </c>
      <c r="B176">
        <v>1</v>
      </c>
      <c r="C176" s="9">
        <v>3</v>
      </c>
      <c r="E176" s="4">
        <f t="shared" si="21"/>
        <v>119</v>
      </c>
      <c r="F176" s="4">
        <f t="shared" si="22"/>
        <v>0.38974358974358969</v>
      </c>
      <c r="G176" s="3">
        <f t="shared" si="23"/>
        <v>0.32967995396436067</v>
      </c>
      <c r="K176">
        <f t="shared" si="19"/>
        <v>0.39138517497393988</v>
      </c>
      <c r="L176">
        <f t="shared" si="20"/>
        <v>2.6948020685038676E-6</v>
      </c>
    </row>
    <row r="177" spans="1:12">
      <c r="A177" s="9">
        <v>1325</v>
      </c>
      <c r="B177">
        <v>1</v>
      </c>
      <c r="C177" s="9">
        <v>3</v>
      </c>
      <c r="E177" s="4">
        <f t="shared" si="21"/>
        <v>119</v>
      </c>
      <c r="F177" s="4">
        <f t="shared" si="22"/>
        <v>0.38974358974358969</v>
      </c>
      <c r="G177" s="3">
        <f t="shared" si="23"/>
        <v>0.32967995396436067</v>
      </c>
      <c r="K177">
        <f t="shared" si="19"/>
        <v>0.39138517497393988</v>
      </c>
      <c r="L177">
        <f t="shared" si="20"/>
        <v>2.6948020685038676E-6</v>
      </c>
    </row>
    <row r="178" spans="1:12">
      <c r="A178" s="9">
        <v>1980</v>
      </c>
      <c r="B178">
        <v>1</v>
      </c>
      <c r="C178" s="9">
        <v>2</v>
      </c>
      <c r="E178" s="4">
        <f t="shared" si="21"/>
        <v>119</v>
      </c>
      <c r="F178" s="4">
        <f t="shared" si="22"/>
        <v>0.38974358974358969</v>
      </c>
      <c r="G178" s="3">
        <f t="shared" si="23"/>
        <v>0.32967995396436067</v>
      </c>
      <c r="K178">
        <f t="shared" si="19"/>
        <v>0.39138517497393988</v>
      </c>
      <c r="L178">
        <f t="shared" si="20"/>
        <v>2.6948020685038676E-6</v>
      </c>
    </row>
    <row r="179" spans="1:12">
      <c r="A179" s="9">
        <v>1978</v>
      </c>
      <c r="B179">
        <v>1</v>
      </c>
      <c r="C179" s="9">
        <v>4</v>
      </c>
      <c r="E179" s="4">
        <f t="shared" si="21"/>
        <v>119</v>
      </c>
      <c r="F179" s="4">
        <f t="shared" si="22"/>
        <v>0.38974358974358969</v>
      </c>
      <c r="G179" s="3">
        <f t="shared" si="23"/>
        <v>0.32967995396436067</v>
      </c>
      <c r="K179">
        <f t="shared" si="19"/>
        <v>0.39138517497393988</v>
      </c>
      <c r="L179">
        <f t="shared" si="20"/>
        <v>2.6948020685038676E-6</v>
      </c>
    </row>
    <row r="180" spans="1:12">
      <c r="A180" s="9">
        <v>1974</v>
      </c>
      <c r="B180">
        <v>1</v>
      </c>
      <c r="C180" s="9">
        <v>3</v>
      </c>
      <c r="E180" s="4">
        <f t="shared" si="21"/>
        <v>119</v>
      </c>
      <c r="F180" s="4">
        <f t="shared" si="22"/>
        <v>0.38974358974358969</v>
      </c>
      <c r="G180" s="3">
        <f t="shared" si="23"/>
        <v>0.32967995396436067</v>
      </c>
      <c r="K180">
        <f t="shared" si="19"/>
        <v>0.39138517497393988</v>
      </c>
      <c r="L180">
        <f t="shared" si="20"/>
        <v>2.6948020685038676E-6</v>
      </c>
    </row>
    <row r="181" spans="1:12">
      <c r="A181" s="9">
        <v>1812</v>
      </c>
      <c r="B181">
        <v>1</v>
      </c>
      <c r="C181" s="9">
        <v>4</v>
      </c>
      <c r="E181" s="4">
        <f t="shared" si="21"/>
        <v>119</v>
      </c>
      <c r="F181" s="4">
        <f t="shared" si="22"/>
        <v>0.38974358974358969</v>
      </c>
      <c r="G181" s="3">
        <f t="shared" si="23"/>
        <v>0.32967995396436067</v>
      </c>
      <c r="K181">
        <f t="shared" si="19"/>
        <v>0.39138517497393988</v>
      </c>
      <c r="L181">
        <f t="shared" si="20"/>
        <v>2.6948020685038676E-6</v>
      </c>
    </row>
    <row r="182" spans="1:12">
      <c r="A182" s="9">
        <v>1808</v>
      </c>
      <c r="B182">
        <v>1</v>
      </c>
      <c r="C182" s="9">
        <v>3</v>
      </c>
      <c r="E182" s="4">
        <f t="shared" si="21"/>
        <v>119</v>
      </c>
      <c r="F182" s="4">
        <f t="shared" si="22"/>
        <v>0.38974358974358969</v>
      </c>
      <c r="G182" s="3">
        <f t="shared" si="23"/>
        <v>0.32967995396436067</v>
      </c>
      <c r="K182">
        <f t="shared" si="19"/>
        <v>0.39138517497393988</v>
      </c>
      <c r="L182">
        <f t="shared" si="20"/>
        <v>2.6948020685038676E-6</v>
      </c>
    </row>
    <row r="183" spans="1:12">
      <c r="A183" s="9">
        <v>1961</v>
      </c>
      <c r="B183">
        <v>1</v>
      </c>
      <c r="C183" s="9">
        <v>2</v>
      </c>
      <c r="E183" s="4">
        <f t="shared" si="21"/>
        <v>119</v>
      </c>
      <c r="F183" s="4">
        <f t="shared" si="22"/>
        <v>0.38974358974358969</v>
      </c>
      <c r="G183" s="3">
        <f t="shared" si="23"/>
        <v>0.32967995396436067</v>
      </c>
      <c r="K183">
        <f t="shared" si="19"/>
        <v>0.39138517497393988</v>
      </c>
      <c r="L183">
        <f t="shared" si="20"/>
        <v>2.6948020685038676E-6</v>
      </c>
    </row>
    <row r="184" spans="1:12">
      <c r="A184" s="9">
        <v>1988</v>
      </c>
      <c r="B184">
        <v>1</v>
      </c>
      <c r="C184" s="9">
        <v>4</v>
      </c>
      <c r="E184" s="4">
        <f t="shared" si="21"/>
        <v>119</v>
      </c>
      <c r="F184" s="4">
        <f t="shared" si="22"/>
        <v>0.38974358974358969</v>
      </c>
      <c r="G184" s="3">
        <f t="shared" si="23"/>
        <v>0.32967995396436067</v>
      </c>
      <c r="K184">
        <f t="shared" si="19"/>
        <v>0.39138517497393988</v>
      </c>
      <c r="L184">
        <f t="shared" si="20"/>
        <v>2.6948020685038676E-6</v>
      </c>
    </row>
    <row r="185" spans="1:12">
      <c r="A185" s="9">
        <v>1984</v>
      </c>
      <c r="B185">
        <v>1</v>
      </c>
      <c r="C185" s="9">
        <v>4</v>
      </c>
      <c r="E185" s="4">
        <f t="shared" si="21"/>
        <v>119</v>
      </c>
      <c r="F185" s="4">
        <f t="shared" si="22"/>
        <v>0.38974358974358969</v>
      </c>
      <c r="G185" s="3">
        <f t="shared" si="23"/>
        <v>0.32967995396436067</v>
      </c>
      <c r="K185">
        <f t="shared" si="19"/>
        <v>0.39138517497393988</v>
      </c>
      <c r="L185">
        <f t="shared" si="20"/>
        <v>2.6948020685038676E-6</v>
      </c>
    </row>
    <row r="186" spans="1:12">
      <c r="A186" s="9">
        <v>2003</v>
      </c>
      <c r="B186">
        <v>1</v>
      </c>
      <c r="C186" s="9">
        <v>5</v>
      </c>
      <c r="E186" s="4">
        <f t="shared" si="21"/>
        <v>119</v>
      </c>
      <c r="F186" s="4">
        <f t="shared" si="22"/>
        <v>0.38974358974358969</v>
      </c>
      <c r="G186" s="3">
        <f t="shared" si="23"/>
        <v>0.32967995396436067</v>
      </c>
      <c r="K186">
        <f t="shared" si="19"/>
        <v>0.39138517497393988</v>
      </c>
      <c r="L186">
        <f t="shared" si="20"/>
        <v>2.6948020685038676E-6</v>
      </c>
    </row>
    <row r="187" spans="1:12">
      <c r="A187" s="9">
        <v>1996</v>
      </c>
      <c r="B187">
        <v>1</v>
      </c>
      <c r="C187" s="9">
        <v>8</v>
      </c>
      <c r="E187" s="4">
        <f t="shared" si="21"/>
        <v>119</v>
      </c>
      <c r="F187" s="4">
        <f t="shared" si="22"/>
        <v>0.38974358974358969</v>
      </c>
      <c r="G187" s="3">
        <f t="shared" si="23"/>
        <v>0.32967995396436067</v>
      </c>
      <c r="K187">
        <f t="shared" si="19"/>
        <v>0.39138517497393988</v>
      </c>
      <c r="L187">
        <f t="shared" si="20"/>
        <v>2.6948020685038676E-6</v>
      </c>
    </row>
    <row r="188" spans="1:12">
      <c r="A188" s="9">
        <v>1889</v>
      </c>
      <c r="B188">
        <v>1</v>
      </c>
      <c r="C188" s="9">
        <v>3</v>
      </c>
      <c r="E188" s="4">
        <f t="shared" si="21"/>
        <v>119</v>
      </c>
      <c r="F188" s="4">
        <f t="shared" si="22"/>
        <v>0.38974358974358969</v>
      </c>
      <c r="G188" s="3">
        <f t="shared" si="23"/>
        <v>0.32967995396436067</v>
      </c>
      <c r="K188">
        <f t="shared" si="19"/>
        <v>0.39138517497393988</v>
      </c>
      <c r="L188">
        <f t="shared" si="20"/>
        <v>2.6948020685038676E-6</v>
      </c>
    </row>
    <row r="189" spans="1:12">
      <c r="A189" s="9">
        <v>1798</v>
      </c>
      <c r="B189">
        <v>1</v>
      </c>
      <c r="C189" s="9">
        <v>9</v>
      </c>
      <c r="E189" s="4">
        <f t="shared" si="21"/>
        <v>119</v>
      </c>
      <c r="F189" s="4">
        <f t="shared" si="22"/>
        <v>0.38974358974358969</v>
      </c>
      <c r="G189" s="3">
        <f t="shared" si="23"/>
        <v>0.32967995396436067</v>
      </c>
      <c r="K189">
        <f t="shared" si="19"/>
        <v>0.39138517497393988</v>
      </c>
      <c r="L189">
        <f t="shared" si="20"/>
        <v>2.6948020685038676E-6</v>
      </c>
    </row>
    <row r="190" spans="1:12">
      <c r="A190" s="9">
        <v>1904</v>
      </c>
      <c r="B190">
        <v>1</v>
      </c>
      <c r="C190" s="9">
        <v>3</v>
      </c>
      <c r="E190" s="4">
        <f t="shared" si="21"/>
        <v>119</v>
      </c>
      <c r="F190" s="4">
        <f t="shared" si="22"/>
        <v>0.38974358974358969</v>
      </c>
      <c r="G190" s="3">
        <f t="shared" si="23"/>
        <v>0.32967995396436067</v>
      </c>
      <c r="K190">
        <f t="shared" si="19"/>
        <v>0.39138517497393988</v>
      </c>
      <c r="L190">
        <f t="shared" si="20"/>
        <v>2.6948020685038676E-6</v>
      </c>
    </row>
    <row r="191" spans="1:12">
      <c r="A191" s="9">
        <v>1899</v>
      </c>
      <c r="B191">
        <v>1</v>
      </c>
      <c r="C191" s="9">
        <v>6</v>
      </c>
      <c r="E191" s="4">
        <f t="shared" si="21"/>
        <v>119</v>
      </c>
      <c r="F191" s="4">
        <f t="shared" si="22"/>
        <v>0.38974358974358969</v>
      </c>
      <c r="G191" s="3">
        <f t="shared" si="23"/>
        <v>0.32967995396436067</v>
      </c>
      <c r="K191">
        <f t="shared" si="19"/>
        <v>0.39138517497393988</v>
      </c>
      <c r="L191">
        <f t="shared" si="20"/>
        <v>2.6948020685038676E-6</v>
      </c>
    </row>
    <row r="192" spans="1:12">
      <c r="A192" s="9">
        <v>1780</v>
      </c>
      <c r="B192">
        <v>1</v>
      </c>
      <c r="C192" s="9">
        <v>8</v>
      </c>
      <c r="E192" s="4">
        <f t="shared" si="21"/>
        <v>119</v>
      </c>
      <c r="F192" s="4">
        <f t="shared" si="22"/>
        <v>0.38974358974358969</v>
      </c>
      <c r="G192" s="3">
        <f t="shared" si="23"/>
        <v>0.32967995396436067</v>
      </c>
      <c r="K192">
        <f t="shared" si="19"/>
        <v>0.39138517497393988</v>
      </c>
      <c r="L192">
        <f t="shared" si="20"/>
        <v>2.6948020685038676E-6</v>
      </c>
    </row>
    <row r="193" spans="1:12">
      <c r="A193" s="9">
        <v>1822</v>
      </c>
      <c r="B193">
        <v>1</v>
      </c>
      <c r="C193" s="9">
        <v>3</v>
      </c>
      <c r="E193" s="4">
        <f t="shared" si="21"/>
        <v>119</v>
      </c>
      <c r="F193" s="4">
        <f t="shared" si="22"/>
        <v>0.38974358974358969</v>
      </c>
      <c r="G193" s="3">
        <f t="shared" si="23"/>
        <v>0.32967995396436067</v>
      </c>
      <c r="K193">
        <f t="shared" si="19"/>
        <v>0.39138517497393988</v>
      </c>
      <c r="L193">
        <f t="shared" si="20"/>
        <v>2.6948020685038676E-6</v>
      </c>
    </row>
    <row r="194" spans="1:12">
      <c r="A194" s="9">
        <v>1816</v>
      </c>
      <c r="B194">
        <v>1</v>
      </c>
      <c r="C194" s="9">
        <v>4</v>
      </c>
      <c r="E194" s="4">
        <f t="shared" si="21"/>
        <v>119</v>
      </c>
      <c r="F194" s="4">
        <f>1-E194/$D$2</f>
        <v>0.38974358974358969</v>
      </c>
      <c r="G194" s="3">
        <f t="shared" si="23"/>
        <v>0.32967995396436067</v>
      </c>
      <c r="K194">
        <f t="shared" si="19"/>
        <v>0.39138517497393988</v>
      </c>
      <c r="L194">
        <f t="shared" si="20"/>
        <v>2.6948020685038676E-6</v>
      </c>
    </row>
    <row r="195" spans="1:12">
      <c r="A195" s="9">
        <v>1734</v>
      </c>
      <c r="B195">
        <v>1</v>
      </c>
      <c r="C195" s="9">
        <v>7</v>
      </c>
      <c r="E195" s="4">
        <f t="shared" si="21"/>
        <v>119</v>
      </c>
      <c r="F195" s="4">
        <f>1-E195/$D$2</f>
        <v>0.38974358974358969</v>
      </c>
      <c r="G195" s="3">
        <f t="shared" si="23"/>
        <v>0.32967995396436067</v>
      </c>
      <c r="K195">
        <f t="shared" ref="K195:K196" si="24">GAMMADIST(B195,$I$2,$J$2,TRUE)</f>
        <v>0.39138517497393988</v>
      </c>
      <c r="L195">
        <f t="shared" ref="L195:L197" si="25">(F195-K195)^2</f>
        <v>2.6948020685038676E-6</v>
      </c>
    </row>
    <row r="196" spans="1:12">
      <c r="A196" s="9">
        <v>1722</v>
      </c>
      <c r="B196">
        <v>1</v>
      </c>
      <c r="C196" s="9">
        <v>8</v>
      </c>
      <c r="E196" s="4">
        <f t="shared" si="21"/>
        <v>119</v>
      </c>
      <c r="F196" s="4">
        <f>1-E196/$D$2</f>
        <v>0.38974358974358969</v>
      </c>
      <c r="G196" s="3">
        <f t="shared" si="23"/>
        <v>0.32967995396436067</v>
      </c>
      <c r="K196">
        <f t="shared" si="24"/>
        <v>0.39138517497393988</v>
      </c>
      <c r="L196">
        <f t="shared" si="25"/>
        <v>2.6948020685038676E-6</v>
      </c>
    </row>
    <row r="197" spans="1:12">
      <c r="B197">
        <v>0</v>
      </c>
      <c r="E197">
        <v>195</v>
      </c>
      <c r="F197">
        <v>0</v>
      </c>
      <c r="G197" s="3">
        <f t="shared" si="23"/>
        <v>0</v>
      </c>
      <c r="K197">
        <v>0</v>
      </c>
      <c r="L197">
        <f t="shared" si="25"/>
        <v>0</v>
      </c>
    </row>
    <row r="198" spans="1:12">
      <c r="L198">
        <f>SUM(L2:L197)</f>
        <v>5.3475313676834462E-3</v>
      </c>
    </row>
  </sheetData>
  <pageMargins left="0.74791666666666667" right="0.74791666666666667" top="0.98402777777777772" bottom="0.98402777777777772" header="0.51180555555555551" footer="0.51180555555555551"/>
  <pageSetup firstPageNumber="0" orientation="portrait" horizontalDpi="300" verticalDpi="300" r:id="rId1"/>
  <headerFooter alignWithMargins="0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>
  <sheetPr codeName="Sheet13"/>
  <dimension ref="A1:O197"/>
  <sheetViews>
    <sheetView topLeftCell="C2" workbookViewId="0">
      <selection activeCell="L6" sqref="L6"/>
    </sheetView>
  </sheetViews>
  <sheetFormatPr defaultRowHeight="12.75"/>
  <cols>
    <col min="1" max="1" width="10" style="9" customWidth="1"/>
    <col min="3" max="3" width="17.28515625" customWidth="1"/>
    <col min="7" max="7" width="13.140625" customWidth="1"/>
    <col min="8" max="8" width="17.28515625" customWidth="1"/>
    <col min="10" max="10" width="12.42578125" customWidth="1"/>
  </cols>
  <sheetData>
    <row r="1" spans="1:15" ht="46.5" customHeight="1">
      <c r="A1" s="36" t="s">
        <v>42</v>
      </c>
      <c r="B1" s="36" t="s">
        <v>38</v>
      </c>
      <c r="C1" s="36" t="s">
        <v>65</v>
      </c>
      <c r="D1" s="39"/>
      <c r="E1" s="39"/>
      <c r="F1" s="36" t="s">
        <v>42</v>
      </c>
      <c r="G1" s="41" t="s">
        <v>62</v>
      </c>
      <c r="H1" s="41" t="s">
        <v>66</v>
      </c>
      <c r="I1" s="45" t="s">
        <v>67</v>
      </c>
      <c r="J1" s="46" t="s">
        <v>68</v>
      </c>
      <c r="M1" t="s">
        <v>51</v>
      </c>
      <c r="N1" t="s">
        <v>69</v>
      </c>
      <c r="O1" t="s">
        <v>70</v>
      </c>
    </row>
    <row r="2" spans="1:15">
      <c r="A2" s="9">
        <v>998</v>
      </c>
      <c r="B2">
        <v>7.5449999999999999</v>
      </c>
      <c r="C2" s="4">
        <v>0.75175421974271939</v>
      </c>
      <c r="F2" s="9">
        <v>998</v>
      </c>
      <c r="G2">
        <v>3</v>
      </c>
      <c r="H2" s="4">
        <v>0.69880578808779803</v>
      </c>
      <c r="I2">
        <v>0.56000000000000005</v>
      </c>
      <c r="J2" s="4">
        <f t="shared" ref="J2:J33" si="0">C2*H2*10^(((-LN(C2)^-$I$2)+(-LN(H2)^-$I$2))^-(1/$I$2))</f>
        <v>0.6498965375608341</v>
      </c>
      <c r="M2">
        <f>B2</f>
        <v>7.5449999999999999</v>
      </c>
      <c r="N2">
        <f>G2</f>
        <v>3</v>
      </c>
      <c r="O2">
        <f>J2</f>
        <v>0.6498965375608341</v>
      </c>
    </row>
    <row r="3" spans="1:15">
      <c r="A3" s="9">
        <v>1003</v>
      </c>
      <c r="B3">
        <v>28.51</v>
      </c>
      <c r="C3" s="4">
        <v>0.99225459300203411</v>
      </c>
      <c r="F3" s="9">
        <v>1003</v>
      </c>
      <c r="G3">
        <v>14</v>
      </c>
      <c r="H3" s="4">
        <v>0.99630213628351705</v>
      </c>
      <c r="J3" s="4">
        <f t="shared" si="0"/>
        <v>0.9920018455986549</v>
      </c>
      <c r="M3">
        <f t="shared" ref="M3:M66" si="1">B3</f>
        <v>28.51</v>
      </c>
      <c r="N3">
        <f t="shared" ref="N3:N66" si="2">G3</f>
        <v>14</v>
      </c>
      <c r="O3">
        <f t="shared" ref="O3:O66" si="3">J3</f>
        <v>0.9920018455986549</v>
      </c>
    </row>
    <row r="4" spans="1:15">
      <c r="A4" s="9">
        <v>1020</v>
      </c>
      <c r="B4">
        <v>8.3949999999999996</v>
      </c>
      <c r="C4" s="4">
        <v>0.78518723622089936</v>
      </c>
      <c r="F4" s="9">
        <v>1020</v>
      </c>
      <c r="G4">
        <v>6</v>
      </c>
      <c r="H4" s="4">
        <v>0.90928204671058754</v>
      </c>
      <c r="J4" s="4">
        <f t="shared" si="0"/>
        <v>0.7853842767597482</v>
      </c>
      <c r="M4">
        <f t="shared" si="1"/>
        <v>8.3949999999999996</v>
      </c>
      <c r="N4">
        <f t="shared" si="2"/>
        <v>6</v>
      </c>
      <c r="O4">
        <f t="shared" si="3"/>
        <v>0.7853842767597482</v>
      </c>
    </row>
    <row r="5" spans="1:15">
      <c r="A5" s="9">
        <v>1028</v>
      </c>
      <c r="B5">
        <v>1.9140000000000001</v>
      </c>
      <c r="C5" s="4">
        <v>0.33009747109376758</v>
      </c>
      <c r="F5" s="9">
        <v>1028</v>
      </c>
      <c r="G5">
        <v>2</v>
      </c>
      <c r="H5" s="4">
        <v>0.55067103588277844</v>
      </c>
      <c r="J5" s="4">
        <f>C5*H5*10^(((-LN(C5)^-$I$2)+(-LN(H5)^-$I$2))^-(1/$I$2))</f>
        <v>0.30843689474331976</v>
      </c>
      <c r="M5">
        <f t="shared" si="1"/>
        <v>1.9140000000000001</v>
      </c>
      <c r="N5">
        <f t="shared" si="2"/>
        <v>2</v>
      </c>
      <c r="O5">
        <f t="shared" si="3"/>
        <v>0.30843689474331976</v>
      </c>
    </row>
    <row r="6" spans="1:15">
      <c r="A6" s="9">
        <v>1032</v>
      </c>
      <c r="B6">
        <v>5.3760000000000003</v>
      </c>
      <c r="C6" s="4">
        <v>0.63943175524366236</v>
      </c>
      <c r="F6" s="9">
        <v>1032</v>
      </c>
      <c r="G6">
        <v>5</v>
      </c>
      <c r="H6" s="4">
        <v>0.8646647167633873</v>
      </c>
      <c r="J6" s="4">
        <f t="shared" si="0"/>
        <v>0.64631391535016269</v>
      </c>
      <c r="M6">
        <f t="shared" si="1"/>
        <v>5.3760000000000003</v>
      </c>
      <c r="N6">
        <f t="shared" si="2"/>
        <v>5</v>
      </c>
      <c r="O6">
        <f t="shared" si="3"/>
        <v>0.64631391535016269</v>
      </c>
    </row>
    <row r="7" spans="1:15">
      <c r="A7" s="9">
        <v>1038</v>
      </c>
      <c r="B7">
        <v>15.449</v>
      </c>
      <c r="C7" s="4">
        <v>0.93402636450470289</v>
      </c>
      <c r="F7" s="9">
        <v>1038</v>
      </c>
      <c r="G7">
        <v>8</v>
      </c>
      <c r="H7" s="4">
        <v>0.95923779602163384</v>
      </c>
      <c r="J7" s="4">
        <f t="shared" si="0"/>
        <v>0.9278567384035753</v>
      </c>
      <c r="M7">
        <f t="shared" si="1"/>
        <v>15.449</v>
      </c>
      <c r="N7">
        <f t="shared" si="2"/>
        <v>8</v>
      </c>
      <c r="O7">
        <f t="shared" si="3"/>
        <v>0.9278567384035753</v>
      </c>
    </row>
    <row r="8" spans="1:15">
      <c r="A8" s="9">
        <v>1047</v>
      </c>
      <c r="B8">
        <v>7.4139999999999997</v>
      </c>
      <c r="C8" s="4">
        <v>0.74614014434511489</v>
      </c>
      <c r="F8" s="9">
        <v>1047</v>
      </c>
      <c r="G8">
        <v>5</v>
      </c>
      <c r="H8" s="4">
        <v>0.8646647167633873</v>
      </c>
      <c r="J8" s="4">
        <f t="shared" si="0"/>
        <v>0.73707644730628008</v>
      </c>
      <c r="M8">
        <f t="shared" si="1"/>
        <v>7.4139999999999997</v>
      </c>
      <c r="N8">
        <f t="shared" si="2"/>
        <v>5</v>
      </c>
      <c r="O8">
        <f t="shared" si="3"/>
        <v>0.73707644730628008</v>
      </c>
    </row>
    <row r="9" spans="1:15">
      <c r="A9" s="9">
        <v>1057</v>
      </c>
      <c r="B9">
        <v>0.74</v>
      </c>
      <c r="C9" s="4">
        <v>0.15836421291115249</v>
      </c>
      <c r="F9" s="9">
        <v>1057</v>
      </c>
      <c r="G9">
        <v>1</v>
      </c>
      <c r="H9" s="4">
        <v>0.32967995396436067</v>
      </c>
      <c r="J9" s="4">
        <f t="shared" si="0"/>
        <v>0.13338765824040144</v>
      </c>
      <c r="M9">
        <f t="shared" si="1"/>
        <v>0.74</v>
      </c>
      <c r="N9">
        <f t="shared" si="2"/>
        <v>1</v>
      </c>
      <c r="O9">
        <f t="shared" si="3"/>
        <v>0.13338765824040144</v>
      </c>
    </row>
    <row r="10" spans="1:15">
      <c r="A10" s="9">
        <v>1061</v>
      </c>
      <c r="B10">
        <v>9.1349999999999998</v>
      </c>
      <c r="C10" s="4">
        <v>0.81049703768351944</v>
      </c>
      <c r="F10" s="9">
        <v>1061</v>
      </c>
      <c r="G10">
        <v>3</v>
      </c>
      <c r="H10" s="4">
        <v>0.69880578808779803</v>
      </c>
      <c r="J10" s="4">
        <f t="shared" si="0"/>
        <v>0.67784072741012436</v>
      </c>
      <c r="M10">
        <f t="shared" si="1"/>
        <v>9.1349999999999998</v>
      </c>
      <c r="N10">
        <f t="shared" si="2"/>
        <v>3</v>
      </c>
      <c r="O10">
        <f t="shared" si="3"/>
        <v>0.67784072741012436</v>
      </c>
    </row>
    <row r="11" spans="1:15">
      <c r="A11" s="9">
        <v>1066</v>
      </c>
      <c r="B11">
        <v>0.13200000000000001</v>
      </c>
      <c r="C11" s="4">
        <v>3.7578438157055964E-2</v>
      </c>
      <c r="F11" s="9">
        <v>1066</v>
      </c>
      <c r="G11">
        <v>1</v>
      </c>
      <c r="H11" s="4">
        <v>0.32967995396436067</v>
      </c>
      <c r="J11" s="4">
        <f t="shared" si="0"/>
        <v>4.0120968297862589E-2</v>
      </c>
      <c r="M11">
        <f t="shared" si="1"/>
        <v>0.13200000000000001</v>
      </c>
      <c r="N11">
        <f t="shared" si="2"/>
        <v>1</v>
      </c>
      <c r="O11">
        <f t="shared" si="3"/>
        <v>4.0120968297862589E-2</v>
      </c>
    </row>
    <row r="12" spans="1:15">
      <c r="A12" s="9">
        <v>1069</v>
      </c>
      <c r="B12">
        <v>25.858999999999998</v>
      </c>
      <c r="C12" s="4">
        <v>0.98806664679184075</v>
      </c>
      <c r="F12" s="9">
        <v>1069</v>
      </c>
      <c r="G12">
        <v>14</v>
      </c>
      <c r="H12" s="4">
        <v>0.99630213628351705</v>
      </c>
      <c r="J12" s="4">
        <f t="shared" si="0"/>
        <v>0.98840770240635578</v>
      </c>
      <c r="M12">
        <f t="shared" si="1"/>
        <v>25.858999999999998</v>
      </c>
      <c r="N12">
        <f t="shared" si="2"/>
        <v>14</v>
      </c>
      <c r="O12">
        <f t="shared" si="3"/>
        <v>0.98840770240635578</v>
      </c>
    </row>
    <row r="13" spans="1:15">
      <c r="A13" s="9">
        <v>1085</v>
      </c>
      <c r="B13">
        <v>4.4809999999999999</v>
      </c>
      <c r="C13" s="4">
        <v>0.57838987451737023</v>
      </c>
      <c r="F13" s="9">
        <v>1085</v>
      </c>
      <c r="G13">
        <v>2</v>
      </c>
      <c r="H13" s="4">
        <v>0.55067103588277844</v>
      </c>
      <c r="J13" s="4">
        <f t="shared" si="0"/>
        <v>0.46643486318717448</v>
      </c>
      <c r="M13">
        <f t="shared" si="1"/>
        <v>4.4809999999999999</v>
      </c>
      <c r="N13">
        <f t="shared" si="2"/>
        <v>2</v>
      </c>
      <c r="O13">
        <f t="shared" si="3"/>
        <v>0.46643486318717448</v>
      </c>
    </row>
    <row r="14" spans="1:15">
      <c r="A14" s="9">
        <v>1089</v>
      </c>
      <c r="B14">
        <v>6.7920000000000007</v>
      </c>
      <c r="C14" s="4">
        <v>0.71762183977512373</v>
      </c>
      <c r="F14" s="9">
        <v>1089</v>
      </c>
      <c r="G14">
        <v>4</v>
      </c>
      <c r="H14" s="4">
        <v>0.79810348200534464</v>
      </c>
      <c r="J14" s="4">
        <f t="shared" si="0"/>
        <v>0.68623166681502556</v>
      </c>
      <c r="M14">
        <f t="shared" si="1"/>
        <v>6.7920000000000007</v>
      </c>
      <c r="N14">
        <f t="shared" si="2"/>
        <v>4</v>
      </c>
      <c r="O14">
        <f t="shared" si="3"/>
        <v>0.68623166681502556</v>
      </c>
    </row>
    <row r="15" spans="1:15">
      <c r="A15" s="9">
        <v>1099</v>
      </c>
      <c r="B15">
        <v>4.9400000000000004</v>
      </c>
      <c r="C15" s="4">
        <v>0.61097085147346319</v>
      </c>
      <c r="F15" s="9">
        <v>1099</v>
      </c>
      <c r="G15">
        <v>3</v>
      </c>
      <c r="H15" s="4">
        <v>0.69880578808779803</v>
      </c>
      <c r="J15" s="4">
        <f t="shared" si="0"/>
        <v>0.56414600335080367</v>
      </c>
      <c r="M15">
        <f t="shared" si="1"/>
        <v>4.9400000000000004</v>
      </c>
      <c r="N15">
        <f t="shared" si="2"/>
        <v>3</v>
      </c>
      <c r="O15">
        <f t="shared" si="3"/>
        <v>0.56414600335080367</v>
      </c>
    </row>
    <row r="16" spans="1:15">
      <c r="A16" s="9">
        <v>1103</v>
      </c>
      <c r="B16">
        <v>6.0030000000000001</v>
      </c>
      <c r="C16" s="4">
        <v>0.67654769283492278</v>
      </c>
      <c r="F16" s="9">
        <v>1103</v>
      </c>
      <c r="G16">
        <v>2</v>
      </c>
      <c r="H16" s="4">
        <v>0.55067103588277844</v>
      </c>
      <c r="J16" s="4">
        <f t="shared" si="0"/>
        <v>0.51225687723046642</v>
      </c>
      <c r="M16">
        <f t="shared" si="1"/>
        <v>6.0030000000000001</v>
      </c>
      <c r="N16">
        <f t="shared" si="2"/>
        <v>2</v>
      </c>
      <c r="O16">
        <f t="shared" si="3"/>
        <v>0.51225687723046642</v>
      </c>
    </row>
    <row r="17" spans="1:15">
      <c r="A17" s="9">
        <v>1107</v>
      </c>
      <c r="B17">
        <v>12.244</v>
      </c>
      <c r="C17" s="4">
        <v>0.88758647694972059</v>
      </c>
      <c r="F17" s="9">
        <v>1107</v>
      </c>
      <c r="G17">
        <v>6</v>
      </c>
      <c r="H17" s="4">
        <v>0.90928204671058754</v>
      </c>
      <c r="J17" s="4">
        <f t="shared" si="0"/>
        <v>0.86633340332854947</v>
      </c>
      <c r="M17">
        <f t="shared" si="1"/>
        <v>12.244</v>
      </c>
      <c r="N17">
        <f t="shared" si="2"/>
        <v>6</v>
      </c>
      <c r="O17">
        <f t="shared" si="3"/>
        <v>0.86633340332854947</v>
      </c>
    </row>
    <row r="18" spans="1:15">
      <c r="A18" s="9">
        <v>1115</v>
      </c>
      <c r="B18">
        <v>9.0009999999999994</v>
      </c>
      <c r="C18" s="4">
        <v>0.80615295688895894</v>
      </c>
      <c r="F18" s="9">
        <v>1115</v>
      </c>
      <c r="G18">
        <v>5</v>
      </c>
      <c r="H18" s="4">
        <v>0.8646647167633873</v>
      </c>
      <c r="J18" s="4">
        <f t="shared" si="0"/>
        <v>0.78352559200366023</v>
      </c>
      <c r="M18">
        <f t="shared" si="1"/>
        <v>9.0009999999999994</v>
      </c>
      <c r="N18">
        <f t="shared" si="2"/>
        <v>5</v>
      </c>
      <c r="O18">
        <f t="shared" si="3"/>
        <v>0.78352559200366023</v>
      </c>
    </row>
    <row r="19" spans="1:15">
      <c r="A19" s="9">
        <v>1121</v>
      </c>
      <c r="B19">
        <v>36.018000000000001</v>
      </c>
      <c r="C19" s="4">
        <v>0.9977127897022311</v>
      </c>
      <c r="F19" s="9">
        <v>1121</v>
      </c>
      <c r="G19">
        <v>14</v>
      </c>
      <c r="H19" s="4">
        <v>0.99630213628351705</v>
      </c>
      <c r="J19" s="4">
        <f t="shared" si="0"/>
        <v>0.99592769292275196</v>
      </c>
      <c r="M19">
        <f t="shared" si="1"/>
        <v>36.018000000000001</v>
      </c>
      <c r="N19">
        <f t="shared" si="2"/>
        <v>14</v>
      </c>
      <c r="O19">
        <f t="shared" si="3"/>
        <v>0.99592769292275196</v>
      </c>
    </row>
    <row r="20" spans="1:15">
      <c r="A20" s="9">
        <v>1137</v>
      </c>
      <c r="B20">
        <v>16.382999999999999</v>
      </c>
      <c r="C20" s="4">
        <v>0.94347360335722297</v>
      </c>
      <c r="F20" s="9">
        <v>1137</v>
      </c>
      <c r="G20">
        <v>10</v>
      </c>
      <c r="H20" s="4">
        <v>0.98168436111126578</v>
      </c>
      <c r="J20" s="4">
        <f t="shared" si="0"/>
        <v>0.94491039009324218</v>
      </c>
      <c r="M20">
        <f t="shared" si="1"/>
        <v>16.382999999999999</v>
      </c>
      <c r="N20">
        <f t="shared" si="2"/>
        <v>10</v>
      </c>
      <c r="O20">
        <f t="shared" si="3"/>
        <v>0.94491039009324218</v>
      </c>
    </row>
    <row r="21" spans="1:15">
      <c r="A21" s="9">
        <v>1148</v>
      </c>
      <c r="B21">
        <v>34.043000000000006</v>
      </c>
      <c r="C21" s="4">
        <v>0.99684918871881956</v>
      </c>
      <c r="F21" s="9">
        <v>1148</v>
      </c>
      <c r="G21">
        <v>17</v>
      </c>
      <c r="H21" s="4">
        <v>0.99888622485215517</v>
      </c>
      <c r="J21" s="4">
        <f t="shared" si="0"/>
        <v>0.99689676596820964</v>
      </c>
      <c r="M21">
        <f t="shared" si="1"/>
        <v>34.043000000000006</v>
      </c>
      <c r="N21">
        <f t="shared" si="2"/>
        <v>17</v>
      </c>
      <c r="O21">
        <f t="shared" si="3"/>
        <v>0.99689676596820964</v>
      </c>
    </row>
    <row r="22" spans="1:15">
      <c r="A22" s="9">
        <v>1167</v>
      </c>
      <c r="B22">
        <v>0.755</v>
      </c>
      <c r="C22" s="4">
        <v>0.16094766507479202</v>
      </c>
      <c r="F22" s="9">
        <v>1167</v>
      </c>
      <c r="G22">
        <v>1</v>
      </c>
      <c r="H22" s="4">
        <v>0.32967995396436067</v>
      </c>
      <c r="J22" s="4">
        <f t="shared" si="0"/>
        <v>0.13508312500937714</v>
      </c>
      <c r="M22">
        <f t="shared" si="1"/>
        <v>0.755</v>
      </c>
      <c r="N22">
        <f t="shared" si="2"/>
        <v>1</v>
      </c>
      <c r="O22">
        <f t="shared" si="3"/>
        <v>0.13508312500937714</v>
      </c>
    </row>
    <row r="23" spans="1:15">
      <c r="A23" s="9">
        <v>1181</v>
      </c>
      <c r="B23">
        <v>0.67600000000000005</v>
      </c>
      <c r="C23" s="4">
        <v>0.14718679116833031</v>
      </c>
      <c r="F23" s="9">
        <v>1181</v>
      </c>
      <c r="G23">
        <v>1</v>
      </c>
      <c r="H23" s="4">
        <v>0.32967995396436067</v>
      </c>
      <c r="J23" s="4">
        <f t="shared" si="0"/>
        <v>0.12593769338337193</v>
      </c>
      <c r="M23">
        <f t="shared" si="1"/>
        <v>0.67600000000000005</v>
      </c>
      <c r="N23">
        <f t="shared" si="2"/>
        <v>1</v>
      </c>
      <c r="O23">
        <f t="shared" si="3"/>
        <v>0.12593769338337193</v>
      </c>
    </row>
    <row r="24" spans="1:15">
      <c r="A24" s="9">
        <v>1183</v>
      </c>
      <c r="B24">
        <v>7.6520000000000001</v>
      </c>
      <c r="C24" s="4">
        <v>0.7562439897710963</v>
      </c>
      <c r="F24" s="9">
        <v>1183</v>
      </c>
      <c r="G24">
        <v>5</v>
      </c>
      <c r="H24" s="4">
        <v>0.8646647167633873</v>
      </c>
      <c r="J24" s="4">
        <f t="shared" si="0"/>
        <v>0.74517661053595996</v>
      </c>
      <c r="M24">
        <f t="shared" si="1"/>
        <v>7.6520000000000001</v>
      </c>
      <c r="N24">
        <f t="shared" si="2"/>
        <v>5</v>
      </c>
      <c r="O24">
        <f t="shared" si="3"/>
        <v>0.74517661053595996</v>
      </c>
    </row>
    <row r="25" spans="1:15">
      <c r="A25" s="9">
        <v>1192</v>
      </c>
      <c r="B25">
        <v>4.5460000000000003</v>
      </c>
      <c r="C25" s="4">
        <v>0.58317712759182072</v>
      </c>
      <c r="F25" s="9">
        <v>1192</v>
      </c>
      <c r="G25">
        <v>4</v>
      </c>
      <c r="H25" s="4">
        <v>0.79810348200534464</v>
      </c>
      <c r="J25" s="4">
        <f t="shared" si="0"/>
        <v>0.58051345215320993</v>
      </c>
      <c r="M25">
        <f t="shared" si="1"/>
        <v>4.5460000000000003</v>
      </c>
      <c r="N25">
        <f t="shared" si="2"/>
        <v>4</v>
      </c>
      <c r="O25">
        <f t="shared" si="3"/>
        <v>0.58051345215320993</v>
      </c>
    </row>
    <row r="26" spans="1:15">
      <c r="A26" s="9">
        <v>1198</v>
      </c>
      <c r="B26">
        <v>16.47</v>
      </c>
      <c r="C26" s="4">
        <v>0.94428068653751351</v>
      </c>
      <c r="F26" s="9">
        <v>1198</v>
      </c>
      <c r="G26">
        <v>7</v>
      </c>
      <c r="H26" s="4">
        <v>0.93918993737478207</v>
      </c>
      <c r="J26" s="4">
        <f t="shared" si="0"/>
        <v>0.92307927520839006</v>
      </c>
      <c r="M26">
        <f t="shared" si="1"/>
        <v>16.47</v>
      </c>
      <c r="N26">
        <f t="shared" si="2"/>
        <v>7</v>
      </c>
      <c r="O26">
        <f t="shared" si="3"/>
        <v>0.92307927520839006</v>
      </c>
    </row>
    <row r="27" spans="1:15">
      <c r="A27" s="9">
        <v>1207</v>
      </c>
      <c r="B27">
        <v>27.78</v>
      </c>
      <c r="C27" s="4">
        <v>0.99127641912311293</v>
      </c>
      <c r="F27" s="9">
        <v>1207</v>
      </c>
      <c r="G27">
        <v>11</v>
      </c>
      <c r="H27" s="4">
        <v>0.98772266009693155</v>
      </c>
      <c r="J27" s="4">
        <f t="shared" si="0"/>
        <v>0.98587631478725868</v>
      </c>
      <c r="M27">
        <f t="shared" si="1"/>
        <v>27.78</v>
      </c>
      <c r="N27">
        <f t="shared" si="2"/>
        <v>11</v>
      </c>
      <c r="O27">
        <f t="shared" si="3"/>
        <v>0.98587631478725868</v>
      </c>
    </row>
    <row r="28" spans="1:15">
      <c r="A28" s="9">
        <v>1221</v>
      </c>
      <c r="B28">
        <v>13.637</v>
      </c>
      <c r="C28" s="4">
        <v>0.91087797811351701</v>
      </c>
      <c r="F28" s="9">
        <v>1221</v>
      </c>
      <c r="G28">
        <v>6</v>
      </c>
      <c r="H28" s="4">
        <v>0.90928204671058754</v>
      </c>
      <c r="J28" s="4">
        <f t="shared" si="0"/>
        <v>0.8820327926239786</v>
      </c>
      <c r="M28">
        <f t="shared" si="1"/>
        <v>13.637</v>
      </c>
      <c r="N28">
        <f t="shared" si="2"/>
        <v>6</v>
      </c>
      <c r="O28">
        <f t="shared" si="3"/>
        <v>0.8820327926239786</v>
      </c>
    </row>
    <row r="29" spans="1:15">
      <c r="A29" s="9">
        <v>1229</v>
      </c>
      <c r="B29">
        <v>17.312000000000001</v>
      </c>
      <c r="C29" s="4">
        <v>0.95151430021340433</v>
      </c>
      <c r="F29" s="9">
        <v>1229</v>
      </c>
      <c r="G29">
        <v>6</v>
      </c>
      <c r="H29" s="4">
        <v>0.90928204671058754</v>
      </c>
      <c r="J29" s="4">
        <f t="shared" si="0"/>
        <v>0.90464361104680435</v>
      </c>
      <c r="M29">
        <f t="shared" si="1"/>
        <v>17.312000000000001</v>
      </c>
      <c r="N29">
        <f t="shared" si="2"/>
        <v>6</v>
      </c>
      <c r="O29">
        <f t="shared" si="3"/>
        <v>0.90464361104680435</v>
      </c>
    </row>
    <row r="30" spans="1:15">
      <c r="A30" s="9">
        <v>1236</v>
      </c>
      <c r="B30">
        <v>19.756999999999998</v>
      </c>
      <c r="C30" s="4">
        <v>0.96758549947801098</v>
      </c>
      <c r="F30" s="9">
        <v>1236</v>
      </c>
      <c r="G30">
        <v>7</v>
      </c>
      <c r="H30" s="4">
        <v>0.93918993737478207</v>
      </c>
      <c r="J30" s="4">
        <f t="shared" si="0"/>
        <v>0.93595416779736451</v>
      </c>
      <c r="M30">
        <f t="shared" si="1"/>
        <v>19.756999999999998</v>
      </c>
      <c r="N30">
        <f t="shared" si="2"/>
        <v>7</v>
      </c>
      <c r="O30">
        <f t="shared" si="3"/>
        <v>0.93595416779736451</v>
      </c>
    </row>
    <row r="31" spans="1:15">
      <c r="A31" s="9">
        <v>1244</v>
      </c>
      <c r="B31">
        <v>12.442000000000002</v>
      </c>
      <c r="C31" s="4">
        <v>0.89124206763464753</v>
      </c>
      <c r="F31" s="9">
        <v>1244</v>
      </c>
      <c r="G31">
        <v>8</v>
      </c>
      <c r="H31" s="4">
        <v>0.95923779602163384</v>
      </c>
      <c r="J31" s="4">
        <f t="shared" si="0"/>
        <v>0.89250892372945911</v>
      </c>
      <c r="M31">
        <f t="shared" si="1"/>
        <v>12.442000000000002</v>
      </c>
      <c r="N31">
        <f t="shared" si="2"/>
        <v>8</v>
      </c>
      <c r="O31">
        <f t="shared" si="3"/>
        <v>0.89250892372945911</v>
      </c>
    </row>
    <row r="32" spans="1:15">
      <c r="A32" s="9">
        <v>1254</v>
      </c>
      <c r="B32">
        <v>10.241</v>
      </c>
      <c r="C32" s="4">
        <v>0.84274285491940304</v>
      </c>
      <c r="F32" s="9">
        <v>1254</v>
      </c>
      <c r="G32">
        <v>3</v>
      </c>
      <c r="H32" s="4">
        <v>0.69880578808779803</v>
      </c>
      <c r="J32" s="4">
        <f t="shared" si="0"/>
        <v>0.6905454682660882</v>
      </c>
      <c r="M32">
        <f t="shared" si="1"/>
        <v>10.241</v>
      </c>
      <c r="N32">
        <f t="shared" si="2"/>
        <v>3</v>
      </c>
      <c r="O32">
        <f t="shared" si="3"/>
        <v>0.6905454682660882</v>
      </c>
    </row>
    <row r="33" spans="1:15">
      <c r="A33" s="9">
        <v>1258</v>
      </c>
      <c r="B33">
        <v>0.753</v>
      </c>
      <c r="C33" s="4">
        <v>0.16060397801777465</v>
      </c>
      <c r="F33" s="9">
        <v>1258</v>
      </c>
      <c r="G33">
        <v>1</v>
      </c>
      <c r="H33" s="4">
        <v>0.32967995396436067</v>
      </c>
      <c r="J33" s="4">
        <f t="shared" si="0"/>
        <v>0.13485813224239676</v>
      </c>
      <c r="M33">
        <f t="shared" si="1"/>
        <v>0.753</v>
      </c>
      <c r="N33">
        <f t="shared" si="2"/>
        <v>1</v>
      </c>
      <c r="O33">
        <f t="shared" si="3"/>
        <v>0.13485813224239676</v>
      </c>
    </row>
    <row r="34" spans="1:15">
      <c r="A34" s="9">
        <v>1260</v>
      </c>
      <c r="B34">
        <v>1.3220000000000001</v>
      </c>
      <c r="C34" s="4">
        <v>0.25026204218724535</v>
      </c>
      <c r="F34" s="9">
        <v>1260</v>
      </c>
      <c r="G34">
        <v>2</v>
      </c>
      <c r="H34" s="4">
        <v>0.55067103588277844</v>
      </c>
      <c r="J34" s="4">
        <f t="shared" ref="J34:J65" si="4">C34*H34*10^(((-LN(C34)^-$I$2)+(-LN(H34)^-$I$2))^-(1/$I$2))</f>
        <v>0.24563662107989442</v>
      </c>
      <c r="M34">
        <f t="shared" si="1"/>
        <v>1.3220000000000001</v>
      </c>
      <c r="N34">
        <f t="shared" si="2"/>
        <v>2</v>
      </c>
      <c r="O34">
        <f t="shared" si="3"/>
        <v>0.24563662107989442</v>
      </c>
    </row>
    <row r="35" spans="1:15">
      <c r="A35" s="9">
        <v>1269</v>
      </c>
      <c r="B35">
        <v>3.234</v>
      </c>
      <c r="C35" s="4">
        <v>0.47388265826089521</v>
      </c>
      <c r="F35" s="9">
        <v>1269</v>
      </c>
      <c r="G35">
        <v>2</v>
      </c>
      <c r="H35" s="4">
        <v>0.55067103588277844</v>
      </c>
      <c r="J35" s="4">
        <f t="shared" si="4"/>
        <v>0.40689012069031588</v>
      </c>
      <c r="M35">
        <f t="shared" si="1"/>
        <v>3.234</v>
      </c>
      <c r="N35">
        <f t="shared" si="2"/>
        <v>2</v>
      </c>
      <c r="O35">
        <f t="shared" si="3"/>
        <v>0.40689012069031588</v>
      </c>
    </row>
    <row r="36" spans="1:15">
      <c r="A36" s="9">
        <v>1272</v>
      </c>
      <c r="B36">
        <v>0.192</v>
      </c>
      <c r="C36" s="4">
        <v>5.1639381674243312E-2</v>
      </c>
      <c r="F36" s="9">
        <v>1272</v>
      </c>
      <c r="G36">
        <v>1</v>
      </c>
      <c r="H36" s="4">
        <v>0.32967995396436067</v>
      </c>
      <c r="J36" s="4">
        <f t="shared" si="4"/>
        <v>5.2853211357382482E-2</v>
      </c>
      <c r="M36">
        <f t="shared" si="1"/>
        <v>0.192</v>
      </c>
      <c r="N36">
        <f t="shared" si="2"/>
        <v>1</v>
      </c>
      <c r="O36">
        <f t="shared" si="3"/>
        <v>5.2853211357382482E-2</v>
      </c>
    </row>
    <row r="37" spans="1:15">
      <c r="A37" s="9">
        <v>1274</v>
      </c>
      <c r="B37">
        <v>8.6339999999999986</v>
      </c>
      <c r="C37" s="4">
        <v>0.7937221571966141</v>
      </c>
      <c r="F37" s="9">
        <v>1274</v>
      </c>
      <c r="G37">
        <v>4</v>
      </c>
      <c r="H37" s="4">
        <v>0.79810348200534464</v>
      </c>
      <c r="J37" s="4">
        <f t="shared" si="4"/>
        <v>0.73777802296900907</v>
      </c>
      <c r="M37">
        <f t="shared" si="1"/>
        <v>8.6339999999999986</v>
      </c>
      <c r="N37">
        <f t="shared" si="2"/>
        <v>4</v>
      </c>
      <c r="O37">
        <f t="shared" si="3"/>
        <v>0.73777802296900907</v>
      </c>
    </row>
    <row r="38" spans="1:15">
      <c r="A38" s="9">
        <v>1279</v>
      </c>
      <c r="B38">
        <v>1.7250000000000001</v>
      </c>
      <c r="C38" s="4">
        <v>0.30585114077238568</v>
      </c>
      <c r="F38" s="9">
        <v>1279</v>
      </c>
      <c r="G38">
        <v>1</v>
      </c>
      <c r="H38" s="4">
        <v>0.32967995396436067</v>
      </c>
      <c r="J38" s="4">
        <f t="shared" si="4"/>
        <v>0.21678748834520967</v>
      </c>
      <c r="M38">
        <f t="shared" si="1"/>
        <v>1.7250000000000001</v>
      </c>
      <c r="N38">
        <f t="shared" si="2"/>
        <v>1</v>
      </c>
      <c r="O38">
        <f t="shared" si="3"/>
        <v>0.21678748834520967</v>
      </c>
    </row>
    <row r="39" spans="1:15">
      <c r="A39" s="9">
        <v>1281</v>
      </c>
      <c r="B39">
        <v>0.68600000000000005</v>
      </c>
      <c r="C39" s="4">
        <v>0.14895021877544271</v>
      </c>
      <c r="F39" s="9">
        <v>1281</v>
      </c>
      <c r="G39">
        <v>1</v>
      </c>
      <c r="H39" s="4">
        <v>0.32967995396436067</v>
      </c>
      <c r="J39" s="4">
        <f t="shared" si="4"/>
        <v>0.12712561984860435</v>
      </c>
      <c r="M39">
        <f t="shared" si="1"/>
        <v>0.68600000000000005</v>
      </c>
      <c r="N39">
        <f t="shared" si="2"/>
        <v>1</v>
      </c>
      <c r="O39">
        <f t="shared" si="3"/>
        <v>0.12712561984860435</v>
      </c>
    </row>
    <row r="40" spans="1:15">
      <c r="A40" s="9">
        <v>1283</v>
      </c>
      <c r="B40">
        <v>1.583</v>
      </c>
      <c r="C40" s="4">
        <v>0.28689906647615082</v>
      </c>
      <c r="F40" s="9">
        <v>1283</v>
      </c>
      <c r="G40">
        <v>1</v>
      </c>
      <c r="H40" s="4">
        <v>0.32967995396436067</v>
      </c>
      <c r="J40" s="4">
        <f t="shared" si="4"/>
        <v>0.20743407014548274</v>
      </c>
      <c r="M40">
        <f t="shared" si="1"/>
        <v>1.583</v>
      </c>
      <c r="N40">
        <f t="shared" si="2"/>
        <v>1</v>
      </c>
      <c r="O40">
        <f t="shared" si="3"/>
        <v>0.20743407014548274</v>
      </c>
    </row>
    <row r="41" spans="1:15">
      <c r="A41" s="9">
        <v>1287</v>
      </c>
      <c r="B41">
        <v>4.7089999999999996</v>
      </c>
      <c r="C41" s="4">
        <v>0.59492616785002428</v>
      </c>
      <c r="F41" s="9">
        <v>1287</v>
      </c>
      <c r="G41">
        <v>3</v>
      </c>
      <c r="H41" s="4">
        <v>0.69880578808779803</v>
      </c>
      <c r="J41" s="4">
        <f t="shared" si="4"/>
        <v>0.55302567601932506</v>
      </c>
      <c r="M41">
        <f t="shared" si="1"/>
        <v>4.7089999999999996</v>
      </c>
      <c r="N41">
        <f t="shared" si="2"/>
        <v>3</v>
      </c>
      <c r="O41">
        <f t="shared" si="3"/>
        <v>0.55302567601932506</v>
      </c>
    </row>
    <row r="42" spans="1:15">
      <c r="A42" s="9">
        <v>1291</v>
      </c>
      <c r="B42">
        <v>11.071</v>
      </c>
      <c r="C42" s="4">
        <v>0.86320555749470107</v>
      </c>
      <c r="F42" s="9">
        <v>1291</v>
      </c>
      <c r="G42">
        <v>4</v>
      </c>
      <c r="H42" s="4">
        <v>0.79810348200534464</v>
      </c>
      <c r="J42" s="4">
        <f t="shared" si="4"/>
        <v>0.77683725397752068</v>
      </c>
      <c r="M42">
        <f t="shared" si="1"/>
        <v>11.071</v>
      </c>
      <c r="N42">
        <f t="shared" si="2"/>
        <v>4</v>
      </c>
      <c r="O42">
        <f t="shared" si="3"/>
        <v>0.77683725397752068</v>
      </c>
    </row>
    <row r="43" spans="1:15">
      <c r="A43" s="9">
        <v>1296</v>
      </c>
      <c r="B43">
        <v>3.64</v>
      </c>
      <c r="C43" s="4">
        <v>0.5107486429741519</v>
      </c>
      <c r="F43" s="9">
        <v>1296</v>
      </c>
      <c r="G43">
        <v>2</v>
      </c>
      <c r="H43" s="4">
        <v>0.55067103588277844</v>
      </c>
      <c r="J43" s="4">
        <f t="shared" si="4"/>
        <v>0.42908809326415587</v>
      </c>
      <c r="M43">
        <f t="shared" si="1"/>
        <v>3.64</v>
      </c>
      <c r="N43">
        <f t="shared" si="2"/>
        <v>2</v>
      </c>
      <c r="O43">
        <f t="shared" si="3"/>
        <v>0.42908809326415587</v>
      </c>
    </row>
    <row r="44" spans="1:15">
      <c r="A44" s="9">
        <v>1299</v>
      </c>
      <c r="B44">
        <v>7.2539999999999996</v>
      </c>
      <c r="C44" s="4">
        <v>0.73910364270221562</v>
      </c>
      <c r="F44" s="9">
        <v>1299</v>
      </c>
      <c r="G44">
        <v>5</v>
      </c>
      <c r="H44" s="4">
        <v>0.8646647167633873</v>
      </c>
      <c r="J44" s="4">
        <f t="shared" si="4"/>
        <v>0.73137650389914965</v>
      </c>
      <c r="M44">
        <f t="shared" si="1"/>
        <v>7.2539999999999996</v>
      </c>
      <c r="N44">
        <f t="shared" si="2"/>
        <v>5</v>
      </c>
      <c r="O44">
        <f t="shared" si="3"/>
        <v>0.73137650389914965</v>
      </c>
    </row>
    <row r="45" spans="1:15">
      <c r="A45" s="9">
        <v>1305</v>
      </c>
      <c r="B45">
        <v>8.8840000000000003</v>
      </c>
      <c r="C45" s="4">
        <v>0.80227613994338898</v>
      </c>
      <c r="F45" s="9">
        <v>1305</v>
      </c>
      <c r="G45">
        <v>4</v>
      </c>
      <c r="H45" s="4">
        <v>0.79810348200534464</v>
      </c>
      <c r="J45" s="4">
        <f t="shared" si="4"/>
        <v>0.74306569237137177</v>
      </c>
      <c r="M45">
        <f t="shared" si="1"/>
        <v>8.8840000000000003</v>
      </c>
      <c r="N45">
        <f t="shared" si="2"/>
        <v>4</v>
      </c>
      <c r="O45">
        <f t="shared" si="3"/>
        <v>0.74306569237137177</v>
      </c>
    </row>
    <row r="46" spans="1:15">
      <c r="A46" s="9">
        <v>1310</v>
      </c>
      <c r="B46">
        <v>1.5640000000000001</v>
      </c>
      <c r="C46" s="4">
        <v>0.28431284675261764</v>
      </c>
      <c r="F46" s="9">
        <v>1310</v>
      </c>
      <c r="G46">
        <v>1</v>
      </c>
      <c r="H46" s="4">
        <v>0.32967995396436067</v>
      </c>
      <c r="J46" s="4">
        <f t="shared" si="4"/>
        <v>0.20612934154169396</v>
      </c>
      <c r="M46">
        <f t="shared" si="1"/>
        <v>1.5640000000000001</v>
      </c>
      <c r="N46">
        <f t="shared" si="2"/>
        <v>1</v>
      </c>
      <c r="O46">
        <f t="shared" si="3"/>
        <v>0.20612934154169396</v>
      </c>
    </row>
    <row r="47" spans="1:15">
      <c r="A47" s="9">
        <v>1315</v>
      </c>
      <c r="B47">
        <v>8.1109999999999989</v>
      </c>
      <c r="C47" s="4">
        <v>0.7745688730960153</v>
      </c>
      <c r="F47" s="9">
        <v>1315</v>
      </c>
      <c r="G47">
        <v>3</v>
      </c>
      <c r="H47" s="4">
        <v>0.69880578808779803</v>
      </c>
      <c r="J47" s="4">
        <f t="shared" si="4"/>
        <v>0.66141060968231546</v>
      </c>
      <c r="M47">
        <f t="shared" si="1"/>
        <v>8.1109999999999989</v>
      </c>
      <c r="N47">
        <f t="shared" si="2"/>
        <v>3</v>
      </c>
      <c r="O47">
        <f t="shared" si="3"/>
        <v>0.66141060968231546</v>
      </c>
    </row>
    <row r="48" spans="1:15">
      <c r="A48" s="9">
        <v>1319</v>
      </c>
      <c r="B48">
        <v>4.0609999999999999</v>
      </c>
      <c r="C48" s="4">
        <v>0.54598313914227203</v>
      </c>
      <c r="F48" s="9">
        <v>1319</v>
      </c>
      <c r="G48">
        <v>2</v>
      </c>
      <c r="H48" s="4">
        <v>0.55067103588277844</v>
      </c>
      <c r="J48" s="4">
        <f t="shared" si="4"/>
        <v>0.44909976480022989</v>
      </c>
      <c r="M48">
        <f t="shared" si="1"/>
        <v>4.0609999999999999</v>
      </c>
      <c r="N48">
        <f t="shared" si="2"/>
        <v>2</v>
      </c>
      <c r="O48">
        <f t="shared" si="3"/>
        <v>0.44909976480022989</v>
      </c>
    </row>
    <row r="49" spans="1:15">
      <c r="A49" s="9">
        <v>1322</v>
      </c>
      <c r="B49">
        <v>1.32</v>
      </c>
      <c r="C49" s="4">
        <v>0.24997165178901801</v>
      </c>
      <c r="F49" s="9">
        <v>1322</v>
      </c>
      <c r="G49">
        <v>1</v>
      </c>
      <c r="H49" s="4">
        <v>0.32967995396436067</v>
      </c>
      <c r="J49" s="4">
        <f t="shared" si="4"/>
        <v>0.18813588082433616</v>
      </c>
      <c r="M49">
        <f t="shared" si="1"/>
        <v>1.32</v>
      </c>
      <c r="N49">
        <f t="shared" si="2"/>
        <v>1</v>
      </c>
      <c r="O49">
        <f t="shared" si="3"/>
        <v>0.18813588082433616</v>
      </c>
    </row>
    <row r="50" spans="1:15">
      <c r="A50" s="9">
        <v>1325</v>
      </c>
      <c r="B50">
        <v>0.13800000000000001</v>
      </c>
      <c r="C50" s="4">
        <v>3.9025698824291487E-2</v>
      </c>
      <c r="F50" s="9">
        <v>1325</v>
      </c>
      <c r="G50">
        <v>1</v>
      </c>
      <c r="H50" s="4">
        <v>0.32967995396436067</v>
      </c>
      <c r="J50" s="4">
        <f t="shared" si="4"/>
        <v>4.1466580598469679E-2</v>
      </c>
      <c r="M50">
        <f t="shared" si="1"/>
        <v>0.13800000000000001</v>
      </c>
      <c r="N50">
        <f t="shared" si="2"/>
        <v>1</v>
      </c>
      <c r="O50">
        <f t="shared" si="3"/>
        <v>4.1466580598469679E-2</v>
      </c>
    </row>
    <row r="51" spans="1:15">
      <c r="A51" s="9">
        <v>1327</v>
      </c>
      <c r="B51">
        <v>2.992</v>
      </c>
      <c r="C51" s="4">
        <v>0.45043089107669831</v>
      </c>
      <c r="F51" s="9">
        <v>1327</v>
      </c>
      <c r="G51">
        <v>3</v>
      </c>
      <c r="H51" s="4">
        <v>0.69880578808779803</v>
      </c>
      <c r="J51" s="4">
        <f t="shared" si="4"/>
        <v>0.44290105417265035</v>
      </c>
      <c r="M51">
        <f t="shared" si="1"/>
        <v>2.992</v>
      </c>
      <c r="N51">
        <f t="shared" si="2"/>
        <v>3</v>
      </c>
      <c r="O51">
        <f t="shared" si="3"/>
        <v>0.44290105417265035</v>
      </c>
    </row>
    <row r="52" spans="1:15">
      <c r="A52" s="9">
        <v>1336</v>
      </c>
      <c r="B52">
        <v>1.8660000000000001</v>
      </c>
      <c r="C52" s="4">
        <v>0.32404134729781969</v>
      </c>
      <c r="F52" s="9">
        <v>1336</v>
      </c>
      <c r="G52">
        <v>1</v>
      </c>
      <c r="H52" s="4">
        <v>0.32967995396436067</v>
      </c>
      <c r="J52" s="4">
        <f t="shared" si="4"/>
        <v>0.22542862808718447</v>
      </c>
      <c r="M52">
        <f t="shared" si="1"/>
        <v>1.8660000000000001</v>
      </c>
      <c r="N52">
        <f t="shared" si="2"/>
        <v>1</v>
      </c>
      <c r="O52">
        <f t="shared" si="3"/>
        <v>0.22542862808718447</v>
      </c>
    </row>
    <row r="53" spans="1:15">
      <c r="A53" s="9">
        <v>1345</v>
      </c>
      <c r="B53">
        <v>7.1280000000000001</v>
      </c>
      <c r="C53" s="4">
        <v>0.73341961187344884</v>
      </c>
      <c r="F53" s="9">
        <v>1345</v>
      </c>
      <c r="G53">
        <v>3</v>
      </c>
      <c r="H53" s="4">
        <v>0.69880578808779803</v>
      </c>
      <c r="J53" s="4">
        <f t="shared" si="4"/>
        <v>0.64009560817294386</v>
      </c>
      <c r="M53">
        <f t="shared" si="1"/>
        <v>7.1280000000000001</v>
      </c>
      <c r="N53">
        <f t="shared" si="2"/>
        <v>3</v>
      </c>
      <c r="O53">
        <f t="shared" si="3"/>
        <v>0.64009560817294386</v>
      </c>
    </row>
    <row r="54" spans="1:15">
      <c r="A54" s="9">
        <v>1349</v>
      </c>
      <c r="B54">
        <v>10.96</v>
      </c>
      <c r="C54" s="4">
        <v>0.86063497613436146</v>
      </c>
      <c r="F54" s="9">
        <v>1349</v>
      </c>
      <c r="G54">
        <v>7</v>
      </c>
      <c r="H54" s="4">
        <v>0.93918993737478207</v>
      </c>
      <c r="J54" s="4">
        <f t="shared" si="4"/>
        <v>0.85954824085915116</v>
      </c>
      <c r="M54">
        <f t="shared" si="1"/>
        <v>10.96</v>
      </c>
      <c r="N54">
        <f t="shared" si="2"/>
        <v>7</v>
      </c>
      <c r="O54">
        <f t="shared" si="3"/>
        <v>0.85954824085915116</v>
      </c>
    </row>
    <row r="55" spans="1:15">
      <c r="A55" s="9">
        <v>1358</v>
      </c>
      <c r="B55">
        <v>2.3149999999999999</v>
      </c>
      <c r="C55" s="4">
        <v>0.37818497992347705</v>
      </c>
      <c r="F55" s="9">
        <v>1358</v>
      </c>
      <c r="G55">
        <v>1</v>
      </c>
      <c r="H55" s="4">
        <v>0.32967995396436067</v>
      </c>
      <c r="J55" s="4">
        <f t="shared" si="4"/>
        <v>0.24928544535933922</v>
      </c>
      <c r="M55">
        <f t="shared" si="1"/>
        <v>2.3149999999999999</v>
      </c>
      <c r="N55">
        <f t="shared" si="2"/>
        <v>1</v>
      </c>
      <c r="O55">
        <f t="shared" si="3"/>
        <v>0.24928544535933922</v>
      </c>
    </row>
    <row r="56" spans="1:15">
      <c r="A56" s="9">
        <v>1360</v>
      </c>
      <c r="B56">
        <v>4.8079999999999998</v>
      </c>
      <c r="C56" s="4">
        <v>0.60188776947441458</v>
      </c>
      <c r="F56" s="9">
        <v>1360</v>
      </c>
      <c r="G56">
        <v>2</v>
      </c>
      <c r="H56" s="4">
        <v>0.55067103588277844</v>
      </c>
      <c r="J56" s="4">
        <f t="shared" si="4"/>
        <v>0.47834195543547431</v>
      </c>
      <c r="M56">
        <f t="shared" si="1"/>
        <v>4.8079999999999998</v>
      </c>
      <c r="N56">
        <f t="shared" si="2"/>
        <v>2</v>
      </c>
      <c r="O56">
        <f t="shared" si="3"/>
        <v>0.47834195543547431</v>
      </c>
    </row>
    <row r="57" spans="1:15">
      <c r="A57" s="9">
        <v>1364</v>
      </c>
      <c r="B57">
        <v>8.4130000000000003</v>
      </c>
      <c r="C57" s="4">
        <v>0.78584255438966932</v>
      </c>
      <c r="F57" s="9">
        <v>1364</v>
      </c>
      <c r="G57">
        <v>4</v>
      </c>
      <c r="H57" s="4">
        <v>0.79810348200534464</v>
      </c>
      <c r="J57" s="4">
        <f t="shared" si="4"/>
        <v>0.73280591208017976</v>
      </c>
      <c r="M57">
        <f t="shared" si="1"/>
        <v>8.4130000000000003</v>
      </c>
      <c r="N57">
        <f t="shared" si="2"/>
        <v>4</v>
      </c>
      <c r="O57">
        <f t="shared" si="3"/>
        <v>0.73280591208017976</v>
      </c>
    </row>
    <row r="58" spans="1:15">
      <c r="A58" s="9">
        <v>1369</v>
      </c>
      <c r="B58">
        <v>11.102</v>
      </c>
      <c r="C58" s="4">
        <v>0.86391477382152682</v>
      </c>
      <c r="F58" s="9">
        <v>1369</v>
      </c>
      <c r="G58">
        <v>4</v>
      </c>
      <c r="H58" s="4">
        <v>0.79810348200534464</v>
      </c>
      <c r="J58" s="4">
        <f t="shared" si="4"/>
        <v>0.7771833250871133</v>
      </c>
      <c r="M58">
        <f t="shared" si="1"/>
        <v>11.102</v>
      </c>
      <c r="N58">
        <f t="shared" si="2"/>
        <v>4</v>
      </c>
      <c r="O58">
        <f t="shared" si="3"/>
        <v>0.7771833250871133</v>
      </c>
    </row>
    <row r="59" spans="1:15">
      <c r="A59" s="9">
        <v>1374</v>
      </c>
      <c r="B59">
        <v>6.3220000000000001</v>
      </c>
      <c r="C59" s="4">
        <v>0.69386254980608242</v>
      </c>
      <c r="F59" s="9">
        <v>1374</v>
      </c>
      <c r="G59">
        <v>3</v>
      </c>
      <c r="H59" s="4">
        <v>0.69880578808779803</v>
      </c>
      <c r="J59" s="4">
        <f t="shared" si="4"/>
        <v>0.6174389547997623</v>
      </c>
      <c r="M59">
        <f t="shared" si="1"/>
        <v>6.3220000000000001</v>
      </c>
      <c r="N59">
        <f t="shared" si="2"/>
        <v>3</v>
      </c>
      <c r="O59">
        <f t="shared" si="3"/>
        <v>0.6174389547997623</v>
      </c>
    </row>
    <row r="60" spans="1:15">
      <c r="A60" s="9">
        <v>1378</v>
      </c>
      <c r="B60">
        <v>1.1870000000000001</v>
      </c>
      <c r="C60" s="4">
        <v>0.23030646874652116</v>
      </c>
      <c r="F60" s="9">
        <v>1378</v>
      </c>
      <c r="G60">
        <v>2</v>
      </c>
      <c r="H60" s="4">
        <v>0.55067103588277844</v>
      </c>
      <c r="J60" s="4">
        <f t="shared" si="4"/>
        <v>0.22899621973892842</v>
      </c>
      <c r="M60">
        <f t="shared" si="1"/>
        <v>1.1870000000000001</v>
      </c>
      <c r="N60">
        <f t="shared" si="2"/>
        <v>2</v>
      </c>
      <c r="O60">
        <f t="shared" si="3"/>
        <v>0.22899621973892842</v>
      </c>
    </row>
    <row r="61" spans="1:15">
      <c r="A61" s="9">
        <v>1381</v>
      </c>
      <c r="B61">
        <v>6.8009999999999993</v>
      </c>
      <c r="C61" s="4">
        <v>0.71805749627978877</v>
      </c>
      <c r="F61" s="9">
        <v>1381</v>
      </c>
      <c r="G61">
        <v>4</v>
      </c>
      <c r="H61" s="4">
        <v>0.79810348200534464</v>
      </c>
      <c r="J61" s="4">
        <f t="shared" si="4"/>
        <v>0.68654689457449936</v>
      </c>
      <c r="M61">
        <f t="shared" si="1"/>
        <v>6.8009999999999993</v>
      </c>
      <c r="N61">
        <f t="shared" si="2"/>
        <v>4</v>
      </c>
      <c r="O61">
        <f t="shared" si="3"/>
        <v>0.68654689457449936</v>
      </c>
    </row>
    <row r="62" spans="1:15">
      <c r="A62" s="9">
        <v>1386</v>
      </c>
      <c r="B62">
        <v>5.9559999999999995</v>
      </c>
      <c r="C62" s="4">
        <v>0.67391070420994192</v>
      </c>
      <c r="F62" s="9">
        <v>1386</v>
      </c>
      <c r="G62">
        <v>2</v>
      </c>
      <c r="H62" s="4">
        <v>0.55067103588277844</v>
      </c>
      <c r="J62" s="4">
        <f t="shared" si="4"/>
        <v>0.5111656946322789</v>
      </c>
      <c r="M62">
        <f t="shared" si="1"/>
        <v>5.9559999999999995</v>
      </c>
      <c r="N62">
        <f t="shared" si="2"/>
        <v>2</v>
      </c>
      <c r="O62">
        <f t="shared" si="3"/>
        <v>0.5111656946322789</v>
      </c>
    </row>
    <row r="63" spans="1:15">
      <c r="A63" s="9">
        <v>1390</v>
      </c>
      <c r="B63">
        <v>1.0029999999999999</v>
      </c>
      <c r="C63" s="4">
        <v>0.20186971510079987</v>
      </c>
      <c r="F63" s="9">
        <v>1390</v>
      </c>
      <c r="G63">
        <v>1</v>
      </c>
      <c r="H63" s="4">
        <v>0.32967995396436067</v>
      </c>
      <c r="J63" s="4">
        <f t="shared" si="4"/>
        <v>0.16070538166041273</v>
      </c>
      <c r="M63">
        <f t="shared" si="1"/>
        <v>1.0029999999999999</v>
      </c>
      <c r="N63">
        <f t="shared" si="2"/>
        <v>1</v>
      </c>
      <c r="O63">
        <f t="shared" si="3"/>
        <v>0.16070538166041273</v>
      </c>
    </row>
    <row r="64" spans="1:15">
      <c r="A64" s="9">
        <v>1392</v>
      </c>
      <c r="B64">
        <v>1.5489999999999999</v>
      </c>
      <c r="C64" s="4">
        <v>0.28226246292674895</v>
      </c>
      <c r="F64" s="9">
        <v>1392</v>
      </c>
      <c r="G64">
        <v>2</v>
      </c>
      <c r="H64" s="4">
        <v>0.55067103588277844</v>
      </c>
      <c r="J64" s="4">
        <f t="shared" si="4"/>
        <v>0.27152255602933084</v>
      </c>
      <c r="M64">
        <f t="shared" si="1"/>
        <v>1.5489999999999999</v>
      </c>
      <c r="N64">
        <f t="shared" si="2"/>
        <v>2</v>
      </c>
      <c r="O64">
        <f t="shared" si="3"/>
        <v>0.27152255602933084</v>
      </c>
    </row>
    <row r="65" spans="1:15">
      <c r="A65" s="9">
        <v>1397</v>
      </c>
      <c r="B65">
        <v>1.018</v>
      </c>
      <c r="C65" s="4">
        <v>0.20424513421238599</v>
      </c>
      <c r="F65" s="9">
        <v>1397</v>
      </c>
      <c r="G65">
        <v>1</v>
      </c>
      <c r="H65" s="4">
        <v>0.32967995396436067</v>
      </c>
      <c r="J65" s="4">
        <f t="shared" si="4"/>
        <v>0.16212515513351436</v>
      </c>
      <c r="M65">
        <f t="shared" si="1"/>
        <v>1.018</v>
      </c>
      <c r="N65">
        <f t="shared" si="2"/>
        <v>1</v>
      </c>
      <c r="O65">
        <f t="shared" si="3"/>
        <v>0.16212515513351436</v>
      </c>
    </row>
    <row r="66" spans="1:15">
      <c r="A66" s="9">
        <v>1400</v>
      </c>
      <c r="B66">
        <v>2.246</v>
      </c>
      <c r="C66" s="4">
        <v>0.37021483396059474</v>
      </c>
      <c r="F66" s="9">
        <v>1400</v>
      </c>
      <c r="G66">
        <v>3</v>
      </c>
      <c r="H66" s="4">
        <v>0.69880578808779803</v>
      </c>
      <c r="J66" s="4">
        <f t="shared" ref="J66:J97" si="5">C66*H66*10^(((-LN(C66)^-$I$2)+(-LN(H66)^-$I$2))^-(1/$I$2))</f>
        <v>0.37487939334719578</v>
      </c>
      <c r="M66">
        <f t="shared" si="1"/>
        <v>2.246</v>
      </c>
      <c r="N66">
        <f t="shared" si="2"/>
        <v>3</v>
      </c>
      <c r="O66">
        <f t="shared" si="3"/>
        <v>0.37487939334719578</v>
      </c>
    </row>
    <row r="67" spans="1:15">
      <c r="A67" s="9">
        <v>1404</v>
      </c>
      <c r="B67">
        <v>1.6</v>
      </c>
      <c r="C67" s="4">
        <v>0.28920277829419072</v>
      </c>
      <c r="F67" s="9">
        <v>1404</v>
      </c>
      <c r="G67">
        <v>2</v>
      </c>
      <c r="H67" s="4">
        <v>0.55067103588277844</v>
      </c>
      <c r="J67" s="4">
        <f t="shared" si="5"/>
        <v>0.27700947818921084</v>
      </c>
      <c r="M67">
        <f t="shared" ref="M67:M130" si="6">B67</f>
        <v>1.6</v>
      </c>
      <c r="N67">
        <f t="shared" ref="N67:N130" si="7">G67</f>
        <v>2</v>
      </c>
      <c r="O67">
        <f t="shared" ref="O67:O130" si="8">J67</f>
        <v>0.27700947818921084</v>
      </c>
    </row>
    <row r="68" spans="1:15">
      <c r="A68" s="9">
        <v>1410</v>
      </c>
      <c r="B68">
        <v>6.4770000000000003</v>
      </c>
      <c r="C68" s="4">
        <v>0.70192145324486999</v>
      </c>
      <c r="F68" s="9">
        <v>1410</v>
      </c>
      <c r="G68">
        <v>3</v>
      </c>
      <c r="H68" s="4">
        <v>0.69880578808779803</v>
      </c>
      <c r="J68" s="4">
        <f t="shared" si="5"/>
        <v>0.62221322108421517</v>
      </c>
      <c r="M68">
        <f t="shared" si="6"/>
        <v>6.4770000000000003</v>
      </c>
      <c r="N68">
        <f t="shared" si="7"/>
        <v>3</v>
      </c>
      <c r="O68">
        <f t="shared" si="8"/>
        <v>0.62221322108421517</v>
      </c>
    </row>
    <row r="69" spans="1:15">
      <c r="A69" s="9">
        <v>1415</v>
      </c>
      <c r="B69">
        <v>2.2959999999999998</v>
      </c>
      <c r="C69" s="4">
        <v>0.37600235816568439</v>
      </c>
      <c r="F69" s="9">
        <v>1415</v>
      </c>
      <c r="G69">
        <v>1</v>
      </c>
      <c r="H69" s="4">
        <v>0.32967995396436067</v>
      </c>
      <c r="J69" s="4">
        <f t="shared" si="5"/>
        <v>0.24837609358126669</v>
      </c>
      <c r="M69">
        <f t="shared" si="6"/>
        <v>2.2959999999999998</v>
      </c>
      <c r="N69">
        <f t="shared" si="7"/>
        <v>1</v>
      </c>
      <c r="O69">
        <f t="shared" si="8"/>
        <v>0.24837609358126669</v>
      </c>
    </row>
    <row r="70" spans="1:15">
      <c r="A70" s="9">
        <v>1418</v>
      </c>
      <c r="B70">
        <v>1.544</v>
      </c>
      <c r="C70" s="4">
        <v>0.28157729862946052</v>
      </c>
      <c r="F70" s="9">
        <v>1418</v>
      </c>
      <c r="G70">
        <v>2</v>
      </c>
      <c r="H70" s="4">
        <v>0.55067103588277844</v>
      </c>
      <c r="J70" s="4">
        <f t="shared" si="5"/>
        <v>0.27097843552325152</v>
      </c>
      <c r="M70">
        <f t="shared" si="6"/>
        <v>1.544</v>
      </c>
      <c r="N70">
        <f t="shared" si="7"/>
        <v>2</v>
      </c>
      <c r="O70">
        <f t="shared" si="8"/>
        <v>0.27097843552325152</v>
      </c>
    </row>
    <row r="71" spans="1:15">
      <c r="A71" s="9">
        <v>1421</v>
      </c>
      <c r="B71">
        <v>7.1870000000000003</v>
      </c>
      <c r="C71" s="4">
        <v>0.73609707451216222</v>
      </c>
      <c r="F71" s="9">
        <v>1421</v>
      </c>
      <c r="G71">
        <v>2</v>
      </c>
      <c r="H71" s="4">
        <v>0.55067103588277844</v>
      </c>
      <c r="J71" s="4">
        <f t="shared" si="5"/>
        <v>0.53463425221844374</v>
      </c>
      <c r="M71">
        <f t="shared" si="6"/>
        <v>7.1870000000000003</v>
      </c>
      <c r="N71">
        <f t="shared" si="7"/>
        <v>2</v>
      </c>
      <c r="O71">
        <f t="shared" si="8"/>
        <v>0.53463425221844374</v>
      </c>
    </row>
    <row r="72" spans="1:15">
      <c r="A72" s="9">
        <v>1424</v>
      </c>
      <c r="B72">
        <v>3.948</v>
      </c>
      <c r="C72" s="4">
        <v>0.53680779759916375</v>
      </c>
      <c r="F72" s="9">
        <v>1424</v>
      </c>
      <c r="G72">
        <v>2</v>
      </c>
      <c r="H72" s="4">
        <v>0.55067103588277844</v>
      </c>
      <c r="J72" s="4">
        <f t="shared" si="5"/>
        <v>0.44400379341818702</v>
      </c>
      <c r="M72">
        <f t="shared" si="6"/>
        <v>3.948</v>
      </c>
      <c r="N72">
        <f t="shared" si="7"/>
        <v>2</v>
      </c>
      <c r="O72">
        <f t="shared" si="8"/>
        <v>0.44400379341818702</v>
      </c>
    </row>
    <row r="73" spans="1:15">
      <c r="A73" s="9">
        <v>1427</v>
      </c>
      <c r="B73">
        <v>2.5219999999999998</v>
      </c>
      <c r="C73" s="4">
        <v>0.40138832701676724</v>
      </c>
      <c r="F73" s="9">
        <v>1427</v>
      </c>
      <c r="G73">
        <v>1</v>
      </c>
      <c r="H73" s="4">
        <v>0.32967995396436067</v>
      </c>
      <c r="J73" s="4">
        <f t="shared" si="5"/>
        <v>0.2586885130162363</v>
      </c>
      <c r="M73">
        <f t="shared" si="6"/>
        <v>2.5219999999999998</v>
      </c>
      <c r="N73">
        <f t="shared" si="7"/>
        <v>1</v>
      </c>
      <c r="O73">
        <f t="shared" si="8"/>
        <v>0.2586885130162363</v>
      </c>
    </row>
    <row r="74" spans="1:15">
      <c r="A74" s="9">
        <v>1430</v>
      </c>
      <c r="B74">
        <v>2.8970000000000002</v>
      </c>
      <c r="C74" s="4">
        <v>0.4409022007050491</v>
      </c>
      <c r="F74" s="9">
        <v>1430</v>
      </c>
      <c r="G74">
        <v>2</v>
      </c>
      <c r="H74" s="4">
        <v>0.55067103588277844</v>
      </c>
      <c r="J74" s="4">
        <f t="shared" si="5"/>
        <v>0.38596504048058711</v>
      </c>
      <c r="M74">
        <f t="shared" si="6"/>
        <v>2.8970000000000002</v>
      </c>
      <c r="N74">
        <f t="shared" si="7"/>
        <v>2</v>
      </c>
      <c r="O74">
        <f t="shared" si="8"/>
        <v>0.38596504048058711</v>
      </c>
    </row>
    <row r="75" spans="1:15">
      <c r="A75" s="9">
        <v>1433</v>
      </c>
      <c r="B75">
        <v>0.371</v>
      </c>
      <c r="C75" s="4">
        <v>8.9814419362928138E-2</v>
      </c>
      <c r="F75" s="9">
        <v>1433</v>
      </c>
      <c r="G75">
        <v>1</v>
      </c>
      <c r="H75" s="4">
        <v>0.32967995396436067</v>
      </c>
      <c r="J75" s="4">
        <f t="shared" si="5"/>
        <v>8.4395958258313211E-2</v>
      </c>
      <c r="M75">
        <f t="shared" si="6"/>
        <v>0.371</v>
      </c>
      <c r="N75">
        <f t="shared" si="7"/>
        <v>1</v>
      </c>
      <c r="O75">
        <f t="shared" si="8"/>
        <v>8.4395958258313211E-2</v>
      </c>
    </row>
    <row r="76" spans="1:15">
      <c r="A76" s="9">
        <v>1436</v>
      </c>
      <c r="B76">
        <v>4.04</v>
      </c>
      <c r="C76" s="4">
        <v>0.5442931368863011</v>
      </c>
      <c r="F76" s="9">
        <v>1436</v>
      </c>
      <c r="G76">
        <v>2</v>
      </c>
      <c r="H76" s="4">
        <v>0.55067103588277844</v>
      </c>
      <c r="J76" s="4">
        <f t="shared" si="5"/>
        <v>0.44816729812891709</v>
      </c>
      <c r="M76">
        <f t="shared" si="6"/>
        <v>4.04</v>
      </c>
      <c r="N76">
        <f t="shared" si="7"/>
        <v>2</v>
      </c>
      <c r="O76">
        <f t="shared" si="8"/>
        <v>0.44816729812891709</v>
      </c>
    </row>
    <row r="77" spans="1:15">
      <c r="A77" s="9">
        <v>1440</v>
      </c>
      <c r="B77">
        <v>0.88600000000000001</v>
      </c>
      <c r="C77" s="4">
        <v>0.18296575585716873</v>
      </c>
      <c r="F77" s="9">
        <v>1440</v>
      </c>
      <c r="G77">
        <v>1</v>
      </c>
      <c r="H77" s="4">
        <v>0.32967995396436067</v>
      </c>
      <c r="J77" s="4">
        <f t="shared" si="5"/>
        <v>0.14914906521408725</v>
      </c>
      <c r="M77">
        <f t="shared" si="6"/>
        <v>0.88600000000000001</v>
      </c>
      <c r="N77">
        <f t="shared" si="7"/>
        <v>1</v>
      </c>
      <c r="O77">
        <f t="shared" si="8"/>
        <v>0.14914906521408725</v>
      </c>
    </row>
    <row r="78" spans="1:15">
      <c r="A78" s="9">
        <v>1442</v>
      </c>
      <c r="B78">
        <v>0.32400000000000001</v>
      </c>
      <c r="C78" s="4">
        <v>8.0211336041643086E-2</v>
      </c>
      <c r="F78" s="9">
        <v>1442</v>
      </c>
      <c r="G78">
        <v>1</v>
      </c>
      <c r="H78" s="4">
        <v>0.32967995396436067</v>
      </c>
      <c r="J78" s="4">
        <f t="shared" si="5"/>
        <v>7.6810372930240706E-2</v>
      </c>
      <c r="M78">
        <f t="shared" si="6"/>
        <v>0.32400000000000001</v>
      </c>
      <c r="N78">
        <f t="shared" si="7"/>
        <v>1</v>
      </c>
      <c r="O78">
        <f t="shared" si="8"/>
        <v>7.6810372930240706E-2</v>
      </c>
    </row>
    <row r="79" spans="1:15">
      <c r="A79" s="9">
        <v>1444</v>
      </c>
      <c r="B79">
        <v>11.140999999999998</v>
      </c>
      <c r="C79" s="4">
        <v>0.86480167973956534</v>
      </c>
      <c r="F79" s="9">
        <v>1444</v>
      </c>
      <c r="G79">
        <v>4</v>
      </c>
      <c r="H79" s="4">
        <v>0.79810348200534464</v>
      </c>
      <c r="J79" s="4">
        <f t="shared" si="5"/>
        <v>0.77761433339905639</v>
      </c>
      <c r="M79">
        <f t="shared" si="6"/>
        <v>11.140999999999998</v>
      </c>
      <c r="N79">
        <f t="shared" si="7"/>
        <v>4</v>
      </c>
      <c r="O79">
        <f t="shared" si="8"/>
        <v>0.77761433339905639</v>
      </c>
    </row>
    <row r="80" spans="1:15">
      <c r="A80" s="9">
        <v>1450</v>
      </c>
      <c r="B80">
        <v>4.3209999999999997</v>
      </c>
      <c r="C80" s="4">
        <v>0.56635061289750577</v>
      </c>
      <c r="F80" s="9">
        <v>1450</v>
      </c>
      <c r="G80">
        <v>2</v>
      </c>
      <c r="H80" s="4">
        <v>0.55067103588277844</v>
      </c>
      <c r="J80" s="4">
        <f t="shared" si="5"/>
        <v>0.46011677639402715</v>
      </c>
      <c r="M80">
        <f t="shared" si="6"/>
        <v>4.3209999999999997</v>
      </c>
      <c r="N80">
        <f t="shared" si="7"/>
        <v>2</v>
      </c>
      <c r="O80">
        <f t="shared" si="8"/>
        <v>0.46011677639402715</v>
      </c>
    </row>
    <row r="81" spans="1:15">
      <c r="A81" s="9">
        <v>1453</v>
      </c>
      <c r="B81">
        <v>29.376999999999999</v>
      </c>
      <c r="C81" s="4">
        <v>0.99327429252991595</v>
      </c>
      <c r="F81" s="9">
        <v>1453</v>
      </c>
      <c r="G81">
        <v>11</v>
      </c>
      <c r="H81" s="4">
        <v>0.98772266009693155</v>
      </c>
      <c r="J81" s="4">
        <f t="shared" si="5"/>
        <v>0.98692864521509838</v>
      </c>
      <c r="M81">
        <f t="shared" si="6"/>
        <v>29.376999999999999</v>
      </c>
      <c r="N81">
        <f t="shared" si="7"/>
        <v>11</v>
      </c>
      <c r="O81">
        <f t="shared" si="8"/>
        <v>0.98692864521509838</v>
      </c>
    </row>
    <row r="82" spans="1:15">
      <c r="A82" s="9">
        <v>1468</v>
      </c>
      <c r="B82">
        <v>11.721</v>
      </c>
      <c r="C82" s="4">
        <v>0.87731636898265974</v>
      </c>
      <c r="F82" s="9">
        <v>1468</v>
      </c>
      <c r="G82">
        <v>6</v>
      </c>
      <c r="H82" s="4">
        <v>0.90928204671058754</v>
      </c>
      <c r="J82" s="4">
        <f t="shared" si="5"/>
        <v>0.85898028888604783</v>
      </c>
      <c r="M82">
        <f t="shared" si="6"/>
        <v>11.721</v>
      </c>
      <c r="N82">
        <f t="shared" si="7"/>
        <v>6</v>
      </c>
      <c r="O82">
        <f t="shared" si="8"/>
        <v>0.85898028888604783</v>
      </c>
    </row>
    <row r="83" spans="1:15">
      <c r="A83" s="9">
        <v>1481</v>
      </c>
      <c r="B83">
        <v>2.089</v>
      </c>
      <c r="C83" s="4">
        <v>0.3516185764717919</v>
      </c>
      <c r="F83" s="9">
        <v>1481</v>
      </c>
      <c r="G83">
        <v>1</v>
      </c>
      <c r="H83" s="4">
        <v>0.32967995396436067</v>
      </c>
      <c r="J83" s="4">
        <f t="shared" si="5"/>
        <v>0.23792127477887862</v>
      </c>
      <c r="M83">
        <f t="shared" si="6"/>
        <v>2.089</v>
      </c>
      <c r="N83">
        <f t="shared" si="7"/>
        <v>1</v>
      </c>
      <c r="O83">
        <f t="shared" si="8"/>
        <v>0.23792127477887862</v>
      </c>
    </row>
    <row r="84" spans="1:15">
      <c r="A84" s="9">
        <v>1483</v>
      </c>
      <c r="B84">
        <v>7.0000000000000001E-3</v>
      </c>
      <c r="C84" s="4">
        <v>3.0339287847942573E-3</v>
      </c>
      <c r="F84" s="9">
        <v>1483</v>
      </c>
      <c r="G84">
        <v>1</v>
      </c>
      <c r="H84" s="4">
        <v>0.32967995396436067</v>
      </c>
      <c r="J84" s="4">
        <f t="shared" si="5"/>
        <v>4.0884333363776556E-3</v>
      </c>
      <c r="M84">
        <f t="shared" si="6"/>
        <v>7.0000000000000001E-3</v>
      </c>
      <c r="N84">
        <f t="shared" si="7"/>
        <v>1</v>
      </c>
      <c r="O84">
        <f t="shared" si="8"/>
        <v>4.0884333363776556E-3</v>
      </c>
    </row>
    <row r="85" spans="1:15">
      <c r="A85" s="9">
        <v>1488</v>
      </c>
      <c r="B85">
        <v>3.6629999999999998</v>
      </c>
      <c r="C85" s="4">
        <v>0.5127494558582899</v>
      </c>
      <c r="F85" s="9">
        <v>1488</v>
      </c>
      <c r="G85">
        <v>3</v>
      </c>
      <c r="H85" s="4">
        <v>0.69880578808779803</v>
      </c>
      <c r="J85" s="4">
        <f t="shared" si="5"/>
        <v>0.49247742233451869</v>
      </c>
      <c r="M85">
        <f t="shared" si="6"/>
        <v>3.6629999999999998</v>
      </c>
      <c r="N85">
        <f t="shared" si="7"/>
        <v>3</v>
      </c>
      <c r="O85">
        <f t="shared" si="8"/>
        <v>0.49247742233451869</v>
      </c>
    </row>
    <row r="86" spans="1:15">
      <c r="A86" s="9">
        <v>1492</v>
      </c>
      <c r="B86">
        <v>8.9999999999999993E-3</v>
      </c>
      <c r="C86" s="4">
        <v>3.7653547087583348E-3</v>
      </c>
      <c r="F86" s="9">
        <v>1492</v>
      </c>
      <c r="G86">
        <v>1</v>
      </c>
      <c r="H86" s="4">
        <v>0.32967995396436067</v>
      </c>
      <c r="J86" s="4">
        <f t="shared" si="5"/>
        <v>4.9975401855640242E-3</v>
      </c>
      <c r="M86">
        <f t="shared" si="6"/>
        <v>8.9999999999999993E-3</v>
      </c>
      <c r="N86">
        <f t="shared" si="7"/>
        <v>1</v>
      </c>
      <c r="O86">
        <f t="shared" si="8"/>
        <v>4.9975401855640242E-3</v>
      </c>
    </row>
    <row r="87" spans="1:15">
      <c r="A87" s="9">
        <v>1496</v>
      </c>
      <c r="B87">
        <v>8.7859999999999996</v>
      </c>
      <c r="C87" s="4">
        <v>0.79896742718110547</v>
      </c>
      <c r="F87" s="9">
        <v>1496</v>
      </c>
      <c r="G87">
        <v>2</v>
      </c>
      <c r="H87" s="4">
        <v>0.55067103588277844</v>
      </c>
      <c r="J87" s="4">
        <f t="shared" si="5"/>
        <v>0.55304965766435465</v>
      </c>
      <c r="M87">
        <f t="shared" si="6"/>
        <v>8.7859999999999996</v>
      </c>
      <c r="N87">
        <f t="shared" si="7"/>
        <v>2</v>
      </c>
      <c r="O87">
        <f t="shared" si="8"/>
        <v>0.55304965766435465</v>
      </c>
    </row>
    <row r="88" spans="1:15">
      <c r="A88" s="9">
        <v>1501</v>
      </c>
      <c r="B88">
        <v>12.855</v>
      </c>
      <c r="C88" s="4">
        <v>0.89848253412977275</v>
      </c>
      <c r="F88" s="9">
        <v>1501</v>
      </c>
      <c r="G88">
        <v>7</v>
      </c>
      <c r="H88" s="4">
        <v>0.93918993737478207</v>
      </c>
      <c r="J88" s="4">
        <f t="shared" si="5"/>
        <v>0.89035434839508165</v>
      </c>
      <c r="M88">
        <f t="shared" si="6"/>
        <v>12.855</v>
      </c>
      <c r="N88">
        <f t="shared" si="7"/>
        <v>7</v>
      </c>
      <c r="O88">
        <f t="shared" si="8"/>
        <v>0.89035434839508165</v>
      </c>
    </row>
    <row r="89" spans="1:15">
      <c r="A89" s="9">
        <v>1510</v>
      </c>
      <c r="B89">
        <v>6.7930000000000001</v>
      </c>
      <c r="C89" s="4">
        <v>0.71767028078396577</v>
      </c>
      <c r="F89" s="9">
        <v>1510</v>
      </c>
      <c r="G89">
        <v>3</v>
      </c>
      <c r="H89" s="4">
        <v>0.69880578808779803</v>
      </c>
      <c r="J89" s="4">
        <f t="shared" si="5"/>
        <v>0.63131306287490785</v>
      </c>
      <c r="M89">
        <f t="shared" si="6"/>
        <v>6.7930000000000001</v>
      </c>
      <c r="N89">
        <f t="shared" si="7"/>
        <v>3</v>
      </c>
      <c r="O89">
        <f t="shared" si="8"/>
        <v>0.63131306287490785</v>
      </c>
    </row>
    <row r="90" spans="1:15">
      <c r="A90" s="9">
        <v>1514</v>
      </c>
      <c r="B90">
        <v>1.2210000000000001</v>
      </c>
      <c r="C90" s="4">
        <v>0.23540140694722997</v>
      </c>
      <c r="F90" s="9">
        <v>1514</v>
      </c>
      <c r="G90">
        <v>3</v>
      </c>
      <c r="H90" s="4">
        <v>0.69880578808779803</v>
      </c>
      <c r="J90" s="4">
        <f t="shared" si="5"/>
        <v>0.25060573069384412</v>
      </c>
      <c r="M90">
        <f t="shared" si="6"/>
        <v>1.2210000000000001</v>
      </c>
      <c r="N90">
        <f t="shared" si="7"/>
        <v>3</v>
      </c>
      <c r="O90">
        <f t="shared" si="8"/>
        <v>0.25060573069384412</v>
      </c>
    </row>
    <row r="91" spans="1:15">
      <c r="A91" s="9">
        <v>1518</v>
      </c>
      <c r="B91">
        <v>0.78500000000000003</v>
      </c>
      <c r="C91" s="4">
        <v>0.16607486747195199</v>
      </c>
      <c r="F91" s="9">
        <v>1518</v>
      </c>
      <c r="G91">
        <v>1</v>
      </c>
      <c r="H91" s="4">
        <v>0.32967995396436067</v>
      </c>
      <c r="J91" s="4">
        <f t="shared" si="5"/>
        <v>0.13841935261512975</v>
      </c>
      <c r="M91">
        <f t="shared" si="6"/>
        <v>0.78500000000000003</v>
      </c>
      <c r="N91">
        <f t="shared" si="7"/>
        <v>1</v>
      </c>
      <c r="O91">
        <f t="shared" si="8"/>
        <v>0.13841935261512975</v>
      </c>
    </row>
    <row r="92" spans="1:15">
      <c r="A92" s="9">
        <v>1521</v>
      </c>
      <c r="B92">
        <v>0.42</v>
      </c>
      <c r="C92" s="4">
        <v>9.9571603620493956E-2</v>
      </c>
      <c r="F92" s="9">
        <v>1521</v>
      </c>
      <c r="G92">
        <v>1</v>
      </c>
      <c r="H92" s="4">
        <v>0.32967995396436067</v>
      </c>
      <c r="J92" s="4">
        <f t="shared" si="5"/>
        <v>9.189678441877383E-2</v>
      </c>
      <c r="M92">
        <f t="shared" si="6"/>
        <v>0.42</v>
      </c>
      <c r="N92">
        <f t="shared" si="7"/>
        <v>1</v>
      </c>
      <c r="O92">
        <f t="shared" si="8"/>
        <v>9.189678441877383E-2</v>
      </c>
    </row>
    <row r="93" spans="1:15">
      <c r="A93" s="9">
        <v>1524</v>
      </c>
      <c r="B93">
        <v>5.7210000000000001</v>
      </c>
      <c r="C93" s="4">
        <v>0.66038110069595157</v>
      </c>
      <c r="F93" s="9">
        <v>1524</v>
      </c>
      <c r="G93">
        <v>2</v>
      </c>
      <c r="H93" s="4">
        <v>0.55067103588277844</v>
      </c>
      <c r="J93" s="4">
        <f t="shared" si="5"/>
        <v>0.50544014292619854</v>
      </c>
      <c r="M93">
        <f t="shared" si="6"/>
        <v>5.7210000000000001</v>
      </c>
      <c r="N93">
        <f t="shared" si="7"/>
        <v>2</v>
      </c>
      <c r="O93">
        <f t="shared" si="8"/>
        <v>0.50544014292619854</v>
      </c>
    </row>
    <row r="94" spans="1:15">
      <c r="A94" s="9">
        <v>1527</v>
      </c>
      <c r="B94">
        <v>7.4380000000000006</v>
      </c>
      <c r="C94" s="4">
        <v>0.74717846743130889</v>
      </c>
      <c r="F94" s="9">
        <v>1527</v>
      </c>
      <c r="G94">
        <v>4</v>
      </c>
      <c r="H94" s="4">
        <v>0.79810348200534464</v>
      </c>
      <c r="J94" s="4">
        <f t="shared" si="5"/>
        <v>0.70712918638045807</v>
      </c>
      <c r="M94">
        <f t="shared" si="6"/>
        <v>7.4380000000000006</v>
      </c>
      <c r="N94">
        <f t="shared" si="7"/>
        <v>4</v>
      </c>
      <c r="O94">
        <f t="shared" si="8"/>
        <v>0.70712918638045807</v>
      </c>
    </row>
    <row r="95" spans="1:15">
      <c r="A95" s="9">
        <v>1532</v>
      </c>
      <c r="B95">
        <v>3.9689999999999999</v>
      </c>
      <c r="C95" s="4">
        <v>0.53852818513098133</v>
      </c>
      <c r="F95" s="9">
        <v>1532</v>
      </c>
      <c r="G95">
        <v>2</v>
      </c>
      <c r="H95" s="4">
        <v>0.55067103588277844</v>
      </c>
      <c r="J95" s="4">
        <f t="shared" si="5"/>
        <v>0.44496552622536734</v>
      </c>
      <c r="M95">
        <f t="shared" si="6"/>
        <v>3.9689999999999999</v>
      </c>
      <c r="N95">
        <f t="shared" si="7"/>
        <v>2</v>
      </c>
      <c r="O95">
        <f t="shared" si="8"/>
        <v>0.44496552622536734</v>
      </c>
    </row>
    <row r="96" spans="1:15">
      <c r="A96" s="9">
        <v>1535</v>
      </c>
      <c r="B96">
        <v>1.7729999999999999</v>
      </c>
      <c r="C96" s="4">
        <v>0.31211193080466931</v>
      </c>
      <c r="F96" s="9">
        <v>1535</v>
      </c>
      <c r="G96">
        <v>1</v>
      </c>
      <c r="H96" s="4">
        <v>0.32967995396436067</v>
      </c>
      <c r="J96" s="4">
        <f t="shared" si="5"/>
        <v>0.21979830345754223</v>
      </c>
      <c r="M96">
        <f t="shared" si="6"/>
        <v>1.7729999999999999</v>
      </c>
      <c r="N96">
        <f t="shared" si="7"/>
        <v>1</v>
      </c>
      <c r="O96">
        <f t="shared" si="8"/>
        <v>0.21979830345754223</v>
      </c>
    </row>
    <row r="97" spans="1:15">
      <c r="A97" s="9">
        <v>1542</v>
      </c>
      <c r="B97">
        <v>8.8390000000000004</v>
      </c>
      <c r="C97" s="4">
        <v>0.80076386001764399</v>
      </c>
      <c r="F97" s="9">
        <v>1542</v>
      </c>
      <c r="G97">
        <v>3</v>
      </c>
      <c r="H97" s="4">
        <v>0.69880578808779803</v>
      </c>
      <c r="J97" s="4">
        <f t="shared" si="5"/>
        <v>0.67361038215777791</v>
      </c>
      <c r="M97">
        <f t="shared" si="6"/>
        <v>8.8390000000000004</v>
      </c>
      <c r="N97">
        <f t="shared" si="7"/>
        <v>3</v>
      </c>
      <c r="O97">
        <f t="shared" si="8"/>
        <v>0.67361038215777791</v>
      </c>
    </row>
    <row r="98" spans="1:15">
      <c r="A98" s="9">
        <v>1547</v>
      </c>
      <c r="B98">
        <v>0.375</v>
      </c>
      <c r="C98" s="4">
        <v>9.0620262939037993E-2</v>
      </c>
      <c r="F98" s="9">
        <v>1547</v>
      </c>
      <c r="G98">
        <v>1</v>
      </c>
      <c r="H98" s="4">
        <v>0.32967995396436067</v>
      </c>
      <c r="J98" s="4">
        <f t="shared" ref="J98:J129" si="9">C98*H98*10^(((-LN(C98)^-$I$2)+(-LN(H98)^-$I$2))^-(1/$I$2))</f>
        <v>8.5023113166651246E-2</v>
      </c>
      <c r="M98">
        <f t="shared" si="6"/>
        <v>0.375</v>
      </c>
      <c r="N98">
        <f t="shared" si="7"/>
        <v>1</v>
      </c>
      <c r="O98">
        <f t="shared" si="8"/>
        <v>8.5023113166651246E-2</v>
      </c>
    </row>
    <row r="99" spans="1:15">
      <c r="A99" s="9">
        <v>1555</v>
      </c>
      <c r="B99">
        <v>1.752</v>
      </c>
      <c r="C99" s="4">
        <v>0.30938166086101176</v>
      </c>
      <c r="F99" s="9">
        <v>1555</v>
      </c>
      <c r="G99">
        <v>2</v>
      </c>
      <c r="H99" s="4">
        <v>0.55067103588277844</v>
      </c>
      <c r="J99" s="4">
        <f t="shared" si="9"/>
        <v>0.29270887994758654</v>
      </c>
      <c r="M99">
        <f t="shared" si="6"/>
        <v>1.752</v>
      </c>
      <c r="N99">
        <f t="shared" si="7"/>
        <v>2</v>
      </c>
      <c r="O99">
        <f t="shared" si="8"/>
        <v>0.29270887994758654</v>
      </c>
    </row>
    <row r="100" spans="1:15">
      <c r="A100" s="9">
        <v>1560</v>
      </c>
      <c r="B100">
        <v>4.6189999999999998</v>
      </c>
      <c r="C100" s="4">
        <v>0.58848374390135638</v>
      </c>
      <c r="F100" s="9">
        <v>1560</v>
      </c>
      <c r="G100">
        <v>2</v>
      </c>
      <c r="H100" s="4">
        <v>0.55067103588277844</v>
      </c>
      <c r="J100" s="4">
        <f t="shared" si="9"/>
        <v>0.47161910624210351</v>
      </c>
      <c r="M100">
        <f t="shared" si="6"/>
        <v>4.6189999999999998</v>
      </c>
      <c r="N100">
        <f t="shared" si="7"/>
        <v>2</v>
      </c>
      <c r="O100">
        <f t="shared" si="8"/>
        <v>0.47161910624210351</v>
      </c>
    </row>
    <row r="101" spans="1:15">
      <c r="A101" s="9">
        <v>1563</v>
      </c>
      <c r="B101">
        <v>0.56100000000000005</v>
      </c>
      <c r="C101" s="4">
        <v>0.12642142533246839</v>
      </c>
      <c r="F101" s="9">
        <v>1563</v>
      </c>
      <c r="G101">
        <v>1</v>
      </c>
      <c r="H101" s="4">
        <v>0.32967995396436067</v>
      </c>
      <c r="J101" s="4">
        <f t="shared" si="9"/>
        <v>0.11157692353239297</v>
      </c>
      <c r="M101">
        <f t="shared" si="6"/>
        <v>0.56100000000000005</v>
      </c>
      <c r="N101">
        <f t="shared" si="7"/>
        <v>1</v>
      </c>
      <c r="O101">
        <f t="shared" si="8"/>
        <v>0.11157692353239297</v>
      </c>
    </row>
    <row r="102" spans="1:15">
      <c r="A102" s="9">
        <v>1566</v>
      </c>
      <c r="B102">
        <v>15.484999999999999</v>
      </c>
      <c r="C102" s="4">
        <v>0.9344185590154227</v>
      </c>
      <c r="F102" s="9">
        <v>1566</v>
      </c>
      <c r="G102">
        <v>9</v>
      </c>
      <c r="H102" s="4">
        <v>0.97267627755270747</v>
      </c>
      <c r="J102" s="4">
        <f t="shared" si="9"/>
        <v>0.93412111395318076</v>
      </c>
      <c r="M102">
        <f t="shared" si="6"/>
        <v>15.484999999999999</v>
      </c>
      <c r="N102">
        <f t="shared" si="7"/>
        <v>9</v>
      </c>
      <c r="O102">
        <f t="shared" si="8"/>
        <v>0.93412111395318076</v>
      </c>
    </row>
    <row r="103" spans="1:15">
      <c r="A103" s="9">
        <v>1577</v>
      </c>
      <c r="B103">
        <v>3.2069999999999999</v>
      </c>
      <c r="C103" s="4">
        <v>0.47132294908036176</v>
      </c>
      <c r="F103" s="9">
        <v>1577</v>
      </c>
      <c r="G103">
        <v>1</v>
      </c>
      <c r="H103" s="4">
        <v>0.32967995396436067</v>
      </c>
      <c r="J103" s="4">
        <f t="shared" si="9"/>
        <v>0.28418670287707298</v>
      </c>
      <c r="M103">
        <f t="shared" si="6"/>
        <v>3.2069999999999999</v>
      </c>
      <c r="N103">
        <f t="shared" si="7"/>
        <v>1</v>
      </c>
      <c r="O103">
        <f t="shared" si="8"/>
        <v>0.28418670287707298</v>
      </c>
    </row>
    <row r="104" spans="1:15">
      <c r="A104" s="9">
        <v>1581</v>
      </c>
      <c r="B104">
        <v>1.4239999999999999</v>
      </c>
      <c r="C104" s="4">
        <v>0.26487193634590722</v>
      </c>
      <c r="F104" s="9">
        <v>1581</v>
      </c>
      <c r="G104">
        <v>2</v>
      </c>
      <c r="H104" s="4">
        <v>0.55067103588277844</v>
      </c>
      <c r="J104" s="4">
        <f t="shared" si="9"/>
        <v>0.25757544445486852</v>
      </c>
      <c r="M104">
        <f t="shared" si="6"/>
        <v>1.4239999999999999</v>
      </c>
      <c r="N104">
        <f t="shared" si="7"/>
        <v>2</v>
      </c>
      <c r="O104">
        <f t="shared" si="8"/>
        <v>0.25757544445486852</v>
      </c>
    </row>
    <row r="105" spans="1:15">
      <c r="A105" s="9">
        <v>1585</v>
      </c>
      <c r="B105">
        <v>0.36</v>
      </c>
      <c r="C105" s="4">
        <v>8.7589378322119119E-2</v>
      </c>
      <c r="F105" s="9">
        <v>1585</v>
      </c>
      <c r="G105">
        <v>1</v>
      </c>
      <c r="H105" s="4">
        <v>0.32967995396436067</v>
      </c>
      <c r="J105" s="4">
        <f t="shared" si="9"/>
        <v>8.2656906673391511E-2</v>
      </c>
      <c r="M105">
        <f t="shared" si="6"/>
        <v>0.36</v>
      </c>
      <c r="N105">
        <f t="shared" si="7"/>
        <v>1</v>
      </c>
      <c r="O105">
        <f t="shared" si="8"/>
        <v>8.2656906673391511E-2</v>
      </c>
    </row>
    <row r="106" spans="1:15">
      <c r="A106" s="9">
        <v>1590</v>
      </c>
      <c r="B106">
        <v>2.6970000000000001</v>
      </c>
      <c r="C106" s="4">
        <v>0.42021664406238729</v>
      </c>
      <c r="F106" s="9">
        <v>1590</v>
      </c>
      <c r="G106">
        <v>3</v>
      </c>
      <c r="H106" s="4">
        <v>0.69880578808779803</v>
      </c>
      <c r="J106" s="4">
        <f t="shared" si="9"/>
        <v>0.41781799894671012</v>
      </c>
      <c r="M106">
        <f t="shared" si="6"/>
        <v>2.6970000000000001</v>
      </c>
      <c r="N106">
        <f t="shared" si="7"/>
        <v>3</v>
      </c>
      <c r="O106">
        <f t="shared" si="8"/>
        <v>0.41781799894671012</v>
      </c>
    </row>
    <row r="107" spans="1:15">
      <c r="A107" s="9">
        <v>1595</v>
      </c>
      <c r="B107">
        <v>1.6839999999999999</v>
      </c>
      <c r="C107" s="4">
        <v>0.30044602085077782</v>
      </c>
      <c r="F107" s="9">
        <v>1595</v>
      </c>
      <c r="G107">
        <v>1</v>
      </c>
      <c r="H107" s="4">
        <v>0.32967995396436067</v>
      </c>
      <c r="J107" s="4">
        <f t="shared" si="9"/>
        <v>0.21415681858284727</v>
      </c>
      <c r="M107">
        <f t="shared" si="6"/>
        <v>1.6839999999999999</v>
      </c>
      <c r="N107">
        <f t="shared" si="7"/>
        <v>1</v>
      </c>
      <c r="O107">
        <f t="shared" si="8"/>
        <v>0.21415681858284727</v>
      </c>
    </row>
    <row r="108" spans="1:15">
      <c r="A108" s="9">
        <v>1597</v>
      </c>
      <c r="B108">
        <v>9.7409999999999997</v>
      </c>
      <c r="C108" s="4">
        <v>0.82892715806005468</v>
      </c>
      <c r="F108" s="9">
        <v>1597</v>
      </c>
      <c r="G108">
        <v>5</v>
      </c>
      <c r="H108" s="4">
        <v>0.8646647167633873</v>
      </c>
      <c r="J108" s="4">
        <f t="shared" si="9"/>
        <v>0.79993220728865388</v>
      </c>
      <c r="M108">
        <f t="shared" si="6"/>
        <v>9.7409999999999997</v>
      </c>
      <c r="N108">
        <f t="shared" si="7"/>
        <v>5</v>
      </c>
      <c r="O108">
        <f t="shared" si="8"/>
        <v>0.79993220728865388</v>
      </c>
    </row>
    <row r="109" spans="1:15">
      <c r="A109" s="9">
        <v>1608</v>
      </c>
      <c r="B109">
        <v>3.556</v>
      </c>
      <c r="C109" s="4">
        <v>0.50336366336199501</v>
      </c>
      <c r="F109" s="9">
        <v>1608</v>
      </c>
      <c r="G109">
        <v>1</v>
      </c>
      <c r="H109" s="4">
        <v>0.32967995396436067</v>
      </c>
      <c r="J109" s="4">
        <f t="shared" si="9"/>
        <v>0.29448230320100044</v>
      </c>
      <c r="M109">
        <f t="shared" si="6"/>
        <v>3.556</v>
      </c>
      <c r="N109">
        <f t="shared" si="7"/>
        <v>1</v>
      </c>
      <c r="O109">
        <f t="shared" si="8"/>
        <v>0.29448230320100044</v>
      </c>
    </row>
    <row r="110" spans="1:15">
      <c r="A110" s="9">
        <v>1616</v>
      </c>
      <c r="B110">
        <v>0.61199999999999999</v>
      </c>
      <c r="C110" s="4">
        <v>0.13574432737497968</v>
      </c>
      <c r="F110" s="9">
        <v>1616</v>
      </c>
      <c r="G110">
        <v>1</v>
      </c>
      <c r="H110" s="4">
        <v>0.32967995396436067</v>
      </c>
      <c r="J110" s="4">
        <f t="shared" si="9"/>
        <v>0.11811111305930309</v>
      </c>
      <c r="M110">
        <f t="shared" si="6"/>
        <v>0.61199999999999999</v>
      </c>
      <c r="N110">
        <f t="shared" si="7"/>
        <v>1</v>
      </c>
      <c r="O110">
        <f t="shared" si="8"/>
        <v>0.11811111305930309</v>
      </c>
    </row>
    <row r="111" spans="1:15">
      <c r="A111" s="9">
        <v>1618</v>
      </c>
      <c r="B111">
        <v>3.09</v>
      </c>
      <c r="C111" s="4">
        <v>0.46006747367592904</v>
      </c>
      <c r="F111" s="9">
        <v>1618</v>
      </c>
      <c r="G111">
        <v>2</v>
      </c>
      <c r="H111" s="4">
        <v>0.55067103588277844</v>
      </c>
      <c r="J111" s="4">
        <f t="shared" si="9"/>
        <v>0.39824630867124727</v>
      </c>
      <c r="M111">
        <f t="shared" si="6"/>
        <v>3.09</v>
      </c>
      <c r="N111">
        <f t="shared" si="7"/>
        <v>2</v>
      </c>
      <c r="O111">
        <f t="shared" si="8"/>
        <v>0.39824630867124727</v>
      </c>
    </row>
    <row r="112" spans="1:15">
      <c r="A112" s="9">
        <v>1623</v>
      </c>
      <c r="B112">
        <v>1.859</v>
      </c>
      <c r="C112" s="4">
        <v>0.32315248468287772</v>
      </c>
      <c r="F112" s="9">
        <v>1623</v>
      </c>
      <c r="G112">
        <v>1</v>
      </c>
      <c r="H112" s="4">
        <v>0.32967995396436067</v>
      </c>
      <c r="J112" s="4">
        <f t="shared" si="9"/>
        <v>0.22501388699472002</v>
      </c>
      <c r="M112">
        <f t="shared" si="6"/>
        <v>1.859</v>
      </c>
      <c r="N112">
        <f t="shared" si="7"/>
        <v>1</v>
      </c>
      <c r="O112">
        <f t="shared" si="8"/>
        <v>0.22501388699472002</v>
      </c>
    </row>
    <row r="113" spans="1:15">
      <c r="A113" s="9">
        <v>1625</v>
      </c>
      <c r="B113">
        <v>8.8049999999999997</v>
      </c>
      <c r="C113" s="4">
        <v>0.7996133440028298</v>
      </c>
      <c r="F113" s="9">
        <v>1625</v>
      </c>
      <c r="G113">
        <v>3</v>
      </c>
      <c r="H113" s="4">
        <v>0.69880578808779803</v>
      </c>
      <c r="J113" s="4">
        <f t="shared" si="9"/>
        <v>0.67309907223163234</v>
      </c>
      <c r="M113">
        <f t="shared" si="6"/>
        <v>8.8049999999999997</v>
      </c>
      <c r="N113">
        <f t="shared" si="7"/>
        <v>3</v>
      </c>
      <c r="O113">
        <f t="shared" si="8"/>
        <v>0.67309907223163234</v>
      </c>
    </row>
    <row r="114" spans="1:15">
      <c r="A114" s="9">
        <v>1630</v>
      </c>
      <c r="B114">
        <v>6.2509999999999994</v>
      </c>
      <c r="C114" s="4">
        <v>0.69009496383772329</v>
      </c>
      <c r="F114" s="9">
        <v>1630</v>
      </c>
      <c r="G114">
        <v>3</v>
      </c>
      <c r="H114" s="4">
        <v>0.69880578808779803</v>
      </c>
      <c r="J114" s="4">
        <f t="shared" si="9"/>
        <v>0.61518037447880825</v>
      </c>
      <c r="M114">
        <f t="shared" si="6"/>
        <v>6.2509999999999994</v>
      </c>
      <c r="N114">
        <f t="shared" si="7"/>
        <v>3</v>
      </c>
      <c r="O114">
        <f t="shared" si="8"/>
        <v>0.61518037447880825</v>
      </c>
    </row>
    <row r="115" spans="1:15">
      <c r="A115" s="9">
        <v>1638</v>
      </c>
      <c r="B115">
        <v>1.4259999999999999</v>
      </c>
      <c r="C115" s="4">
        <v>0.26515455788612541</v>
      </c>
      <c r="F115" s="9">
        <v>1638</v>
      </c>
      <c r="G115">
        <v>1</v>
      </c>
      <c r="H115" s="4">
        <v>0.32967995396436067</v>
      </c>
      <c r="J115" s="4">
        <f t="shared" si="9"/>
        <v>0.19624672602496684</v>
      </c>
      <c r="M115">
        <f t="shared" si="6"/>
        <v>1.4259999999999999</v>
      </c>
      <c r="N115">
        <f t="shared" si="7"/>
        <v>1</v>
      </c>
      <c r="O115">
        <f t="shared" si="8"/>
        <v>0.19624672602496684</v>
      </c>
    </row>
    <row r="116" spans="1:15">
      <c r="A116" s="9">
        <v>1641</v>
      </c>
      <c r="B116">
        <v>14.693999999999999</v>
      </c>
      <c r="C116" s="4">
        <v>0.92523043381600223</v>
      </c>
      <c r="F116" s="9">
        <v>1641</v>
      </c>
      <c r="G116">
        <v>8</v>
      </c>
      <c r="H116" s="4">
        <v>0.95923779602163384</v>
      </c>
      <c r="J116" s="4">
        <f t="shared" si="9"/>
        <v>0.92093309422620828</v>
      </c>
      <c r="M116">
        <f t="shared" si="6"/>
        <v>14.693999999999999</v>
      </c>
      <c r="N116">
        <f t="shared" si="7"/>
        <v>8</v>
      </c>
      <c r="O116">
        <f t="shared" si="8"/>
        <v>0.92093309422620828</v>
      </c>
    </row>
    <row r="117" spans="1:15">
      <c r="A117" s="9">
        <v>1652</v>
      </c>
      <c r="B117">
        <v>0.91900000000000004</v>
      </c>
      <c r="C117" s="4">
        <v>0.18836688872830509</v>
      </c>
      <c r="F117" s="9">
        <v>1652</v>
      </c>
      <c r="G117">
        <v>1</v>
      </c>
      <c r="H117" s="4">
        <v>0.32967995396436067</v>
      </c>
      <c r="J117" s="4">
        <f t="shared" si="9"/>
        <v>0.15249836368799477</v>
      </c>
      <c r="M117">
        <f t="shared" si="6"/>
        <v>0.91900000000000004</v>
      </c>
      <c r="N117">
        <f t="shared" si="7"/>
        <v>1</v>
      </c>
      <c r="O117">
        <f t="shared" si="8"/>
        <v>0.15249836368799477</v>
      </c>
    </row>
    <row r="118" spans="1:15">
      <c r="A118" s="9">
        <v>1654</v>
      </c>
      <c r="B118">
        <v>4.0890000000000004</v>
      </c>
      <c r="C118" s="4">
        <v>0.5482258367692433</v>
      </c>
      <c r="F118" s="9">
        <v>1654</v>
      </c>
      <c r="G118">
        <v>1</v>
      </c>
      <c r="H118" s="4">
        <v>0.32967995396436067</v>
      </c>
      <c r="J118" s="4">
        <f t="shared" si="9"/>
        <v>0.30746400974071619</v>
      </c>
      <c r="M118">
        <f t="shared" si="6"/>
        <v>4.0890000000000004</v>
      </c>
      <c r="N118">
        <f t="shared" si="7"/>
        <v>1</v>
      </c>
      <c r="O118">
        <f t="shared" si="8"/>
        <v>0.30746400974071619</v>
      </c>
    </row>
    <row r="119" spans="1:15">
      <c r="A119" s="9">
        <v>1656</v>
      </c>
      <c r="B119">
        <v>0.74299999999999999</v>
      </c>
      <c r="C119" s="4">
        <v>0.15888197779618821</v>
      </c>
      <c r="F119" s="9">
        <v>1656</v>
      </c>
      <c r="G119">
        <v>1</v>
      </c>
      <c r="H119" s="4">
        <v>0.32967995396436067</v>
      </c>
      <c r="J119" s="4">
        <f t="shared" si="9"/>
        <v>0.13372823945911494</v>
      </c>
      <c r="M119">
        <f t="shared" si="6"/>
        <v>0.74299999999999999</v>
      </c>
      <c r="N119">
        <f t="shared" si="7"/>
        <v>1</v>
      </c>
      <c r="O119">
        <f t="shared" si="8"/>
        <v>0.13372823945911494</v>
      </c>
    </row>
    <row r="120" spans="1:15">
      <c r="A120" s="9">
        <v>1658</v>
      </c>
      <c r="B120">
        <v>2.1860000000000004</v>
      </c>
      <c r="C120" s="4">
        <v>0.36318479390949693</v>
      </c>
      <c r="F120" s="9">
        <v>1658</v>
      </c>
      <c r="G120">
        <v>2</v>
      </c>
      <c r="H120" s="4">
        <v>0.55067103588277844</v>
      </c>
      <c r="J120" s="4">
        <f t="shared" si="9"/>
        <v>0.33274860435388193</v>
      </c>
      <c r="M120">
        <f t="shared" si="6"/>
        <v>2.1860000000000004</v>
      </c>
      <c r="N120">
        <f t="shared" si="7"/>
        <v>2</v>
      </c>
      <c r="O120">
        <f t="shared" si="8"/>
        <v>0.33274860435388193</v>
      </c>
    </row>
    <row r="121" spans="1:15">
      <c r="A121" s="9">
        <v>1661</v>
      </c>
      <c r="B121">
        <v>0.312</v>
      </c>
      <c r="C121" s="4">
        <v>7.7717504742064472E-2</v>
      </c>
      <c r="F121" s="9">
        <v>1661</v>
      </c>
      <c r="G121">
        <v>1</v>
      </c>
      <c r="H121" s="4">
        <v>0.32967995396436067</v>
      </c>
      <c r="J121" s="4">
        <f t="shared" si="9"/>
        <v>7.4805406954252904E-2</v>
      </c>
      <c r="M121">
        <f t="shared" si="6"/>
        <v>0.312</v>
      </c>
      <c r="N121">
        <f t="shared" si="7"/>
        <v>1</v>
      </c>
      <c r="O121">
        <f t="shared" si="8"/>
        <v>7.4805406954252904E-2</v>
      </c>
    </row>
    <row r="122" spans="1:15">
      <c r="A122" s="9">
        <v>1664</v>
      </c>
      <c r="B122">
        <v>1.623</v>
      </c>
      <c r="C122" s="4">
        <v>0.29230426215108646</v>
      </c>
      <c r="F122" s="9">
        <v>1664</v>
      </c>
      <c r="G122">
        <v>1</v>
      </c>
      <c r="H122" s="4">
        <v>0.32967995396436067</v>
      </c>
      <c r="J122" s="4">
        <f t="shared" si="9"/>
        <v>0.21013878999889396</v>
      </c>
      <c r="M122">
        <f t="shared" si="6"/>
        <v>1.623</v>
      </c>
      <c r="N122">
        <f t="shared" si="7"/>
        <v>1</v>
      </c>
      <c r="O122">
        <f t="shared" si="8"/>
        <v>0.21013878999889396</v>
      </c>
    </row>
    <row r="123" spans="1:15">
      <c r="A123" s="9">
        <v>1666</v>
      </c>
      <c r="B123">
        <v>0.629</v>
      </c>
      <c r="C123" s="4">
        <v>0.1388107767287923</v>
      </c>
      <c r="F123" s="9">
        <v>1666</v>
      </c>
      <c r="G123">
        <v>1</v>
      </c>
      <c r="H123" s="4">
        <v>0.32967995396436067</v>
      </c>
      <c r="J123" s="4">
        <f t="shared" si="9"/>
        <v>0.1202289982060068</v>
      </c>
      <c r="M123">
        <f t="shared" si="6"/>
        <v>0.629</v>
      </c>
      <c r="N123">
        <f t="shared" si="7"/>
        <v>1</v>
      </c>
      <c r="O123">
        <f t="shared" si="8"/>
        <v>0.1202289982060068</v>
      </c>
    </row>
    <row r="124" spans="1:15">
      <c r="A124" s="9">
        <v>1670</v>
      </c>
      <c r="B124">
        <v>3.613</v>
      </c>
      <c r="C124" s="4">
        <v>0.50838825342338612</v>
      </c>
      <c r="F124" s="9">
        <v>1670</v>
      </c>
      <c r="G124">
        <v>1</v>
      </c>
      <c r="H124" s="4">
        <v>0.32967995396436067</v>
      </c>
      <c r="J124" s="4">
        <f t="shared" si="9"/>
        <v>0.29601916905989395</v>
      </c>
      <c r="M124">
        <f t="shared" si="6"/>
        <v>3.613</v>
      </c>
      <c r="N124">
        <f t="shared" si="7"/>
        <v>1</v>
      </c>
      <c r="O124">
        <f t="shared" si="8"/>
        <v>0.29601916905989395</v>
      </c>
    </row>
    <row r="125" spans="1:15">
      <c r="A125" s="9">
        <v>1673</v>
      </c>
      <c r="B125">
        <v>0.59799999999999998</v>
      </c>
      <c r="C125" s="4">
        <v>0.13320381840566653</v>
      </c>
      <c r="F125" s="9">
        <v>1673</v>
      </c>
      <c r="G125">
        <v>1</v>
      </c>
      <c r="H125" s="4">
        <v>0.32967995396436067</v>
      </c>
      <c r="J125" s="4">
        <f t="shared" si="9"/>
        <v>0.11634487182417785</v>
      </c>
      <c r="M125">
        <f t="shared" si="6"/>
        <v>0.59799999999999998</v>
      </c>
      <c r="N125">
        <f t="shared" si="7"/>
        <v>1</v>
      </c>
      <c r="O125">
        <f t="shared" si="8"/>
        <v>0.11634487182417785</v>
      </c>
    </row>
    <row r="126" spans="1:15">
      <c r="A126" s="9">
        <v>1675</v>
      </c>
      <c r="B126">
        <v>5.8360000000000003</v>
      </c>
      <c r="C126" s="4">
        <v>0.66707456263116072</v>
      </c>
      <c r="F126" s="9">
        <v>1675</v>
      </c>
      <c r="G126">
        <v>2</v>
      </c>
      <c r="H126" s="4">
        <v>0.55067103588277844</v>
      </c>
      <c r="J126" s="4">
        <f t="shared" si="9"/>
        <v>0.50829914511207053</v>
      </c>
      <c r="M126">
        <f t="shared" si="6"/>
        <v>5.8360000000000003</v>
      </c>
      <c r="N126">
        <f t="shared" si="7"/>
        <v>2</v>
      </c>
      <c r="O126">
        <f t="shared" si="8"/>
        <v>0.50829914511207053</v>
      </c>
    </row>
    <row r="127" spans="1:15">
      <c r="A127" s="9">
        <v>1681</v>
      </c>
      <c r="B127">
        <v>5.76</v>
      </c>
      <c r="C127" s="4">
        <v>0.66266685896666144</v>
      </c>
      <c r="F127" s="9">
        <v>1681</v>
      </c>
      <c r="G127">
        <v>2</v>
      </c>
      <c r="H127" s="4">
        <v>0.55067103588277844</v>
      </c>
      <c r="J127" s="4">
        <f t="shared" si="9"/>
        <v>0.50642224362558086</v>
      </c>
      <c r="M127">
        <f t="shared" si="6"/>
        <v>5.76</v>
      </c>
      <c r="N127">
        <f t="shared" si="7"/>
        <v>2</v>
      </c>
      <c r="O127">
        <f t="shared" si="8"/>
        <v>0.50642224362558086</v>
      </c>
    </row>
    <row r="128" spans="1:15">
      <c r="A128" s="9">
        <v>1684</v>
      </c>
      <c r="B128">
        <v>4.5780000000000003</v>
      </c>
      <c r="C128" s="4">
        <v>0.58551234481346914</v>
      </c>
      <c r="F128" s="9">
        <v>1684</v>
      </c>
      <c r="G128">
        <v>2</v>
      </c>
      <c r="H128" s="4">
        <v>0.55067103588277844</v>
      </c>
      <c r="J128" s="4">
        <f t="shared" si="9"/>
        <v>0.47010376455967734</v>
      </c>
      <c r="M128">
        <f t="shared" si="6"/>
        <v>4.5780000000000003</v>
      </c>
      <c r="N128">
        <f t="shared" si="7"/>
        <v>2</v>
      </c>
      <c r="O128">
        <f t="shared" si="8"/>
        <v>0.47010376455967734</v>
      </c>
    </row>
    <row r="129" spans="1:15">
      <c r="A129" s="9">
        <v>1687</v>
      </c>
      <c r="B129">
        <v>5.6079999999999997</v>
      </c>
      <c r="C129" s="4">
        <v>0.6536652454273133</v>
      </c>
      <c r="F129" s="9">
        <v>1687</v>
      </c>
      <c r="G129">
        <v>5</v>
      </c>
      <c r="H129" s="4">
        <v>0.8646647167633873</v>
      </c>
      <c r="J129" s="4">
        <f t="shared" si="9"/>
        <v>0.65889170159584143</v>
      </c>
      <c r="M129">
        <f t="shared" si="6"/>
        <v>5.6079999999999997</v>
      </c>
      <c r="N129">
        <f t="shared" si="7"/>
        <v>5</v>
      </c>
      <c r="O129">
        <f t="shared" si="8"/>
        <v>0.65889170159584143</v>
      </c>
    </row>
    <row r="130" spans="1:15">
      <c r="A130" s="9">
        <v>1693</v>
      </c>
      <c r="B130">
        <v>0.14599999999999999</v>
      </c>
      <c r="C130" s="4">
        <v>4.0939659144773488E-2</v>
      </c>
      <c r="F130" s="9">
        <v>1693</v>
      </c>
      <c r="G130">
        <v>1</v>
      </c>
      <c r="H130" s="4">
        <v>0.32967995396436067</v>
      </c>
      <c r="J130" s="4">
        <f t="shared" ref="J130:J161" si="10">C130*H130*10^(((-LN(C130)^-$I$2)+(-LN(H130)^-$I$2))^-(1/$I$2))</f>
        <v>4.3232914126853893E-2</v>
      </c>
      <c r="M130">
        <f t="shared" si="6"/>
        <v>0.14599999999999999</v>
      </c>
      <c r="N130">
        <f t="shared" si="7"/>
        <v>1</v>
      </c>
      <c r="O130">
        <f t="shared" si="8"/>
        <v>4.3232914126853893E-2</v>
      </c>
    </row>
    <row r="131" spans="1:15">
      <c r="A131" s="9">
        <v>1696</v>
      </c>
      <c r="B131">
        <v>7.0190000000000001</v>
      </c>
      <c r="C131" s="4">
        <v>0.72839836519158885</v>
      </c>
      <c r="F131" s="9">
        <v>1696</v>
      </c>
      <c r="G131">
        <v>4</v>
      </c>
      <c r="H131" s="4">
        <v>0.79810348200534464</v>
      </c>
      <c r="J131" s="4">
        <f t="shared" si="10"/>
        <v>0.69396763026999142</v>
      </c>
      <c r="M131">
        <f t="shared" ref="M131:M194" si="11">B131</f>
        <v>7.0190000000000001</v>
      </c>
      <c r="N131">
        <f t="shared" ref="N131:N194" si="12">G131</f>
        <v>4</v>
      </c>
      <c r="O131">
        <f t="shared" ref="O131:O194" si="13">J131</f>
        <v>0.69396763026999142</v>
      </c>
    </row>
    <row r="132" spans="1:15">
      <c r="A132" s="9">
        <v>1703</v>
      </c>
      <c r="B132">
        <v>7.8360000000000003</v>
      </c>
      <c r="C132" s="4">
        <v>0.76376867491908551</v>
      </c>
      <c r="F132" s="9">
        <v>1703</v>
      </c>
      <c r="G132">
        <v>3</v>
      </c>
      <c r="H132" s="4">
        <v>0.69880578808779803</v>
      </c>
      <c r="J132" s="4">
        <f t="shared" si="10"/>
        <v>0.65605789923837643</v>
      </c>
      <c r="M132">
        <f t="shared" si="11"/>
        <v>7.8360000000000003</v>
      </c>
      <c r="N132">
        <f t="shared" si="12"/>
        <v>3</v>
      </c>
      <c r="O132">
        <f t="shared" si="13"/>
        <v>0.65605789923837643</v>
      </c>
    </row>
    <row r="133" spans="1:15">
      <c r="A133" s="9">
        <v>1708</v>
      </c>
      <c r="B133">
        <v>3.5939999999999999</v>
      </c>
      <c r="C133" s="4">
        <v>0.50671967911314586</v>
      </c>
      <c r="F133" s="9">
        <v>1708</v>
      </c>
      <c r="G133">
        <v>3</v>
      </c>
      <c r="H133" s="4">
        <v>0.69880578808779803</v>
      </c>
      <c r="J133" s="4">
        <f t="shared" si="10"/>
        <v>0.48781229222261308</v>
      </c>
      <c r="M133">
        <f t="shared" si="11"/>
        <v>3.5939999999999999</v>
      </c>
      <c r="N133">
        <f t="shared" si="12"/>
        <v>3</v>
      </c>
      <c r="O133">
        <f t="shared" si="13"/>
        <v>0.48781229222261308</v>
      </c>
    </row>
    <row r="134" spans="1:15">
      <c r="A134" s="9">
        <v>1712</v>
      </c>
      <c r="B134">
        <v>0.42699999999999999</v>
      </c>
      <c r="C134" s="4">
        <v>0.10094592352458268</v>
      </c>
      <c r="F134" s="9">
        <v>1712</v>
      </c>
      <c r="G134">
        <v>1</v>
      </c>
      <c r="H134" s="4">
        <v>0.32967995396436067</v>
      </c>
      <c r="J134" s="4">
        <f t="shared" si="10"/>
        <v>9.2937458053869743E-2</v>
      </c>
      <c r="M134">
        <f t="shared" si="11"/>
        <v>0.42699999999999999</v>
      </c>
      <c r="N134">
        <f t="shared" si="12"/>
        <v>1</v>
      </c>
      <c r="O134">
        <f t="shared" si="13"/>
        <v>9.2937458053869743E-2</v>
      </c>
    </row>
    <row r="135" spans="1:15">
      <c r="A135" s="9">
        <v>1714</v>
      </c>
      <c r="B135">
        <v>7.6539999999999999</v>
      </c>
      <c r="C135" s="4">
        <v>0.75632710331032149</v>
      </c>
      <c r="F135" s="9">
        <v>1714</v>
      </c>
      <c r="G135">
        <v>4</v>
      </c>
      <c r="H135" s="4">
        <v>0.79810348200534464</v>
      </c>
      <c r="J135" s="4">
        <f t="shared" si="10"/>
        <v>0.71338498885182555</v>
      </c>
      <c r="M135">
        <f t="shared" si="11"/>
        <v>7.6539999999999999</v>
      </c>
      <c r="N135">
        <f t="shared" si="12"/>
        <v>4</v>
      </c>
      <c r="O135">
        <f t="shared" si="13"/>
        <v>0.71338498885182555</v>
      </c>
    </row>
    <row r="136" spans="1:15">
      <c r="A136" s="9">
        <v>1722</v>
      </c>
      <c r="B136">
        <v>1.649</v>
      </c>
      <c r="C136" s="4">
        <v>0.29578931181880647</v>
      </c>
      <c r="F136" s="9">
        <v>1722</v>
      </c>
      <c r="G136">
        <v>1</v>
      </c>
      <c r="H136" s="4">
        <v>0.32967995396436067</v>
      </c>
      <c r="J136" s="4">
        <f t="shared" si="10"/>
        <v>0.21186689615101317</v>
      </c>
      <c r="M136">
        <f t="shared" si="11"/>
        <v>1.649</v>
      </c>
      <c r="N136">
        <f t="shared" si="12"/>
        <v>1</v>
      </c>
      <c r="O136">
        <f t="shared" si="13"/>
        <v>0.21186689615101317</v>
      </c>
    </row>
    <row r="137" spans="1:15">
      <c r="A137" s="9">
        <v>1724</v>
      </c>
      <c r="B137">
        <v>3.3260000000000001</v>
      </c>
      <c r="C137" s="4">
        <v>0.48250067697264365</v>
      </c>
      <c r="F137" s="9">
        <v>1724</v>
      </c>
      <c r="G137">
        <v>2</v>
      </c>
      <c r="H137" s="4">
        <v>0.55067103588277844</v>
      </c>
      <c r="J137" s="4">
        <f t="shared" si="10"/>
        <v>0.41219287282506817</v>
      </c>
      <c r="M137">
        <f t="shared" si="11"/>
        <v>3.3260000000000001</v>
      </c>
      <c r="N137">
        <f t="shared" si="12"/>
        <v>2</v>
      </c>
      <c r="O137">
        <f t="shared" si="13"/>
        <v>0.41219287282506817</v>
      </c>
    </row>
    <row r="138" spans="1:15">
      <c r="A138" s="9">
        <v>1727</v>
      </c>
      <c r="B138">
        <v>11.206000000000001</v>
      </c>
      <c r="C138" s="4">
        <v>0.86626675359147687</v>
      </c>
      <c r="F138" s="9">
        <v>1727</v>
      </c>
      <c r="G138">
        <v>5</v>
      </c>
      <c r="H138" s="4">
        <v>0.8646647167633873</v>
      </c>
      <c r="J138" s="4">
        <f t="shared" si="10"/>
        <v>0.82490552949790485</v>
      </c>
      <c r="M138">
        <f t="shared" si="11"/>
        <v>11.206000000000001</v>
      </c>
      <c r="N138">
        <f t="shared" si="12"/>
        <v>5</v>
      </c>
      <c r="O138">
        <f t="shared" si="13"/>
        <v>0.82490552949790485</v>
      </c>
    </row>
    <row r="139" spans="1:15">
      <c r="A139" s="9">
        <v>1734</v>
      </c>
      <c r="B139">
        <v>0.376</v>
      </c>
      <c r="C139" s="4">
        <v>9.0821455496696582E-2</v>
      </c>
      <c r="F139" s="9">
        <v>1734</v>
      </c>
      <c r="G139">
        <v>1</v>
      </c>
      <c r="H139" s="4">
        <v>0.32967995396436067</v>
      </c>
      <c r="J139" s="4">
        <f t="shared" si="10"/>
        <v>8.5179472866415501E-2</v>
      </c>
      <c r="M139">
        <f t="shared" si="11"/>
        <v>0.376</v>
      </c>
      <c r="N139">
        <f t="shared" si="12"/>
        <v>1</v>
      </c>
      <c r="O139">
        <f t="shared" si="13"/>
        <v>8.5179472866415501E-2</v>
      </c>
    </row>
    <row r="140" spans="1:15">
      <c r="A140" s="9">
        <v>1736</v>
      </c>
      <c r="B140">
        <v>6.5690000000000008</v>
      </c>
      <c r="C140" s="4">
        <v>0.70659930175788732</v>
      </c>
      <c r="F140" s="9">
        <v>1736</v>
      </c>
      <c r="G140">
        <v>3</v>
      </c>
      <c r="H140" s="4">
        <v>0.69880578808779803</v>
      </c>
      <c r="J140" s="4">
        <f t="shared" si="10"/>
        <v>0.6249483353731341</v>
      </c>
      <c r="M140">
        <f t="shared" si="11"/>
        <v>6.5690000000000008</v>
      </c>
      <c r="N140">
        <f t="shared" si="12"/>
        <v>3</v>
      </c>
      <c r="O140">
        <f t="shared" si="13"/>
        <v>0.6249483353731341</v>
      </c>
    </row>
    <row r="141" spans="1:15">
      <c r="A141" s="9">
        <v>1741</v>
      </c>
      <c r="B141">
        <v>3.8689999999999998</v>
      </c>
      <c r="C141" s="4">
        <v>0.53027260070205451</v>
      </c>
      <c r="F141" s="9">
        <v>1741</v>
      </c>
      <c r="G141">
        <v>3</v>
      </c>
      <c r="H141" s="4">
        <v>0.69880578808779803</v>
      </c>
      <c r="J141" s="4">
        <f t="shared" si="10"/>
        <v>0.50586837961442288</v>
      </c>
      <c r="M141">
        <f t="shared" si="11"/>
        <v>3.8689999999999998</v>
      </c>
      <c r="N141">
        <f t="shared" si="12"/>
        <v>3</v>
      </c>
      <c r="O141">
        <f t="shared" si="13"/>
        <v>0.50586837961442288</v>
      </c>
    </row>
    <row r="142" spans="1:15">
      <c r="A142" s="9">
        <v>1750</v>
      </c>
      <c r="B142">
        <v>14.353</v>
      </c>
      <c r="C142" s="4">
        <v>0.92087650416705646</v>
      </c>
      <c r="F142" s="9">
        <v>1750</v>
      </c>
      <c r="G142">
        <v>8</v>
      </c>
      <c r="H142" s="4">
        <v>0.95923779602163384</v>
      </c>
      <c r="J142" s="4">
        <f t="shared" si="10"/>
        <v>0.91742709671229872</v>
      </c>
      <c r="M142">
        <f t="shared" si="11"/>
        <v>14.353</v>
      </c>
      <c r="N142">
        <f t="shared" si="12"/>
        <v>8</v>
      </c>
      <c r="O142">
        <f t="shared" si="13"/>
        <v>0.91742709671229872</v>
      </c>
    </row>
    <row r="143" spans="1:15">
      <c r="A143" s="9">
        <v>1763</v>
      </c>
      <c r="B143">
        <v>6.87</v>
      </c>
      <c r="C143" s="4">
        <v>0.72137428167634565</v>
      </c>
      <c r="F143" s="9">
        <v>1763</v>
      </c>
      <c r="G143">
        <v>7</v>
      </c>
      <c r="H143" s="4">
        <v>0.93918993737478207</v>
      </c>
      <c r="J143" s="4">
        <f t="shared" si="10"/>
        <v>0.7335827006430834</v>
      </c>
      <c r="M143">
        <f t="shared" si="11"/>
        <v>6.87</v>
      </c>
      <c r="N143">
        <f t="shared" si="12"/>
        <v>7</v>
      </c>
      <c r="O143">
        <f t="shared" si="13"/>
        <v>0.7335827006430834</v>
      </c>
    </row>
    <row r="144" spans="1:15">
      <c r="A144" s="9">
        <v>1772</v>
      </c>
      <c r="B144">
        <v>14.530999999999999</v>
      </c>
      <c r="C144" s="4">
        <v>0.9231804010259681</v>
      </c>
      <c r="F144" s="9">
        <v>1772</v>
      </c>
      <c r="G144">
        <v>7</v>
      </c>
      <c r="H144" s="4">
        <v>0.93918993737478207</v>
      </c>
      <c r="J144" s="4">
        <f t="shared" si="10"/>
        <v>0.90885440426839559</v>
      </c>
      <c r="M144">
        <f t="shared" si="11"/>
        <v>14.530999999999999</v>
      </c>
      <c r="N144">
        <f t="shared" si="12"/>
        <v>7</v>
      </c>
      <c r="O144">
        <f t="shared" si="13"/>
        <v>0.90885440426839559</v>
      </c>
    </row>
    <row r="145" spans="1:15">
      <c r="A145" s="9">
        <v>1780</v>
      </c>
      <c r="B145">
        <v>1.657</v>
      </c>
      <c r="C145" s="4">
        <v>0.29685719544005329</v>
      </c>
      <c r="F145" s="9">
        <v>1780</v>
      </c>
      <c r="G145">
        <v>1</v>
      </c>
      <c r="H145" s="4">
        <v>0.32967995396436067</v>
      </c>
      <c r="J145" s="4">
        <f t="shared" si="10"/>
        <v>0.21239395692457894</v>
      </c>
      <c r="M145">
        <f t="shared" si="11"/>
        <v>1.657</v>
      </c>
      <c r="N145">
        <f t="shared" si="12"/>
        <v>1</v>
      </c>
      <c r="O145">
        <f t="shared" si="13"/>
        <v>0.21239395692457894</v>
      </c>
    </row>
    <row r="146" spans="1:15">
      <c r="A146" s="9">
        <v>1785</v>
      </c>
      <c r="B146">
        <v>7</v>
      </c>
      <c r="C146" s="4">
        <v>0.72751305403027622</v>
      </c>
      <c r="F146" s="9">
        <v>1785</v>
      </c>
      <c r="G146">
        <v>2</v>
      </c>
      <c r="H146" s="4">
        <v>0.55067103588277844</v>
      </c>
      <c r="J146" s="4">
        <f t="shared" si="10"/>
        <v>0.53168670390519712</v>
      </c>
      <c r="M146">
        <f t="shared" si="11"/>
        <v>7</v>
      </c>
      <c r="N146">
        <f t="shared" si="12"/>
        <v>2</v>
      </c>
      <c r="O146">
        <f t="shared" si="13"/>
        <v>0.53168670390519712</v>
      </c>
    </row>
    <row r="147" spans="1:15">
      <c r="A147" s="9">
        <v>1789</v>
      </c>
      <c r="B147">
        <v>8.6590000000000007</v>
      </c>
      <c r="C147" s="4">
        <v>0.7945944723051217</v>
      </c>
      <c r="F147" s="9">
        <v>1789</v>
      </c>
      <c r="G147">
        <v>3</v>
      </c>
      <c r="H147" s="4">
        <v>0.69880578808779803</v>
      </c>
      <c r="J147" s="4">
        <f t="shared" si="10"/>
        <v>0.67084144670076151</v>
      </c>
      <c r="M147">
        <f t="shared" si="11"/>
        <v>8.6590000000000007</v>
      </c>
      <c r="N147">
        <f t="shared" si="12"/>
        <v>3</v>
      </c>
      <c r="O147">
        <f t="shared" si="13"/>
        <v>0.67084144670076151</v>
      </c>
    </row>
    <row r="148" spans="1:15">
      <c r="A148" s="9">
        <v>1798</v>
      </c>
      <c r="B148">
        <v>0.80400000000000005</v>
      </c>
      <c r="C148" s="4">
        <v>0.16929531247567742</v>
      </c>
      <c r="F148" s="9">
        <v>1798</v>
      </c>
      <c r="G148">
        <v>1</v>
      </c>
      <c r="H148" s="4">
        <v>0.32967995396436067</v>
      </c>
      <c r="J148" s="4">
        <f t="shared" si="10"/>
        <v>0.1404956696188254</v>
      </c>
      <c r="M148">
        <f t="shared" si="11"/>
        <v>0.80400000000000005</v>
      </c>
      <c r="N148">
        <f t="shared" si="12"/>
        <v>1</v>
      </c>
      <c r="O148">
        <f t="shared" si="13"/>
        <v>0.1404956696188254</v>
      </c>
    </row>
    <row r="149" spans="1:15">
      <c r="A149" s="9">
        <v>1800</v>
      </c>
      <c r="B149">
        <v>4.476</v>
      </c>
      <c r="C149" s="4">
        <v>0.57801917173601747</v>
      </c>
      <c r="F149" s="9">
        <v>1800</v>
      </c>
      <c r="G149">
        <v>2</v>
      </c>
      <c r="H149" s="4">
        <v>0.55067103588277844</v>
      </c>
      <c r="J149" s="4">
        <f t="shared" si="10"/>
        <v>0.46624249938330825</v>
      </c>
      <c r="M149">
        <f t="shared" si="11"/>
        <v>4.476</v>
      </c>
      <c r="N149">
        <f t="shared" si="12"/>
        <v>2</v>
      </c>
      <c r="O149">
        <f t="shared" si="13"/>
        <v>0.46624249938330825</v>
      </c>
    </row>
    <row r="150" spans="1:15">
      <c r="A150" s="9">
        <v>1805</v>
      </c>
      <c r="B150">
        <v>6.6189999999999998</v>
      </c>
      <c r="C150" s="4">
        <v>0.70910929074180984</v>
      </c>
      <c r="F150" s="9">
        <v>1805</v>
      </c>
      <c r="G150">
        <v>2</v>
      </c>
      <c r="H150" s="4">
        <v>0.55067103588277844</v>
      </c>
      <c r="J150" s="4">
        <f t="shared" si="10"/>
        <v>0.52504370467459816</v>
      </c>
      <c r="M150">
        <f t="shared" si="11"/>
        <v>6.6189999999999998</v>
      </c>
      <c r="N150">
        <f t="shared" si="12"/>
        <v>2</v>
      </c>
      <c r="O150">
        <f t="shared" si="13"/>
        <v>0.52504370467459816</v>
      </c>
    </row>
    <row r="151" spans="1:15">
      <c r="A151" s="9">
        <v>1808</v>
      </c>
      <c r="B151">
        <v>1.911</v>
      </c>
      <c r="C151" s="4">
        <v>0.32972094048933109</v>
      </c>
      <c r="F151" s="9">
        <v>1808</v>
      </c>
      <c r="G151">
        <v>1</v>
      </c>
      <c r="H151" s="4">
        <v>0.32967995396436067</v>
      </c>
      <c r="J151" s="4">
        <f t="shared" si="10"/>
        <v>0.22806071700381025</v>
      </c>
      <c r="M151">
        <f t="shared" si="11"/>
        <v>1.911</v>
      </c>
      <c r="N151">
        <f t="shared" si="12"/>
        <v>1</v>
      </c>
      <c r="O151">
        <f t="shared" si="13"/>
        <v>0.22806071700381025</v>
      </c>
    </row>
    <row r="152" spans="1:15">
      <c r="A152" s="9">
        <v>1812</v>
      </c>
      <c r="B152">
        <v>0.9</v>
      </c>
      <c r="C152" s="4">
        <v>0.18526398272648797</v>
      </c>
      <c r="F152" s="9">
        <v>1812</v>
      </c>
      <c r="G152">
        <v>1</v>
      </c>
      <c r="H152" s="4">
        <v>0.32967995396436067</v>
      </c>
      <c r="J152" s="4">
        <f t="shared" si="10"/>
        <v>0.1505789493351174</v>
      </c>
      <c r="M152">
        <f t="shared" si="11"/>
        <v>0.9</v>
      </c>
      <c r="N152">
        <f t="shared" si="12"/>
        <v>1</v>
      </c>
      <c r="O152">
        <f t="shared" si="13"/>
        <v>0.1505789493351174</v>
      </c>
    </row>
    <row r="153" spans="1:15">
      <c r="A153" s="9">
        <v>1816</v>
      </c>
      <c r="B153">
        <v>0.373</v>
      </c>
      <c r="C153" s="4">
        <v>9.021755633829702E-2</v>
      </c>
      <c r="F153" s="9">
        <v>1816</v>
      </c>
      <c r="G153">
        <v>1</v>
      </c>
      <c r="H153" s="4">
        <v>0.32967995396436067</v>
      </c>
      <c r="J153" s="4">
        <f t="shared" si="10"/>
        <v>8.4709879905899177E-2</v>
      </c>
      <c r="M153">
        <f t="shared" si="11"/>
        <v>0.373</v>
      </c>
      <c r="N153">
        <f t="shared" si="12"/>
        <v>1</v>
      </c>
      <c r="O153">
        <f t="shared" si="13"/>
        <v>8.4709879905899177E-2</v>
      </c>
    </row>
    <row r="154" spans="1:15">
      <c r="A154" s="9">
        <v>1819</v>
      </c>
      <c r="B154">
        <v>3.367</v>
      </c>
      <c r="C154" s="4">
        <v>0.48629026728724584</v>
      </c>
      <c r="F154" s="9">
        <v>1819</v>
      </c>
      <c r="G154">
        <v>2</v>
      </c>
      <c r="H154" s="4">
        <v>0.55067103588277844</v>
      </c>
      <c r="J154" s="4">
        <f t="shared" si="10"/>
        <v>0.41450281381768517</v>
      </c>
      <c r="M154">
        <f t="shared" si="11"/>
        <v>3.367</v>
      </c>
      <c r="N154">
        <f t="shared" si="12"/>
        <v>2</v>
      </c>
      <c r="O154">
        <f t="shared" si="13"/>
        <v>0.41450281381768517</v>
      </c>
    </row>
    <row r="155" spans="1:15">
      <c r="A155" s="9">
        <v>1822</v>
      </c>
      <c r="B155">
        <v>3.258</v>
      </c>
      <c r="C155" s="4">
        <v>0.47614626282585376</v>
      </c>
      <c r="F155" s="9">
        <v>1822</v>
      </c>
      <c r="G155">
        <v>1</v>
      </c>
      <c r="H155" s="4">
        <v>0.32967995396436067</v>
      </c>
      <c r="J155" s="4">
        <f t="shared" si="10"/>
        <v>0.28579154780361582</v>
      </c>
      <c r="M155">
        <f t="shared" si="11"/>
        <v>3.258</v>
      </c>
      <c r="N155">
        <f t="shared" si="12"/>
        <v>1</v>
      </c>
      <c r="O155">
        <f t="shared" si="13"/>
        <v>0.28579154780361582</v>
      </c>
    </row>
    <row r="156" spans="1:15">
      <c r="A156" s="9">
        <v>1824</v>
      </c>
      <c r="B156">
        <v>3.95</v>
      </c>
      <c r="C156" s="4">
        <v>0.53697194635656154</v>
      </c>
      <c r="F156" s="9">
        <v>1824</v>
      </c>
      <c r="G156">
        <v>1</v>
      </c>
      <c r="H156" s="4">
        <v>0.32967995396436067</v>
      </c>
      <c r="J156" s="4">
        <f t="shared" si="10"/>
        <v>0.3043638729402941</v>
      </c>
      <c r="M156">
        <f t="shared" si="11"/>
        <v>3.95</v>
      </c>
      <c r="N156">
        <f t="shared" si="12"/>
        <v>1</v>
      </c>
      <c r="O156">
        <f t="shared" si="13"/>
        <v>0.3043638729402941</v>
      </c>
    </row>
    <row r="157" spans="1:15">
      <c r="A157" s="9">
        <v>1829</v>
      </c>
      <c r="B157">
        <v>5.176000000000001</v>
      </c>
      <c r="C157" s="4">
        <v>0.62666225131414333</v>
      </c>
      <c r="F157" s="9">
        <v>1829</v>
      </c>
      <c r="G157">
        <v>4</v>
      </c>
      <c r="H157" s="4">
        <v>0.79810348200534464</v>
      </c>
      <c r="J157" s="4">
        <f t="shared" si="10"/>
        <v>0.61636535479249233</v>
      </c>
      <c r="M157">
        <f t="shared" si="11"/>
        <v>5.176000000000001</v>
      </c>
      <c r="N157">
        <f t="shared" si="12"/>
        <v>4</v>
      </c>
      <c r="O157">
        <f t="shared" si="13"/>
        <v>0.61636535479249233</v>
      </c>
    </row>
    <row r="158" spans="1:15">
      <c r="A158" s="9">
        <v>1835</v>
      </c>
      <c r="B158">
        <v>1.5349999999999999</v>
      </c>
      <c r="C158" s="4">
        <v>0.28034184703333398</v>
      </c>
      <c r="F158" s="9">
        <v>1835</v>
      </c>
      <c r="G158">
        <v>1</v>
      </c>
      <c r="H158" s="4">
        <v>0.32967995396436067</v>
      </c>
      <c r="J158" s="4">
        <f t="shared" si="10"/>
        <v>0.20411254447726504</v>
      </c>
      <c r="M158">
        <f t="shared" si="11"/>
        <v>1.5349999999999999</v>
      </c>
      <c r="N158">
        <f t="shared" si="12"/>
        <v>1</v>
      </c>
      <c r="O158">
        <f t="shared" si="13"/>
        <v>0.20411254447726504</v>
      </c>
    </row>
    <row r="159" spans="1:15">
      <c r="A159" s="9">
        <v>1837</v>
      </c>
      <c r="B159">
        <v>2.8179999999999996</v>
      </c>
      <c r="C159" s="4">
        <v>0.43283440543398838</v>
      </c>
      <c r="F159" s="9">
        <v>1837</v>
      </c>
      <c r="G159">
        <v>3</v>
      </c>
      <c r="H159" s="4">
        <v>0.69880578808779803</v>
      </c>
      <c r="J159" s="4">
        <f t="shared" si="10"/>
        <v>0.42837353075218043</v>
      </c>
      <c r="M159">
        <f t="shared" si="11"/>
        <v>2.8179999999999996</v>
      </c>
      <c r="N159">
        <f t="shared" si="12"/>
        <v>3</v>
      </c>
      <c r="O159">
        <f t="shared" si="13"/>
        <v>0.42837353075218043</v>
      </c>
    </row>
    <row r="160" spans="1:15">
      <c r="A160" s="9">
        <v>1841</v>
      </c>
      <c r="B160">
        <v>6.6619999999999999</v>
      </c>
      <c r="C160" s="4">
        <v>0.71124989842385056</v>
      </c>
      <c r="F160" s="9">
        <v>1841</v>
      </c>
      <c r="G160">
        <v>2</v>
      </c>
      <c r="H160" s="4">
        <v>0.55067103588277844</v>
      </c>
      <c r="J160" s="4">
        <f t="shared" si="10"/>
        <v>0.52583861278804689</v>
      </c>
      <c r="M160">
        <f t="shared" si="11"/>
        <v>6.6619999999999999</v>
      </c>
      <c r="N160">
        <f t="shared" si="12"/>
        <v>2</v>
      </c>
      <c r="O160">
        <f t="shared" si="13"/>
        <v>0.52583861278804689</v>
      </c>
    </row>
    <row r="161" spans="1:15">
      <c r="A161" s="9">
        <v>1845</v>
      </c>
      <c r="B161">
        <v>4.2450000000000001</v>
      </c>
      <c r="C161" s="4">
        <v>0.56050183961271738</v>
      </c>
      <c r="F161" s="9">
        <v>1845</v>
      </c>
      <c r="G161">
        <v>4</v>
      </c>
      <c r="H161" s="4">
        <v>0.79810348200534464</v>
      </c>
      <c r="J161" s="4">
        <f t="shared" si="10"/>
        <v>0.5612819333311051</v>
      </c>
      <c r="M161">
        <f t="shared" si="11"/>
        <v>4.2450000000000001</v>
      </c>
      <c r="N161">
        <f t="shared" si="12"/>
        <v>4</v>
      </c>
      <c r="O161">
        <f t="shared" si="13"/>
        <v>0.5612819333311051</v>
      </c>
    </row>
    <row r="162" spans="1:15">
      <c r="A162" s="9">
        <v>1852</v>
      </c>
      <c r="B162">
        <v>0.441</v>
      </c>
      <c r="C162" s="4">
        <v>0.10368060958855779</v>
      </c>
      <c r="F162" s="9">
        <v>1852</v>
      </c>
      <c r="G162">
        <v>1</v>
      </c>
      <c r="H162" s="4">
        <v>0.32967995396436067</v>
      </c>
      <c r="J162" s="4">
        <f t="shared" ref="J162:J196" si="14">C162*H162*10^(((-LN(C162)^-$I$2)+(-LN(H162)^-$I$2))^-(1/$I$2))</f>
        <v>9.4996997609168812E-2</v>
      </c>
      <c r="M162">
        <f t="shared" si="11"/>
        <v>0.441</v>
      </c>
      <c r="N162">
        <f t="shared" si="12"/>
        <v>1</v>
      </c>
      <c r="O162">
        <f t="shared" si="13"/>
        <v>9.4996997609168812E-2</v>
      </c>
    </row>
    <row r="163" spans="1:15">
      <c r="A163" s="9">
        <v>1854</v>
      </c>
      <c r="B163">
        <v>10.876999999999999</v>
      </c>
      <c r="C163" s="4">
        <v>0.85868060066875262</v>
      </c>
      <c r="F163" s="9">
        <v>1854</v>
      </c>
      <c r="G163">
        <v>4</v>
      </c>
      <c r="H163" s="4">
        <v>0.79810348200534464</v>
      </c>
      <c r="J163" s="4">
        <f t="shared" si="14"/>
        <v>0.77460013393720895</v>
      </c>
      <c r="M163">
        <f t="shared" si="11"/>
        <v>10.876999999999999</v>
      </c>
      <c r="N163">
        <f t="shared" si="12"/>
        <v>4</v>
      </c>
      <c r="O163">
        <f t="shared" si="13"/>
        <v>0.77460013393720895</v>
      </c>
    </row>
    <row r="164" spans="1:15">
      <c r="A164" s="9">
        <v>1859</v>
      </c>
      <c r="B164">
        <v>17.239000000000001</v>
      </c>
      <c r="C164" s="4">
        <v>0.95092663443752035</v>
      </c>
      <c r="F164" s="9">
        <v>1859</v>
      </c>
      <c r="G164">
        <v>6</v>
      </c>
      <c r="H164" s="4">
        <v>0.90928204671058754</v>
      </c>
      <c r="J164" s="4">
        <f t="shared" si="14"/>
        <v>0.90437933383599445</v>
      </c>
      <c r="M164">
        <f t="shared" si="11"/>
        <v>17.239000000000001</v>
      </c>
      <c r="N164">
        <f t="shared" si="12"/>
        <v>6</v>
      </c>
      <c r="O164">
        <f t="shared" si="13"/>
        <v>0.90437933383599445</v>
      </c>
    </row>
    <row r="165" spans="1:15">
      <c r="A165" s="9">
        <v>1874</v>
      </c>
      <c r="B165">
        <v>2.2650000000000001</v>
      </c>
      <c r="C165" s="4">
        <v>0.37242161068549134</v>
      </c>
      <c r="F165" s="9">
        <v>1874</v>
      </c>
      <c r="G165">
        <v>1</v>
      </c>
      <c r="H165" s="4">
        <v>0.32967995396436067</v>
      </c>
      <c r="J165" s="4">
        <f t="shared" si="14"/>
        <v>0.24687488804383922</v>
      </c>
      <c r="M165">
        <f t="shared" si="11"/>
        <v>2.2650000000000001</v>
      </c>
      <c r="N165">
        <f t="shared" si="12"/>
        <v>1</v>
      </c>
      <c r="O165">
        <f t="shared" si="13"/>
        <v>0.24687488804383922</v>
      </c>
    </row>
    <row r="166" spans="1:15">
      <c r="A166" s="9">
        <v>1879</v>
      </c>
      <c r="B166">
        <v>2.8530000000000002</v>
      </c>
      <c r="C166" s="4">
        <v>0.43642508677260033</v>
      </c>
      <c r="F166" s="9">
        <v>1879</v>
      </c>
      <c r="G166">
        <v>2</v>
      </c>
      <c r="H166" s="4">
        <v>0.55067103588277844</v>
      </c>
      <c r="J166" s="4">
        <f t="shared" si="14"/>
        <v>0.38304775669170421</v>
      </c>
      <c r="M166">
        <f t="shared" si="11"/>
        <v>2.8530000000000002</v>
      </c>
      <c r="N166">
        <f t="shared" si="12"/>
        <v>2</v>
      </c>
      <c r="O166">
        <f t="shared" si="13"/>
        <v>0.38304775669170421</v>
      </c>
    </row>
    <row r="167" spans="1:15">
      <c r="A167" s="9">
        <v>1886</v>
      </c>
      <c r="B167">
        <v>7.5780000000000003</v>
      </c>
      <c r="C167" s="4">
        <v>0.75314800331287957</v>
      </c>
      <c r="F167" s="9">
        <v>1886</v>
      </c>
      <c r="G167">
        <v>2</v>
      </c>
      <c r="H167" s="4">
        <v>0.55067103588277844</v>
      </c>
      <c r="J167" s="4">
        <f t="shared" si="14"/>
        <v>0.54019369175341891</v>
      </c>
      <c r="M167">
        <f t="shared" si="11"/>
        <v>7.5780000000000003</v>
      </c>
      <c r="N167">
        <f t="shared" si="12"/>
        <v>2</v>
      </c>
      <c r="O167">
        <f t="shared" si="13"/>
        <v>0.54019369175341891</v>
      </c>
    </row>
    <row r="168" spans="1:15">
      <c r="A168" s="9">
        <v>1889</v>
      </c>
      <c r="B168">
        <v>0.9</v>
      </c>
      <c r="C168" s="4">
        <v>0.18526398272648797</v>
      </c>
      <c r="F168" s="9">
        <v>1889</v>
      </c>
      <c r="G168">
        <v>1</v>
      </c>
      <c r="H168" s="4">
        <v>0.32967995396436067</v>
      </c>
      <c r="J168" s="4">
        <f t="shared" si="14"/>
        <v>0.1505789493351174</v>
      </c>
      <c r="M168">
        <f t="shared" si="11"/>
        <v>0.9</v>
      </c>
      <c r="N168">
        <f t="shared" si="12"/>
        <v>1</v>
      </c>
      <c r="O168">
        <f t="shared" si="13"/>
        <v>0.1505789493351174</v>
      </c>
    </row>
    <row r="169" spans="1:15">
      <c r="A169" s="9">
        <v>1893</v>
      </c>
      <c r="B169">
        <v>7.8369999999999997</v>
      </c>
      <c r="C169" s="4">
        <v>0.76380890504860799</v>
      </c>
      <c r="F169" s="9">
        <v>1893</v>
      </c>
      <c r="G169">
        <v>5</v>
      </c>
      <c r="H169" s="4">
        <v>0.8646647167633873</v>
      </c>
      <c r="J169" s="4">
        <f t="shared" si="14"/>
        <v>0.75117315429170139</v>
      </c>
      <c r="M169">
        <f t="shared" si="11"/>
        <v>7.8369999999999997</v>
      </c>
      <c r="N169">
        <f t="shared" si="12"/>
        <v>5</v>
      </c>
      <c r="O169">
        <f t="shared" si="13"/>
        <v>0.75117315429170139</v>
      </c>
    </row>
    <row r="170" spans="1:15">
      <c r="A170" s="9">
        <v>1899</v>
      </c>
      <c r="B170">
        <v>0.28499999999999998</v>
      </c>
      <c r="C170" s="4">
        <v>7.2038623022853812E-2</v>
      </c>
      <c r="F170" s="9">
        <v>1899</v>
      </c>
      <c r="G170">
        <v>1</v>
      </c>
      <c r="H170" s="4">
        <v>0.32967995396436067</v>
      </c>
      <c r="J170" s="4">
        <f t="shared" si="14"/>
        <v>7.0182782742697264E-2</v>
      </c>
      <c r="M170">
        <f t="shared" si="11"/>
        <v>0.28499999999999998</v>
      </c>
      <c r="N170">
        <f t="shared" si="12"/>
        <v>1</v>
      </c>
      <c r="O170">
        <f t="shared" si="13"/>
        <v>7.0182782742697264E-2</v>
      </c>
    </row>
    <row r="171" spans="1:15">
      <c r="A171" s="9">
        <v>1901</v>
      </c>
      <c r="B171">
        <v>5.0419999999999998</v>
      </c>
      <c r="C171" s="4">
        <v>0.61783752514657508</v>
      </c>
      <c r="F171" s="9">
        <v>1901</v>
      </c>
      <c r="G171">
        <v>2</v>
      </c>
      <c r="H171" s="4">
        <v>0.55067103588277844</v>
      </c>
      <c r="J171" s="4">
        <f t="shared" si="14"/>
        <v>0.48609742713473014</v>
      </c>
      <c r="M171">
        <f t="shared" si="11"/>
        <v>5.0419999999999998</v>
      </c>
      <c r="N171">
        <f t="shared" si="12"/>
        <v>2</v>
      </c>
      <c r="O171">
        <f t="shared" si="13"/>
        <v>0.48609742713473014</v>
      </c>
    </row>
    <row r="172" spans="1:15">
      <c r="A172" s="9">
        <v>1904</v>
      </c>
      <c r="B172">
        <v>1.6459999999999999</v>
      </c>
      <c r="C172" s="4">
        <v>0.29538831874655935</v>
      </c>
      <c r="F172" s="9">
        <v>1904</v>
      </c>
      <c r="G172">
        <v>1</v>
      </c>
      <c r="H172" s="4">
        <v>0.32967995396436067</v>
      </c>
      <c r="J172" s="4">
        <f t="shared" si="14"/>
        <v>0.211668685628989</v>
      </c>
      <c r="M172">
        <f t="shared" si="11"/>
        <v>1.6459999999999999</v>
      </c>
      <c r="N172">
        <f t="shared" si="12"/>
        <v>1</v>
      </c>
      <c r="O172">
        <f t="shared" si="13"/>
        <v>0.211668685628989</v>
      </c>
    </row>
    <row r="173" spans="1:15">
      <c r="A173" s="9">
        <v>1906</v>
      </c>
      <c r="B173">
        <v>0.51800000000000002</v>
      </c>
      <c r="C173" s="4">
        <v>0.11840901012740462</v>
      </c>
      <c r="F173" s="9">
        <v>1906</v>
      </c>
      <c r="G173">
        <v>1</v>
      </c>
      <c r="H173" s="4">
        <v>0.32967995396436067</v>
      </c>
      <c r="J173" s="4">
        <f t="shared" si="14"/>
        <v>0.10584251664665914</v>
      </c>
      <c r="M173">
        <f t="shared" si="11"/>
        <v>0.51800000000000002</v>
      </c>
      <c r="N173">
        <f t="shared" si="12"/>
        <v>1</v>
      </c>
      <c r="O173">
        <f t="shared" si="13"/>
        <v>0.10584251664665914</v>
      </c>
    </row>
    <row r="174" spans="1:15">
      <c r="A174" s="9">
        <v>1909</v>
      </c>
      <c r="B174">
        <v>4.4160000000000004</v>
      </c>
      <c r="C174" s="4">
        <v>0.5735431402329183</v>
      </c>
      <c r="F174" s="9">
        <v>1909</v>
      </c>
      <c r="G174">
        <v>3</v>
      </c>
      <c r="H174" s="4">
        <v>0.69880578808779803</v>
      </c>
      <c r="J174" s="4">
        <f t="shared" si="14"/>
        <v>0.53783534682731715</v>
      </c>
      <c r="M174">
        <f t="shared" si="11"/>
        <v>4.4160000000000004</v>
      </c>
      <c r="N174">
        <f t="shared" si="12"/>
        <v>3</v>
      </c>
      <c r="O174">
        <f t="shared" si="13"/>
        <v>0.53783534682731715</v>
      </c>
    </row>
    <row r="175" spans="1:15">
      <c r="A175" s="9">
        <v>1913</v>
      </c>
      <c r="B175">
        <v>1.569</v>
      </c>
      <c r="C175" s="4">
        <v>0.28499461181939162</v>
      </c>
      <c r="F175" s="9">
        <v>1913</v>
      </c>
      <c r="G175">
        <v>1</v>
      </c>
      <c r="H175" s="4">
        <v>0.32967995396436067</v>
      </c>
      <c r="J175" s="4">
        <f t="shared" si="14"/>
        <v>0.20647395604412422</v>
      </c>
      <c r="M175">
        <f t="shared" si="11"/>
        <v>1.569</v>
      </c>
      <c r="N175">
        <f t="shared" si="12"/>
        <v>1</v>
      </c>
      <c r="O175">
        <f t="shared" si="13"/>
        <v>0.20647395604412422</v>
      </c>
    </row>
    <row r="176" spans="1:15">
      <c r="A176" s="9">
        <v>1916</v>
      </c>
      <c r="B176">
        <v>7.9190000000000005</v>
      </c>
      <c r="C176" s="4">
        <v>0.76708372465160446</v>
      </c>
      <c r="F176" s="9">
        <v>1916</v>
      </c>
      <c r="G176">
        <v>3</v>
      </c>
      <c r="H176" s="4">
        <v>0.69880578808779803</v>
      </c>
      <c r="J176" s="4">
        <f t="shared" si="14"/>
        <v>0.65771998623089745</v>
      </c>
      <c r="M176">
        <f t="shared" si="11"/>
        <v>7.9190000000000005</v>
      </c>
      <c r="N176">
        <f t="shared" si="12"/>
        <v>3</v>
      </c>
      <c r="O176">
        <f t="shared" si="13"/>
        <v>0.65771998623089745</v>
      </c>
    </row>
    <row r="177" spans="1:15">
      <c r="A177" s="9">
        <v>1925</v>
      </c>
      <c r="B177">
        <v>6.444</v>
      </c>
      <c r="C177" s="4">
        <v>0.70022453332348444</v>
      </c>
      <c r="F177" s="9">
        <v>1925</v>
      </c>
      <c r="G177">
        <v>1</v>
      </c>
      <c r="H177" s="4">
        <v>0.32967995396436067</v>
      </c>
      <c r="J177" s="4">
        <f t="shared" si="14"/>
        <v>0.33900629674032551</v>
      </c>
      <c r="M177">
        <f t="shared" si="11"/>
        <v>6.444</v>
      </c>
      <c r="N177">
        <f t="shared" si="12"/>
        <v>1</v>
      </c>
      <c r="O177">
        <f t="shared" si="13"/>
        <v>0.33900629674032551</v>
      </c>
    </row>
    <row r="178" spans="1:15">
      <c r="A178" s="9">
        <v>1931</v>
      </c>
      <c r="B178">
        <v>0.20899999999999999</v>
      </c>
      <c r="C178" s="4">
        <v>5.5479070149123393E-2</v>
      </c>
      <c r="F178" s="9">
        <v>1931</v>
      </c>
      <c r="G178">
        <v>1</v>
      </c>
      <c r="H178" s="4">
        <v>0.32967995396436067</v>
      </c>
      <c r="J178" s="4">
        <f t="shared" si="14"/>
        <v>5.6209597262454787E-2</v>
      </c>
      <c r="M178">
        <f t="shared" si="11"/>
        <v>0.20899999999999999</v>
      </c>
      <c r="N178">
        <f t="shared" si="12"/>
        <v>1</v>
      </c>
      <c r="O178">
        <f t="shared" si="13"/>
        <v>5.6209597262454787E-2</v>
      </c>
    </row>
    <row r="179" spans="1:15">
      <c r="A179" s="9">
        <v>1934</v>
      </c>
      <c r="B179">
        <v>2.673</v>
      </c>
      <c r="C179" s="4">
        <v>0.41767561199895287</v>
      </c>
      <c r="F179" s="9">
        <v>1934</v>
      </c>
      <c r="G179">
        <v>1</v>
      </c>
      <c r="H179" s="4">
        <v>0.32967995396436067</v>
      </c>
      <c r="J179" s="4">
        <f t="shared" si="14"/>
        <v>0.26500416049827419</v>
      </c>
      <c r="M179">
        <f t="shared" si="11"/>
        <v>2.673</v>
      </c>
      <c r="N179">
        <f t="shared" si="12"/>
        <v>1</v>
      </c>
      <c r="O179">
        <f t="shared" si="13"/>
        <v>0.26500416049827419</v>
      </c>
    </row>
    <row r="180" spans="1:15">
      <c r="A180" s="9">
        <v>1936</v>
      </c>
      <c r="B180">
        <v>6.4749999999999996</v>
      </c>
      <c r="C180" s="4">
        <v>0.70181889690862931</v>
      </c>
      <c r="F180" s="9">
        <v>1936</v>
      </c>
      <c r="G180">
        <v>5</v>
      </c>
      <c r="H180" s="4">
        <v>0.8646647167633873</v>
      </c>
      <c r="J180" s="4">
        <f t="shared" si="14"/>
        <v>0.70043820025138415</v>
      </c>
      <c r="M180">
        <f t="shared" si="11"/>
        <v>6.4749999999999996</v>
      </c>
      <c r="N180">
        <f t="shared" si="12"/>
        <v>5</v>
      </c>
      <c r="O180">
        <f t="shared" si="13"/>
        <v>0.70043820025138415</v>
      </c>
    </row>
    <row r="181" spans="1:15">
      <c r="A181" s="9">
        <v>1943</v>
      </c>
      <c r="B181">
        <v>0.10199999999999999</v>
      </c>
      <c r="C181" s="4">
        <v>3.0171309486709527E-2</v>
      </c>
      <c r="F181" s="9">
        <v>1943</v>
      </c>
      <c r="G181">
        <v>1</v>
      </c>
      <c r="H181" s="4">
        <v>0.32967995396436067</v>
      </c>
      <c r="J181" s="4">
        <f t="shared" si="14"/>
        <v>3.3088631614762928E-2</v>
      </c>
      <c r="M181">
        <f t="shared" si="11"/>
        <v>0.10199999999999999</v>
      </c>
      <c r="N181">
        <f t="shared" si="12"/>
        <v>1</v>
      </c>
      <c r="O181">
        <f t="shared" si="13"/>
        <v>3.3088631614762928E-2</v>
      </c>
    </row>
    <row r="182" spans="1:15">
      <c r="A182" s="9">
        <v>1948</v>
      </c>
      <c r="B182">
        <v>0.246</v>
      </c>
      <c r="C182" s="4">
        <v>6.3655545054841556E-2</v>
      </c>
      <c r="F182" s="9">
        <v>1948</v>
      </c>
      <c r="G182">
        <v>1</v>
      </c>
      <c r="H182" s="4">
        <v>0.32967995396436067</v>
      </c>
      <c r="J182" s="4">
        <f t="shared" si="14"/>
        <v>6.3205818720687326E-2</v>
      </c>
      <c r="M182">
        <f t="shared" si="11"/>
        <v>0.246</v>
      </c>
      <c r="N182">
        <f t="shared" si="12"/>
        <v>1</v>
      </c>
      <c r="O182">
        <f t="shared" si="13"/>
        <v>6.3205818720687326E-2</v>
      </c>
    </row>
    <row r="183" spans="1:15">
      <c r="A183" s="9">
        <v>1951</v>
      </c>
      <c r="B183">
        <v>18.978000000000002</v>
      </c>
      <c r="C183" s="4">
        <v>0.96315466607474265</v>
      </c>
      <c r="F183" s="9">
        <v>1951</v>
      </c>
      <c r="G183">
        <v>6</v>
      </c>
      <c r="H183" s="4">
        <v>0.90928204671058754</v>
      </c>
      <c r="J183" s="4">
        <f t="shared" si="14"/>
        <v>0.90932329907922849</v>
      </c>
      <c r="M183">
        <f t="shared" si="11"/>
        <v>18.978000000000002</v>
      </c>
      <c r="N183">
        <f t="shared" si="12"/>
        <v>6</v>
      </c>
      <c r="O183">
        <f t="shared" si="13"/>
        <v>0.90932329907922849</v>
      </c>
    </row>
    <row r="184" spans="1:15">
      <c r="A184" s="9">
        <v>1959</v>
      </c>
      <c r="B184">
        <v>0.41699999999999998</v>
      </c>
      <c r="C184" s="4">
        <v>9.898116180365045E-2</v>
      </c>
      <c r="F184" s="9">
        <v>1959</v>
      </c>
      <c r="G184">
        <v>1</v>
      </c>
      <c r="H184" s="4">
        <v>0.32967995396436067</v>
      </c>
      <c r="J184" s="4">
        <f t="shared" si="14"/>
        <v>9.1448511721199027E-2</v>
      </c>
      <c r="M184">
        <f t="shared" si="11"/>
        <v>0.41699999999999998</v>
      </c>
      <c r="N184">
        <f t="shared" si="12"/>
        <v>1</v>
      </c>
      <c r="O184">
        <f t="shared" si="13"/>
        <v>9.1448511721199027E-2</v>
      </c>
    </row>
    <row r="185" spans="1:15">
      <c r="A185" s="9">
        <v>1961</v>
      </c>
      <c r="B185">
        <v>0.36299999999999999</v>
      </c>
      <c r="C185" s="4">
        <v>8.8197525498579024E-2</v>
      </c>
      <c r="F185" s="9">
        <v>1961</v>
      </c>
      <c r="G185">
        <v>1</v>
      </c>
      <c r="H185" s="4">
        <v>0.32967995396436067</v>
      </c>
      <c r="J185" s="4">
        <f t="shared" si="14"/>
        <v>8.3133308648595972E-2</v>
      </c>
      <c r="M185">
        <f t="shared" si="11"/>
        <v>0.36299999999999999</v>
      </c>
      <c r="N185">
        <f t="shared" si="12"/>
        <v>1</v>
      </c>
      <c r="O185">
        <f t="shared" si="13"/>
        <v>8.3133308648595972E-2</v>
      </c>
    </row>
    <row r="186" spans="1:15">
      <c r="A186" s="9">
        <v>1963</v>
      </c>
      <c r="B186">
        <v>4.609</v>
      </c>
      <c r="C186" s="4">
        <v>0.58776113581479839</v>
      </c>
      <c r="F186" s="9">
        <v>1963</v>
      </c>
      <c r="G186">
        <v>2</v>
      </c>
      <c r="H186" s="4">
        <v>0.55067103588277844</v>
      </c>
      <c r="J186" s="4">
        <f t="shared" si="14"/>
        <v>0.47125142432435357</v>
      </c>
      <c r="M186">
        <f t="shared" si="11"/>
        <v>4.609</v>
      </c>
      <c r="N186">
        <f t="shared" si="12"/>
        <v>2</v>
      </c>
      <c r="O186">
        <f t="shared" si="13"/>
        <v>0.47125142432435357</v>
      </c>
    </row>
    <row r="187" spans="1:15">
      <c r="A187" s="9">
        <v>1966</v>
      </c>
      <c r="B187">
        <v>3.3540000000000001</v>
      </c>
      <c r="C187" s="4">
        <v>0.48509206157568979</v>
      </c>
      <c r="F187" s="9">
        <v>1966</v>
      </c>
      <c r="G187">
        <v>2</v>
      </c>
      <c r="H187" s="4">
        <v>0.55067103588277844</v>
      </c>
      <c r="J187" s="4">
        <f t="shared" si="14"/>
        <v>0.41377389360743627</v>
      </c>
      <c r="M187">
        <f t="shared" si="11"/>
        <v>3.3540000000000001</v>
      </c>
      <c r="N187">
        <f t="shared" si="12"/>
        <v>2</v>
      </c>
      <c r="O187">
        <f t="shared" si="13"/>
        <v>0.41377389360743627</v>
      </c>
    </row>
    <row r="188" spans="1:15">
      <c r="A188" s="9">
        <v>1971</v>
      </c>
      <c r="B188">
        <v>5.399</v>
      </c>
      <c r="C188" s="4">
        <v>0.64087017580200412</v>
      </c>
      <c r="F188" s="9">
        <v>1971</v>
      </c>
      <c r="G188">
        <v>2</v>
      </c>
      <c r="H188" s="4">
        <v>0.55067103588277844</v>
      </c>
      <c r="J188" s="4">
        <f t="shared" si="14"/>
        <v>0.49681693170410196</v>
      </c>
      <c r="M188">
        <f t="shared" si="11"/>
        <v>5.399</v>
      </c>
      <c r="N188">
        <f t="shared" si="12"/>
        <v>2</v>
      </c>
      <c r="O188">
        <f t="shared" si="13"/>
        <v>0.49681693170410196</v>
      </c>
    </row>
    <row r="189" spans="1:15">
      <c r="A189" s="9">
        <v>1974</v>
      </c>
      <c r="B189">
        <v>0.34200000000000003</v>
      </c>
      <c r="C189" s="4">
        <v>8.3919225070474598E-2</v>
      </c>
      <c r="F189" s="9">
        <v>1974</v>
      </c>
      <c r="G189">
        <v>1</v>
      </c>
      <c r="H189" s="4">
        <v>0.32967995396436067</v>
      </c>
      <c r="J189" s="4">
        <f t="shared" si="14"/>
        <v>7.9764215408843528E-2</v>
      </c>
      <c r="M189">
        <f t="shared" si="11"/>
        <v>0.34200000000000003</v>
      </c>
      <c r="N189">
        <f t="shared" si="12"/>
        <v>1</v>
      </c>
      <c r="O189">
        <f t="shared" si="13"/>
        <v>7.9764215408843528E-2</v>
      </c>
    </row>
    <row r="190" spans="1:15">
      <c r="A190" s="9">
        <v>1978</v>
      </c>
      <c r="B190">
        <v>2.4350000000000001</v>
      </c>
      <c r="C190" s="4">
        <v>0.39176272469248286</v>
      </c>
      <c r="F190" s="9">
        <v>1978</v>
      </c>
      <c r="G190">
        <v>1</v>
      </c>
      <c r="H190" s="4">
        <v>0.32967995396436067</v>
      </c>
      <c r="J190" s="4">
        <f t="shared" si="14"/>
        <v>0.25484609002605935</v>
      </c>
      <c r="M190">
        <f t="shared" si="11"/>
        <v>2.4350000000000001</v>
      </c>
      <c r="N190">
        <f t="shared" si="12"/>
        <v>1</v>
      </c>
      <c r="O190">
        <f t="shared" si="13"/>
        <v>0.25484609002605935</v>
      </c>
    </row>
    <row r="191" spans="1:15">
      <c r="A191" s="9">
        <v>1980</v>
      </c>
      <c r="B191">
        <v>1.617</v>
      </c>
      <c r="C191" s="4">
        <v>0.29149686705322853</v>
      </c>
      <c r="F191" s="9">
        <v>1980</v>
      </c>
      <c r="G191">
        <v>1</v>
      </c>
      <c r="H191" s="4">
        <v>0.32967995396436067</v>
      </c>
      <c r="J191" s="4">
        <f t="shared" si="14"/>
        <v>0.2097366718010312</v>
      </c>
      <c r="M191">
        <f t="shared" si="11"/>
        <v>1.617</v>
      </c>
      <c r="N191">
        <f t="shared" si="12"/>
        <v>1</v>
      </c>
      <c r="O191">
        <f t="shared" si="13"/>
        <v>0.2097366718010312</v>
      </c>
    </row>
    <row r="192" spans="1:15">
      <c r="A192" s="9">
        <v>1984</v>
      </c>
      <c r="B192">
        <v>2.0619999999999998</v>
      </c>
      <c r="C192" s="4">
        <v>0.34835394329135344</v>
      </c>
      <c r="F192" s="9">
        <v>1984</v>
      </c>
      <c r="G192">
        <v>1</v>
      </c>
      <c r="H192" s="4">
        <v>0.32967995396436067</v>
      </c>
      <c r="J192" s="4">
        <f t="shared" si="14"/>
        <v>0.23647984187507487</v>
      </c>
      <c r="M192">
        <f t="shared" si="11"/>
        <v>2.0619999999999998</v>
      </c>
      <c r="N192">
        <f t="shared" si="12"/>
        <v>1</v>
      </c>
      <c r="O192">
        <f t="shared" si="13"/>
        <v>0.23647984187507487</v>
      </c>
    </row>
    <row r="193" spans="1:15">
      <c r="A193" s="9">
        <v>1988</v>
      </c>
      <c r="B193">
        <v>1.306</v>
      </c>
      <c r="C193" s="4">
        <v>0.24793460203267723</v>
      </c>
      <c r="F193" s="9">
        <v>1988</v>
      </c>
      <c r="G193">
        <v>1</v>
      </c>
      <c r="H193" s="4">
        <v>0.32967995396436067</v>
      </c>
      <c r="J193" s="4">
        <f t="shared" si="14"/>
        <v>0.18702842132060793</v>
      </c>
      <c r="M193">
        <f t="shared" si="11"/>
        <v>1.306</v>
      </c>
      <c r="N193">
        <f t="shared" si="12"/>
        <v>1</v>
      </c>
      <c r="O193">
        <f t="shared" si="13"/>
        <v>0.18702842132060793</v>
      </c>
    </row>
    <row r="194" spans="1:15">
      <c r="A194" s="9">
        <v>1996</v>
      </c>
      <c r="B194">
        <v>1.619</v>
      </c>
      <c r="C194" s="4">
        <v>0.29176613072812635</v>
      </c>
      <c r="F194" s="9">
        <v>1996</v>
      </c>
      <c r="G194">
        <v>1</v>
      </c>
      <c r="H194" s="4">
        <v>0.32967995396436067</v>
      </c>
      <c r="J194" s="4">
        <f t="shared" si="14"/>
        <v>0.20987085073432935</v>
      </c>
      <c r="M194">
        <f t="shared" si="11"/>
        <v>1.619</v>
      </c>
      <c r="N194">
        <f t="shared" si="12"/>
        <v>1</v>
      </c>
      <c r="O194">
        <f t="shared" si="13"/>
        <v>0.20987085073432935</v>
      </c>
    </row>
    <row r="195" spans="1:15">
      <c r="A195" s="9">
        <v>1998</v>
      </c>
      <c r="B195">
        <v>4.101</v>
      </c>
      <c r="C195" s="4">
        <v>0.54918328877824785</v>
      </c>
      <c r="F195" s="9">
        <v>1998</v>
      </c>
      <c r="G195">
        <v>3</v>
      </c>
      <c r="H195" s="4">
        <v>0.69880578808779803</v>
      </c>
      <c r="J195" s="4">
        <f t="shared" si="14"/>
        <v>0.52003560444112273</v>
      </c>
      <c r="M195">
        <f>B195</f>
        <v>4.101</v>
      </c>
      <c r="N195">
        <f>G195</f>
        <v>3</v>
      </c>
      <c r="O195">
        <f>J195</f>
        <v>0.52003560444112273</v>
      </c>
    </row>
    <row r="196" spans="1:15">
      <c r="A196" s="9">
        <v>2003</v>
      </c>
      <c r="B196">
        <v>0.72599999999999998</v>
      </c>
      <c r="C196" s="4">
        <v>0.15594079881828779</v>
      </c>
      <c r="F196" s="9">
        <v>2003</v>
      </c>
      <c r="G196">
        <v>1</v>
      </c>
      <c r="H196" s="4">
        <v>0.32967995396436067</v>
      </c>
      <c r="J196" s="4">
        <f t="shared" si="14"/>
        <v>0.13178830488395965</v>
      </c>
      <c r="M196">
        <f>B196</f>
        <v>0.72599999999999998</v>
      </c>
      <c r="N196">
        <f>G196</f>
        <v>1</v>
      </c>
      <c r="O196">
        <f>J196</f>
        <v>0.13178830488395965</v>
      </c>
    </row>
    <row r="197" spans="1:15">
      <c r="H197" s="4"/>
    </row>
  </sheetData>
  <pageMargins left="0.74791666666666667" right="0.74791666666666667" top="0.98402777777777772" bottom="0.98402777777777772" header="0.51180555555555551" footer="0.51180555555555551"/>
  <pageSetup firstPageNumber="0" orientation="portrait" horizontalDpi="300" verticalDpi="300" r:id="rId1"/>
  <headerFooter alignWithMargins="0"/>
</worksheet>
</file>

<file path=xl/worksheets/sheet12.xml><?xml version="1.0" encoding="utf-8"?>
<worksheet xmlns="http://schemas.openxmlformats.org/spreadsheetml/2006/main" xmlns:r="http://schemas.openxmlformats.org/officeDocument/2006/relationships">
  <sheetPr codeName="Sheet15"/>
  <dimension ref="A1:D196"/>
  <sheetViews>
    <sheetView topLeftCell="A13" workbookViewId="0">
      <selection activeCell="C10" activeCellId="1" sqref="G1:G65536 C10"/>
    </sheetView>
  </sheetViews>
  <sheetFormatPr defaultColWidth="11.42578125" defaultRowHeight="12.75"/>
  <cols>
    <col min="1" max="1" width="10" style="9" customWidth="1"/>
    <col min="2" max="2" width="9" customWidth="1"/>
    <col min="3" max="3" width="13.140625" customWidth="1"/>
    <col min="4" max="4" width="12.42578125" customWidth="1"/>
  </cols>
  <sheetData>
    <row r="1" spans="1:4" ht="38.25">
      <c r="A1" s="36" t="s">
        <v>42</v>
      </c>
      <c r="B1" s="36" t="s">
        <v>38</v>
      </c>
      <c r="C1" s="38" t="s">
        <v>62</v>
      </c>
      <c r="D1" s="40" t="s">
        <v>68</v>
      </c>
    </row>
    <row r="2" spans="1:4">
      <c r="A2" s="9">
        <v>998</v>
      </c>
      <c r="B2">
        <v>7.5449999999999999</v>
      </c>
      <c r="C2">
        <v>3</v>
      </c>
      <c r="D2">
        <v>0.75734327746330021</v>
      </c>
    </row>
    <row r="3" spans="1:4">
      <c r="A3" s="9">
        <v>1003</v>
      </c>
      <c r="B3">
        <v>28.51</v>
      </c>
      <c r="C3">
        <v>14</v>
      </c>
      <c r="D3">
        <v>0.9943135875460517</v>
      </c>
    </row>
    <row r="4" spans="1:4">
      <c r="A4" s="9">
        <v>1020</v>
      </c>
      <c r="B4">
        <v>8.3949999999999996</v>
      </c>
      <c r="C4">
        <v>6</v>
      </c>
      <c r="D4">
        <v>0.83546770372336232</v>
      </c>
    </row>
    <row r="5" spans="1:4">
      <c r="A5" s="9">
        <v>1028</v>
      </c>
      <c r="B5">
        <v>1.9140000000000001</v>
      </c>
      <c r="C5">
        <v>2</v>
      </c>
      <c r="D5">
        <v>0.44399735781618915</v>
      </c>
    </row>
    <row r="6" spans="1:4">
      <c r="A6" s="9">
        <v>1032</v>
      </c>
      <c r="B6">
        <v>5.3760000000000003</v>
      </c>
      <c r="C6">
        <v>5</v>
      </c>
      <c r="D6">
        <v>0.71182437872556314</v>
      </c>
    </row>
    <row r="7" spans="1:4">
      <c r="A7" s="9">
        <v>1038</v>
      </c>
      <c r="B7">
        <v>15.449</v>
      </c>
      <c r="C7">
        <v>8</v>
      </c>
      <c r="D7">
        <v>0.95090677140788993</v>
      </c>
    </row>
    <row r="8" spans="1:4">
      <c r="A8" s="9">
        <v>1047</v>
      </c>
      <c r="B8">
        <v>7.4139999999999997</v>
      </c>
      <c r="C8">
        <v>5</v>
      </c>
      <c r="D8">
        <v>0.80692524056061643</v>
      </c>
    </row>
    <row r="9" spans="1:4">
      <c r="A9" s="9">
        <v>1057</v>
      </c>
      <c r="B9">
        <v>0.74</v>
      </c>
      <c r="C9">
        <v>1</v>
      </c>
      <c r="D9">
        <v>0.25724668785698013</v>
      </c>
    </row>
    <row r="10" spans="1:4">
      <c r="A10" s="9">
        <v>1061</v>
      </c>
      <c r="B10">
        <v>9.1349999999999998</v>
      </c>
      <c r="C10">
        <v>3</v>
      </c>
      <c r="D10">
        <v>0.76835529034885586</v>
      </c>
    </row>
    <row r="11" spans="1:4">
      <c r="A11" s="9">
        <v>1066</v>
      </c>
      <c r="B11">
        <v>0.13200000000000001</v>
      </c>
      <c r="C11">
        <v>1</v>
      </c>
      <c r="D11">
        <v>8.3608489735800443E-2</v>
      </c>
    </row>
    <row r="12" spans="1:4">
      <c r="A12" s="9">
        <v>1069</v>
      </c>
      <c r="B12">
        <v>25.858999999999998</v>
      </c>
      <c r="C12">
        <v>14</v>
      </c>
      <c r="D12">
        <v>0.99085103417889819</v>
      </c>
    </row>
    <row r="13" spans="1:4">
      <c r="A13" s="9">
        <v>1085</v>
      </c>
      <c r="B13">
        <v>4.4809999999999999</v>
      </c>
      <c r="C13">
        <v>2</v>
      </c>
      <c r="D13">
        <v>0.61463474468271451</v>
      </c>
    </row>
    <row r="14" spans="1:4">
      <c r="A14" s="9">
        <v>1089</v>
      </c>
      <c r="B14">
        <v>6.7920000000000007</v>
      </c>
      <c r="C14">
        <v>4</v>
      </c>
      <c r="D14">
        <v>0.78022343661007043</v>
      </c>
    </row>
    <row r="15" spans="1:4">
      <c r="A15" s="9">
        <v>1099</v>
      </c>
      <c r="B15">
        <v>4.9400000000000004</v>
      </c>
      <c r="C15">
        <v>3</v>
      </c>
      <c r="D15">
        <v>0.6884131654672222</v>
      </c>
    </row>
    <row r="16" spans="1:4">
      <c r="A16" s="9">
        <v>1103</v>
      </c>
      <c r="B16">
        <v>6.0030000000000001</v>
      </c>
      <c r="C16">
        <v>2</v>
      </c>
      <c r="D16">
        <v>0.64165634291070495</v>
      </c>
    </row>
    <row r="17" spans="1:4">
      <c r="A17" s="9">
        <v>1107</v>
      </c>
      <c r="B17">
        <v>12.244</v>
      </c>
      <c r="C17">
        <v>6</v>
      </c>
      <c r="D17">
        <v>0.9116254110999592</v>
      </c>
    </row>
    <row r="18" spans="1:4">
      <c r="A18" s="9">
        <v>1115</v>
      </c>
      <c r="B18">
        <v>9.0009999999999994</v>
      </c>
      <c r="C18">
        <v>5</v>
      </c>
      <c r="D18">
        <v>0.85131058362191414</v>
      </c>
    </row>
    <row r="19" spans="1:4">
      <c r="A19" s="9">
        <v>1121</v>
      </c>
      <c r="B19">
        <v>36.018000000000001</v>
      </c>
      <c r="C19">
        <v>14</v>
      </c>
      <c r="D19">
        <v>0.99726769114485914</v>
      </c>
    </row>
    <row r="20" spans="1:4">
      <c r="A20" s="9">
        <v>1137</v>
      </c>
      <c r="B20">
        <v>16.382999999999999</v>
      </c>
      <c r="C20">
        <v>10</v>
      </c>
      <c r="D20">
        <v>0.95659981646300607</v>
      </c>
    </row>
    <row r="21" spans="1:4">
      <c r="A21" s="9">
        <v>1148</v>
      </c>
      <c r="B21">
        <v>34.043000000000006</v>
      </c>
      <c r="C21">
        <v>17</v>
      </c>
      <c r="D21">
        <v>0.99762897450101573</v>
      </c>
    </row>
    <row r="22" spans="1:4">
      <c r="A22" s="9">
        <v>1167</v>
      </c>
      <c r="B22">
        <v>0.755</v>
      </c>
      <c r="C22">
        <v>1</v>
      </c>
      <c r="D22">
        <v>0.26006337672115326</v>
      </c>
    </row>
    <row r="23" spans="1:4">
      <c r="A23" s="9">
        <v>1181</v>
      </c>
      <c r="B23">
        <v>0.67600000000000005</v>
      </c>
      <c r="C23">
        <v>1</v>
      </c>
      <c r="D23">
        <v>0.24470909827045503</v>
      </c>
    </row>
    <row r="24" spans="1:4">
      <c r="A24" s="9">
        <v>1183</v>
      </c>
      <c r="B24">
        <v>7.6520000000000001</v>
      </c>
      <c r="C24">
        <v>5</v>
      </c>
      <c r="D24">
        <v>0.81498035552028125</v>
      </c>
    </row>
    <row r="25" spans="1:4">
      <c r="A25" s="9">
        <v>1192</v>
      </c>
      <c r="B25">
        <v>4.5460000000000003</v>
      </c>
      <c r="C25">
        <v>4</v>
      </c>
      <c r="D25">
        <v>0.67123832869341149</v>
      </c>
    </row>
    <row r="26" spans="1:4">
      <c r="A26" s="9">
        <v>1198</v>
      </c>
      <c r="B26">
        <v>16.47</v>
      </c>
      <c r="C26">
        <v>7</v>
      </c>
      <c r="D26">
        <v>0.95019126819979316</v>
      </c>
    </row>
    <row r="27" spans="1:4">
      <c r="A27" s="9">
        <v>1207</v>
      </c>
      <c r="B27">
        <v>27.78</v>
      </c>
      <c r="C27">
        <v>11</v>
      </c>
      <c r="D27">
        <v>0.99073126863972183</v>
      </c>
    </row>
    <row r="28" spans="1:4">
      <c r="A28" s="9">
        <v>1221</v>
      </c>
      <c r="B28">
        <v>13.637</v>
      </c>
      <c r="C28">
        <v>6</v>
      </c>
      <c r="D28">
        <v>0.92313732293653894</v>
      </c>
    </row>
    <row r="29" spans="1:4">
      <c r="A29" s="9">
        <v>1229</v>
      </c>
      <c r="B29">
        <v>17.312000000000001</v>
      </c>
      <c r="C29">
        <v>6</v>
      </c>
      <c r="D29">
        <v>0.93272913005126457</v>
      </c>
    </row>
    <row r="30" spans="1:4">
      <c r="A30" s="9">
        <v>1236</v>
      </c>
      <c r="B30">
        <v>19.756999999999998</v>
      </c>
      <c r="C30">
        <v>7</v>
      </c>
      <c r="D30">
        <v>0.95509614151412237</v>
      </c>
    </row>
    <row r="31" spans="1:4">
      <c r="A31" s="9">
        <v>1244</v>
      </c>
      <c r="B31">
        <v>12.442000000000002</v>
      </c>
      <c r="C31">
        <v>8</v>
      </c>
      <c r="D31">
        <v>0.91725423319268673</v>
      </c>
    </row>
    <row r="32" spans="1:4">
      <c r="A32" s="9">
        <v>1254</v>
      </c>
      <c r="B32">
        <v>10.241</v>
      </c>
      <c r="C32">
        <v>3</v>
      </c>
      <c r="D32">
        <v>0.76887955040716882</v>
      </c>
    </row>
    <row r="33" spans="1:4">
      <c r="A33" s="9">
        <v>1258</v>
      </c>
      <c r="B33">
        <v>0.753</v>
      </c>
      <c r="C33">
        <v>1</v>
      </c>
      <c r="D33">
        <v>0.25969038623314461</v>
      </c>
    </row>
    <row r="34" spans="1:4">
      <c r="A34" s="9">
        <v>1260</v>
      </c>
      <c r="B34">
        <v>1.3220000000000001</v>
      </c>
      <c r="C34">
        <v>2</v>
      </c>
      <c r="D34">
        <v>0.35999788561496299</v>
      </c>
    </row>
    <row r="35" spans="1:4">
      <c r="A35" s="9">
        <v>1269</v>
      </c>
      <c r="B35">
        <v>3.234</v>
      </c>
      <c r="C35">
        <v>2</v>
      </c>
      <c r="D35">
        <v>0.5600403577450046</v>
      </c>
    </row>
    <row r="36" spans="1:4">
      <c r="A36" s="9">
        <v>1272</v>
      </c>
      <c r="B36">
        <v>0.192</v>
      </c>
      <c r="C36">
        <v>1</v>
      </c>
      <c r="D36">
        <v>0.10924710530486148</v>
      </c>
    </row>
    <row r="37" spans="1:4">
      <c r="A37" s="9">
        <v>1274</v>
      </c>
      <c r="B37">
        <v>8.6339999999999986</v>
      </c>
      <c r="C37">
        <v>4</v>
      </c>
      <c r="D37">
        <v>0.82384558930082785</v>
      </c>
    </row>
    <row r="38" spans="1:4">
      <c r="A38" s="9">
        <v>1279</v>
      </c>
      <c r="B38">
        <v>1.7250000000000001</v>
      </c>
      <c r="C38">
        <v>1</v>
      </c>
      <c r="D38">
        <v>0.37719136760338973</v>
      </c>
    </row>
    <row r="39" spans="1:4">
      <c r="A39" s="9">
        <v>1281</v>
      </c>
      <c r="B39">
        <v>0.68600000000000005</v>
      </c>
      <c r="C39">
        <v>1</v>
      </c>
      <c r="D39">
        <v>0.24672564014608608</v>
      </c>
    </row>
    <row r="40" spans="1:4">
      <c r="A40" s="9">
        <v>1283</v>
      </c>
      <c r="B40">
        <v>1.583</v>
      </c>
      <c r="C40">
        <v>1</v>
      </c>
      <c r="D40">
        <v>0.36587953840281096</v>
      </c>
    </row>
    <row r="41" spans="1:4">
      <c r="A41" s="9">
        <v>1287</v>
      </c>
      <c r="B41">
        <v>4.7089999999999996</v>
      </c>
      <c r="C41">
        <v>3</v>
      </c>
      <c r="D41">
        <v>0.67743457369366011</v>
      </c>
    </row>
    <row r="42" spans="1:4">
      <c r="A42" s="9">
        <v>1291</v>
      </c>
      <c r="B42">
        <v>11.071</v>
      </c>
      <c r="C42">
        <v>4</v>
      </c>
      <c r="D42">
        <v>0.84567379437954326</v>
      </c>
    </row>
    <row r="43" spans="1:4">
      <c r="A43" s="9">
        <v>1296</v>
      </c>
      <c r="B43">
        <v>3.64</v>
      </c>
      <c r="C43">
        <v>2</v>
      </c>
      <c r="D43">
        <v>0.58224665707794221</v>
      </c>
    </row>
    <row r="44" spans="1:4">
      <c r="A44" s="9">
        <v>1299</v>
      </c>
      <c r="B44">
        <v>7.2539999999999996</v>
      </c>
      <c r="C44">
        <v>5</v>
      </c>
      <c r="D44">
        <v>0.80119699381750065</v>
      </c>
    </row>
    <row r="45" spans="1:4">
      <c r="A45" s="9">
        <v>1305</v>
      </c>
      <c r="B45">
        <v>8.8840000000000003</v>
      </c>
      <c r="C45">
        <v>4</v>
      </c>
      <c r="D45">
        <v>0.82760420931517265</v>
      </c>
    </row>
    <row r="46" spans="1:4">
      <c r="A46" s="9">
        <v>1310</v>
      </c>
      <c r="B46">
        <v>1.5640000000000001</v>
      </c>
      <c r="C46">
        <v>1</v>
      </c>
      <c r="D46">
        <v>0.36425257548343515</v>
      </c>
    </row>
    <row r="47" spans="1:4">
      <c r="A47" s="9">
        <v>1315</v>
      </c>
      <c r="B47">
        <v>8.1109999999999989</v>
      </c>
      <c r="C47">
        <v>3</v>
      </c>
      <c r="D47">
        <v>0.76306064937132412</v>
      </c>
    </row>
    <row r="48" spans="1:4">
      <c r="A48" s="9">
        <v>1319</v>
      </c>
      <c r="B48">
        <v>4.0609999999999999</v>
      </c>
      <c r="C48">
        <v>2</v>
      </c>
      <c r="D48">
        <v>0.6004854322418155</v>
      </c>
    </row>
    <row r="49" spans="1:4">
      <c r="A49" s="9">
        <v>1322</v>
      </c>
      <c r="B49">
        <v>1.32</v>
      </c>
      <c r="C49">
        <v>1</v>
      </c>
      <c r="D49">
        <v>0.3406598038592179</v>
      </c>
    </row>
    <row r="50" spans="1:4">
      <c r="A50" s="9">
        <v>1325</v>
      </c>
      <c r="B50">
        <v>0.13800000000000001</v>
      </c>
      <c r="C50">
        <v>1</v>
      </c>
      <c r="D50">
        <v>8.6343184678834062E-2</v>
      </c>
    </row>
    <row r="51" spans="1:4">
      <c r="A51" s="9">
        <v>1327</v>
      </c>
      <c r="B51">
        <v>2.992</v>
      </c>
      <c r="C51">
        <v>3</v>
      </c>
      <c r="D51">
        <v>0.55623094028282827</v>
      </c>
    </row>
    <row r="52" spans="1:4">
      <c r="A52" s="9">
        <v>1336</v>
      </c>
      <c r="B52">
        <v>1.8660000000000001</v>
      </c>
      <c r="C52">
        <v>1</v>
      </c>
      <c r="D52">
        <v>0.38706952141188278</v>
      </c>
    </row>
    <row r="53" spans="1:4">
      <c r="A53" s="9">
        <v>1345</v>
      </c>
      <c r="B53">
        <v>7.1280000000000001</v>
      </c>
      <c r="C53">
        <v>3</v>
      </c>
      <c r="D53">
        <v>0.75151865700449427</v>
      </c>
    </row>
    <row r="54" spans="1:4">
      <c r="A54" s="9">
        <v>1349</v>
      </c>
      <c r="B54">
        <v>10.96</v>
      </c>
      <c r="C54">
        <v>7</v>
      </c>
      <c r="D54">
        <v>0.89498482605971508</v>
      </c>
    </row>
    <row r="55" spans="1:4">
      <c r="A55" s="9">
        <v>1358</v>
      </c>
      <c r="B55">
        <v>2.3149999999999999</v>
      </c>
      <c r="C55">
        <v>1</v>
      </c>
      <c r="D55">
        <v>0.41118351426103794</v>
      </c>
    </row>
    <row r="56" spans="1:4">
      <c r="A56" s="9">
        <v>1360</v>
      </c>
      <c r="B56">
        <v>4.8079999999999998</v>
      </c>
      <c r="C56">
        <v>2</v>
      </c>
      <c r="D56">
        <v>0.62329366242380835</v>
      </c>
    </row>
    <row r="57" spans="1:4">
      <c r="A57" s="9">
        <v>1364</v>
      </c>
      <c r="B57">
        <v>8.4130000000000003</v>
      </c>
      <c r="C57">
        <v>4</v>
      </c>
      <c r="D57">
        <v>0.82015372453562374</v>
      </c>
    </row>
    <row r="58" spans="1:4">
      <c r="A58" s="9">
        <v>1369</v>
      </c>
      <c r="B58">
        <v>11.102</v>
      </c>
      <c r="C58">
        <v>4</v>
      </c>
      <c r="D58">
        <v>0.84578125709711371</v>
      </c>
    </row>
    <row r="59" spans="1:4">
      <c r="A59" s="9">
        <v>1374</v>
      </c>
      <c r="B59">
        <v>6.3220000000000001</v>
      </c>
      <c r="C59">
        <v>3</v>
      </c>
      <c r="D59">
        <v>0.73549290727965788</v>
      </c>
    </row>
    <row r="60" spans="1:4">
      <c r="A60" s="9">
        <v>1378</v>
      </c>
      <c r="B60">
        <v>1.1870000000000001</v>
      </c>
      <c r="C60">
        <v>2</v>
      </c>
      <c r="D60">
        <v>0.33685167854838022</v>
      </c>
    </row>
    <row r="61" spans="1:4">
      <c r="A61" s="9">
        <v>1381</v>
      </c>
      <c r="B61">
        <v>6.8009999999999993</v>
      </c>
      <c r="C61">
        <v>4</v>
      </c>
      <c r="D61">
        <v>0.78051829528750083</v>
      </c>
    </row>
    <row r="62" spans="1:4">
      <c r="A62" s="9">
        <v>1386</v>
      </c>
      <c r="B62">
        <v>5.9559999999999995</v>
      </c>
      <c r="C62">
        <v>2</v>
      </c>
      <c r="D62">
        <v>0.64124901987062344</v>
      </c>
    </row>
    <row r="63" spans="1:4">
      <c r="A63" s="9">
        <v>1390</v>
      </c>
      <c r="B63">
        <v>1.0029999999999999</v>
      </c>
      <c r="C63">
        <v>1</v>
      </c>
      <c r="D63">
        <v>0.30089055715893853</v>
      </c>
    </row>
    <row r="64" spans="1:4">
      <c r="A64" s="9">
        <v>1392</v>
      </c>
      <c r="B64">
        <v>1.5489999999999999</v>
      </c>
      <c r="C64">
        <v>2</v>
      </c>
      <c r="D64">
        <v>0.39531974807129994</v>
      </c>
    </row>
    <row r="65" spans="1:4">
      <c r="A65" s="9">
        <v>1397</v>
      </c>
      <c r="B65">
        <v>1.018</v>
      </c>
      <c r="C65">
        <v>1</v>
      </c>
      <c r="D65">
        <v>0.30305325432333163</v>
      </c>
    </row>
    <row r="66" spans="1:4">
      <c r="A66" s="9">
        <v>1400</v>
      </c>
      <c r="B66">
        <v>2.246</v>
      </c>
      <c r="C66">
        <v>3</v>
      </c>
      <c r="D66">
        <v>0.47445830018194196</v>
      </c>
    </row>
    <row r="67" spans="1:4">
      <c r="A67" s="9">
        <v>1404</v>
      </c>
      <c r="B67">
        <v>1.6</v>
      </c>
      <c r="C67">
        <v>2</v>
      </c>
      <c r="D67">
        <v>0.40268897740123061</v>
      </c>
    </row>
    <row r="68" spans="1:4">
      <c r="A68" s="9">
        <v>1410</v>
      </c>
      <c r="B68">
        <v>6.4770000000000003</v>
      </c>
      <c r="C68">
        <v>3</v>
      </c>
      <c r="D68">
        <v>0.73912367110828869</v>
      </c>
    </row>
    <row r="69" spans="1:4">
      <c r="A69" s="9">
        <v>1415</v>
      </c>
      <c r="B69">
        <v>2.2959999999999998</v>
      </c>
      <c r="C69">
        <v>1</v>
      </c>
      <c r="D69">
        <v>0.41035669069038549</v>
      </c>
    </row>
    <row r="70" spans="1:4">
      <c r="A70" s="9">
        <v>1418</v>
      </c>
      <c r="B70">
        <v>1.544</v>
      </c>
      <c r="C70">
        <v>2</v>
      </c>
      <c r="D70">
        <v>0.39458660524483857</v>
      </c>
    </row>
    <row r="71" spans="1:4">
      <c r="A71" s="9">
        <v>1421</v>
      </c>
      <c r="B71">
        <v>7.1870000000000003</v>
      </c>
      <c r="C71">
        <v>2</v>
      </c>
      <c r="D71">
        <v>0.64604206947206777</v>
      </c>
    </row>
    <row r="72" spans="1:4">
      <c r="A72" s="9">
        <v>1424</v>
      </c>
      <c r="B72">
        <v>3.948</v>
      </c>
      <c r="C72">
        <v>2</v>
      </c>
      <c r="D72">
        <v>0.59602009348199292</v>
      </c>
    </row>
    <row r="73" spans="1:4">
      <c r="A73" s="9">
        <v>1427</v>
      </c>
      <c r="B73">
        <v>2.5219999999999998</v>
      </c>
      <c r="C73">
        <v>1</v>
      </c>
      <c r="D73">
        <v>0.41926067888194235</v>
      </c>
    </row>
    <row r="74" spans="1:4">
      <c r="A74" s="9">
        <v>1430</v>
      </c>
      <c r="B74">
        <v>2.8970000000000002</v>
      </c>
      <c r="C74">
        <v>2</v>
      </c>
      <c r="D74">
        <v>0.537518295660804</v>
      </c>
    </row>
    <row r="75" spans="1:4">
      <c r="A75" s="9">
        <v>1433</v>
      </c>
      <c r="B75">
        <v>0.371</v>
      </c>
      <c r="C75">
        <v>1</v>
      </c>
      <c r="D75">
        <v>0.17030958187146569</v>
      </c>
    </row>
    <row r="76" spans="1:4">
      <c r="A76" s="9">
        <v>1436</v>
      </c>
      <c r="B76">
        <v>4.04</v>
      </c>
      <c r="C76">
        <v>2</v>
      </c>
      <c r="D76">
        <v>0.59967809281659545</v>
      </c>
    </row>
    <row r="77" spans="1:4">
      <c r="A77" s="9">
        <v>1440</v>
      </c>
      <c r="B77">
        <v>0.88600000000000001</v>
      </c>
      <c r="C77">
        <v>1</v>
      </c>
      <c r="D77">
        <v>0.28288982051104683</v>
      </c>
    </row>
    <row r="78" spans="1:4">
      <c r="A78" s="9">
        <v>1442</v>
      </c>
      <c r="B78">
        <v>0.32400000000000001</v>
      </c>
      <c r="C78">
        <v>1</v>
      </c>
      <c r="D78">
        <v>0.15596188419720189</v>
      </c>
    </row>
    <row r="79" spans="1:4">
      <c r="A79" s="9">
        <v>1444</v>
      </c>
      <c r="B79">
        <v>11.140999999999998</v>
      </c>
      <c r="C79">
        <v>4</v>
      </c>
      <c r="D79">
        <v>0.84591188345143287</v>
      </c>
    </row>
    <row r="80" spans="1:4">
      <c r="A80" s="9">
        <v>1450</v>
      </c>
      <c r="B80">
        <v>4.3209999999999997</v>
      </c>
      <c r="C80">
        <v>2</v>
      </c>
      <c r="D80">
        <v>0.60967499573964157</v>
      </c>
    </row>
    <row r="81" spans="1:4">
      <c r="A81" s="9">
        <v>1453</v>
      </c>
      <c r="B81">
        <v>29.376999999999999</v>
      </c>
      <c r="C81">
        <v>11</v>
      </c>
      <c r="D81">
        <v>0.99098823693469029</v>
      </c>
    </row>
    <row r="82" spans="1:4">
      <c r="A82" s="9">
        <v>1468</v>
      </c>
      <c r="B82">
        <v>11.721</v>
      </c>
      <c r="C82">
        <v>6</v>
      </c>
      <c r="D82">
        <v>0.90559683305986138</v>
      </c>
    </row>
    <row r="83" spans="1:4">
      <c r="A83" s="9">
        <v>1481</v>
      </c>
      <c r="B83">
        <v>2.089</v>
      </c>
      <c r="C83">
        <v>1</v>
      </c>
      <c r="D83">
        <v>0.40030693972358455</v>
      </c>
    </row>
    <row r="84" spans="1:4">
      <c r="A84" s="9">
        <v>1483</v>
      </c>
      <c r="B84">
        <v>7.0000000000000001E-3</v>
      </c>
      <c r="C84">
        <v>1</v>
      </c>
      <c r="D84">
        <v>8.5404005720625415E-3</v>
      </c>
    </row>
    <row r="85" spans="1:4">
      <c r="A85" s="9">
        <v>1488</v>
      </c>
      <c r="B85">
        <v>3.6629999999999998</v>
      </c>
      <c r="C85">
        <v>3</v>
      </c>
      <c r="D85">
        <v>0.6130609564704107</v>
      </c>
    </row>
    <row r="86" spans="1:4">
      <c r="A86" s="9">
        <v>1492</v>
      </c>
      <c r="B86">
        <v>8.9999999999999993E-3</v>
      </c>
      <c r="C86">
        <v>1</v>
      </c>
      <c r="D86">
        <v>1.0459845668169716E-2</v>
      </c>
    </row>
    <row r="87" spans="1:4">
      <c r="A87" s="9">
        <v>1496</v>
      </c>
      <c r="B87">
        <v>8.7859999999999996</v>
      </c>
      <c r="C87">
        <v>2</v>
      </c>
      <c r="D87">
        <v>0.64048208407104534</v>
      </c>
    </row>
    <row r="88" spans="1:4">
      <c r="A88" s="9">
        <v>1501</v>
      </c>
      <c r="B88">
        <v>12.855</v>
      </c>
      <c r="C88">
        <v>7</v>
      </c>
      <c r="D88">
        <v>0.92431166367724693</v>
      </c>
    </row>
    <row r="89" spans="1:4">
      <c r="A89" s="9">
        <v>1510</v>
      </c>
      <c r="B89">
        <v>6.7930000000000001</v>
      </c>
      <c r="C89">
        <v>3</v>
      </c>
      <c r="D89">
        <v>0.74568650373465217</v>
      </c>
    </row>
    <row r="90" spans="1:4">
      <c r="A90" s="9">
        <v>1514</v>
      </c>
      <c r="B90">
        <v>1.2210000000000001</v>
      </c>
      <c r="C90">
        <v>3</v>
      </c>
      <c r="D90">
        <v>0.31870223728683361</v>
      </c>
    </row>
    <row r="91" spans="1:4">
      <c r="A91" s="9">
        <v>1518</v>
      </c>
      <c r="B91">
        <v>0.78500000000000003</v>
      </c>
      <c r="C91">
        <v>1</v>
      </c>
      <c r="D91">
        <v>0.26556551505546977</v>
      </c>
    </row>
    <row r="92" spans="1:4">
      <c r="A92" s="9">
        <v>1521</v>
      </c>
      <c r="B92">
        <v>0.42</v>
      </c>
      <c r="C92">
        <v>1</v>
      </c>
      <c r="D92">
        <v>0.18427584260418881</v>
      </c>
    </row>
    <row r="93" spans="1:4">
      <c r="A93" s="9">
        <v>1524</v>
      </c>
      <c r="B93">
        <v>5.7210000000000001</v>
      </c>
      <c r="C93">
        <v>2</v>
      </c>
      <c r="D93">
        <v>0.6388784577038763</v>
      </c>
    </row>
    <row r="94" spans="1:4">
      <c r="A94" s="9">
        <v>1527</v>
      </c>
      <c r="B94">
        <v>7.4380000000000006</v>
      </c>
      <c r="C94">
        <v>4</v>
      </c>
      <c r="D94">
        <v>0.79914078335021843</v>
      </c>
    </row>
    <row r="95" spans="1:4">
      <c r="A95" s="9">
        <v>1532</v>
      </c>
      <c r="B95">
        <v>3.9689999999999999</v>
      </c>
      <c r="C95">
        <v>2</v>
      </c>
      <c r="D95">
        <v>0.5968726722515999</v>
      </c>
    </row>
    <row r="96" spans="1:4">
      <c r="A96" s="9">
        <v>1535</v>
      </c>
      <c r="B96">
        <v>1.7729999999999999</v>
      </c>
      <c r="C96">
        <v>1</v>
      </c>
      <c r="D96">
        <v>0.38069732504000564</v>
      </c>
    </row>
    <row r="97" spans="1:4">
      <c r="A97" s="9">
        <v>1542</v>
      </c>
      <c r="B97">
        <v>8.8390000000000004</v>
      </c>
      <c r="C97">
        <v>3</v>
      </c>
      <c r="D97">
        <v>0.76739089883548572</v>
      </c>
    </row>
    <row r="98" spans="1:4">
      <c r="A98" s="9">
        <v>1547</v>
      </c>
      <c r="B98">
        <v>0.375</v>
      </c>
      <c r="C98">
        <v>1</v>
      </c>
      <c r="D98">
        <v>0.17148583591529362</v>
      </c>
    </row>
    <row r="99" spans="1:4">
      <c r="A99" s="9">
        <v>1555</v>
      </c>
      <c r="B99">
        <v>1.752</v>
      </c>
      <c r="C99">
        <v>2</v>
      </c>
      <c r="D99">
        <v>0.42352422009721236</v>
      </c>
    </row>
    <row r="100" spans="1:4">
      <c r="A100" s="9">
        <v>1560</v>
      </c>
      <c r="B100">
        <v>4.6189999999999998</v>
      </c>
      <c r="C100">
        <v>2</v>
      </c>
      <c r="D100">
        <v>0.61852048856352793</v>
      </c>
    </row>
    <row r="101" spans="1:4">
      <c r="A101" s="9">
        <v>1563</v>
      </c>
      <c r="B101">
        <v>0.56100000000000005</v>
      </c>
      <c r="C101">
        <v>1</v>
      </c>
      <c r="D101">
        <v>0.21982520447366616</v>
      </c>
    </row>
    <row r="102" spans="1:4">
      <c r="A102" s="9">
        <v>1566</v>
      </c>
      <c r="B102">
        <v>15.484999999999999</v>
      </c>
      <c r="C102">
        <v>9</v>
      </c>
      <c r="D102">
        <v>0.95099868286454536</v>
      </c>
    </row>
    <row r="103" spans="1:4">
      <c r="A103" s="9">
        <v>1577</v>
      </c>
      <c r="B103">
        <v>3.2069999999999999</v>
      </c>
      <c r="C103">
        <v>1</v>
      </c>
      <c r="D103">
        <v>0.43623311020231781</v>
      </c>
    </row>
    <row r="104" spans="1:4">
      <c r="A104" s="9">
        <v>1581</v>
      </c>
      <c r="B104">
        <v>1.4239999999999999</v>
      </c>
      <c r="C104">
        <v>2</v>
      </c>
      <c r="D104">
        <v>0.37639820253380429</v>
      </c>
    </row>
    <row r="105" spans="1:4">
      <c r="A105" s="9">
        <v>1585</v>
      </c>
      <c r="B105">
        <v>0.36</v>
      </c>
      <c r="C105">
        <v>1</v>
      </c>
      <c r="D105">
        <v>0.16703989174482339</v>
      </c>
    </row>
    <row r="106" spans="1:4">
      <c r="A106" s="9">
        <v>1590</v>
      </c>
      <c r="B106">
        <v>2.6970000000000001</v>
      </c>
      <c r="C106">
        <v>3</v>
      </c>
      <c r="D106">
        <v>0.52649745576742124</v>
      </c>
    </row>
    <row r="107" spans="1:4">
      <c r="A107" s="9">
        <v>1595</v>
      </c>
      <c r="B107">
        <v>1.6839999999999999</v>
      </c>
      <c r="C107">
        <v>1</v>
      </c>
      <c r="D107">
        <v>0.37407335245598361</v>
      </c>
    </row>
    <row r="108" spans="1:4">
      <c r="A108" s="9">
        <v>1597</v>
      </c>
      <c r="B108">
        <v>9.7409999999999997</v>
      </c>
      <c r="C108">
        <v>5</v>
      </c>
      <c r="D108">
        <v>0.86553731230178221</v>
      </c>
    </row>
    <row r="109" spans="1:4">
      <c r="A109" s="9">
        <v>1608</v>
      </c>
      <c r="B109">
        <v>3.556</v>
      </c>
      <c r="C109">
        <v>1</v>
      </c>
      <c r="D109">
        <v>0.44062104232065791</v>
      </c>
    </row>
    <row r="110" spans="1:4">
      <c r="A110" s="9">
        <v>1616</v>
      </c>
      <c r="B110">
        <v>0.61199999999999999</v>
      </c>
      <c r="C110">
        <v>1</v>
      </c>
      <c r="D110">
        <v>0.23126191860672143</v>
      </c>
    </row>
    <row r="111" spans="1:4">
      <c r="A111" s="9">
        <v>1618</v>
      </c>
      <c r="B111">
        <v>3.09</v>
      </c>
      <c r="C111">
        <v>2</v>
      </c>
      <c r="D111">
        <v>0.55090872874732721</v>
      </c>
    </row>
    <row r="112" spans="1:4">
      <c r="A112" s="9">
        <v>1623</v>
      </c>
      <c r="B112">
        <v>1.859</v>
      </c>
      <c r="C112">
        <v>1</v>
      </c>
      <c r="D112">
        <v>0.38660847403943305</v>
      </c>
    </row>
    <row r="113" spans="1:4">
      <c r="A113" s="9">
        <v>1625</v>
      </c>
      <c r="B113">
        <v>8.8049999999999997</v>
      </c>
      <c r="C113">
        <v>3</v>
      </c>
      <c r="D113">
        <v>0.76725324745173029</v>
      </c>
    </row>
    <row r="114" spans="1:4">
      <c r="A114" s="9">
        <v>1630</v>
      </c>
      <c r="B114">
        <v>6.2509999999999994</v>
      </c>
      <c r="C114">
        <v>3</v>
      </c>
      <c r="D114">
        <v>0.73373381725428077</v>
      </c>
    </row>
    <row r="115" spans="1:4">
      <c r="A115" s="9">
        <v>1638</v>
      </c>
      <c r="B115">
        <v>1.4259999999999999</v>
      </c>
      <c r="C115">
        <v>1</v>
      </c>
      <c r="D115">
        <v>0.35155548629647537</v>
      </c>
    </row>
    <row r="116" spans="1:4">
      <c r="A116" s="9">
        <v>1641</v>
      </c>
      <c r="B116">
        <v>14.693999999999999</v>
      </c>
      <c r="C116">
        <v>8</v>
      </c>
      <c r="D116">
        <v>0.94466681095150418</v>
      </c>
    </row>
    <row r="117" spans="1:4">
      <c r="A117" s="9">
        <v>1652</v>
      </c>
      <c r="B117">
        <v>0.91900000000000004</v>
      </c>
      <c r="C117">
        <v>1</v>
      </c>
      <c r="D117">
        <v>0.28817862144735584</v>
      </c>
    </row>
    <row r="118" spans="1:4">
      <c r="A118" s="9">
        <v>1654</v>
      </c>
      <c r="B118">
        <v>4.0890000000000004</v>
      </c>
      <c r="C118">
        <v>1</v>
      </c>
      <c r="D118">
        <v>0.44353728756208971</v>
      </c>
    </row>
    <row r="119" spans="1:4">
      <c r="A119" s="9">
        <v>1656</v>
      </c>
      <c r="B119">
        <v>0.74299999999999999</v>
      </c>
      <c r="C119">
        <v>1</v>
      </c>
      <c r="D119">
        <v>0.25781359933772857</v>
      </c>
    </row>
    <row r="120" spans="1:4">
      <c r="A120" s="9">
        <v>1658</v>
      </c>
      <c r="B120">
        <v>2.1860000000000004</v>
      </c>
      <c r="C120">
        <v>2</v>
      </c>
      <c r="D120">
        <v>0.47476090359202028</v>
      </c>
    </row>
    <row r="121" spans="1:4">
      <c r="A121" s="9">
        <v>1661</v>
      </c>
      <c r="B121">
        <v>0.312</v>
      </c>
      <c r="C121">
        <v>1</v>
      </c>
      <c r="D121">
        <v>0.15213287516154317</v>
      </c>
    </row>
    <row r="122" spans="1:4">
      <c r="A122" s="9">
        <v>1664</v>
      </c>
      <c r="B122">
        <v>1.623</v>
      </c>
      <c r="C122">
        <v>1</v>
      </c>
      <c r="D122">
        <v>0.3692145428793383</v>
      </c>
    </row>
    <row r="123" spans="1:4">
      <c r="A123" s="9">
        <v>1666</v>
      </c>
      <c r="B123">
        <v>0.629</v>
      </c>
      <c r="C123">
        <v>1</v>
      </c>
      <c r="D123">
        <v>0.23492812992030046</v>
      </c>
    </row>
    <row r="124" spans="1:4">
      <c r="A124" s="9">
        <v>1670</v>
      </c>
      <c r="B124">
        <v>3.613</v>
      </c>
      <c r="C124">
        <v>1</v>
      </c>
      <c r="D124">
        <v>0.44113006485011586</v>
      </c>
    </row>
    <row r="125" spans="1:4">
      <c r="A125" s="9">
        <v>1673</v>
      </c>
      <c r="B125">
        <v>0.59799999999999998</v>
      </c>
      <c r="C125">
        <v>1</v>
      </c>
      <c r="D125">
        <v>0.22818909308815741</v>
      </c>
    </row>
    <row r="126" spans="1:4">
      <c r="A126" s="9">
        <v>1675</v>
      </c>
      <c r="B126">
        <v>5.8360000000000003</v>
      </c>
      <c r="C126">
        <v>2</v>
      </c>
      <c r="D126">
        <v>0.64010986728062513</v>
      </c>
    </row>
    <row r="127" spans="1:4">
      <c r="A127" s="9">
        <v>1681</v>
      </c>
      <c r="B127">
        <v>5.76</v>
      </c>
      <c r="C127">
        <v>2</v>
      </c>
      <c r="D127">
        <v>0.63931185693320269</v>
      </c>
    </row>
    <row r="128" spans="1:4">
      <c r="A128" s="9">
        <v>1684</v>
      </c>
      <c r="B128">
        <v>4.5780000000000003</v>
      </c>
      <c r="C128">
        <v>2</v>
      </c>
      <c r="D128">
        <v>0.61740253051127125</v>
      </c>
    </row>
    <row r="129" spans="1:4">
      <c r="A129" s="9">
        <v>1687</v>
      </c>
      <c r="B129">
        <v>5.6079999999999997</v>
      </c>
      <c r="C129">
        <v>5</v>
      </c>
      <c r="D129">
        <v>0.72536608888716136</v>
      </c>
    </row>
    <row r="130" spans="1:4">
      <c r="A130" s="9">
        <v>1693</v>
      </c>
      <c r="B130">
        <v>0.14599999999999999</v>
      </c>
      <c r="C130">
        <v>1</v>
      </c>
      <c r="D130">
        <v>8.9924091508364626E-2</v>
      </c>
    </row>
    <row r="131" spans="1:4">
      <c r="A131" s="9">
        <v>1696</v>
      </c>
      <c r="B131">
        <v>7.0190000000000001</v>
      </c>
      <c r="C131">
        <v>4</v>
      </c>
      <c r="D131">
        <v>0.78738068085663637</v>
      </c>
    </row>
    <row r="132" spans="1:4">
      <c r="A132" s="9">
        <v>1703</v>
      </c>
      <c r="B132">
        <v>7.8360000000000003</v>
      </c>
      <c r="C132">
        <v>3</v>
      </c>
      <c r="D132">
        <v>0.76057186985653513</v>
      </c>
    </row>
    <row r="133" spans="1:4">
      <c r="A133" s="9">
        <v>1708</v>
      </c>
      <c r="B133">
        <v>3.5939999999999999</v>
      </c>
      <c r="C133">
        <v>3</v>
      </c>
      <c r="D133">
        <v>0.60784397436213644</v>
      </c>
    </row>
    <row r="134" spans="1:4">
      <c r="A134" s="9">
        <v>1712</v>
      </c>
      <c r="B134">
        <v>0.42699999999999999</v>
      </c>
      <c r="C134">
        <v>1</v>
      </c>
      <c r="D134">
        <v>0.18619579756031523</v>
      </c>
    </row>
    <row r="135" spans="1:4">
      <c r="A135" s="9">
        <v>1714</v>
      </c>
      <c r="B135">
        <v>7.6539999999999999</v>
      </c>
      <c r="C135">
        <v>4</v>
      </c>
      <c r="D135">
        <v>0.80452008456766966</v>
      </c>
    </row>
    <row r="136" spans="1:4">
      <c r="A136" s="9">
        <v>1722</v>
      </c>
      <c r="B136">
        <v>1.649</v>
      </c>
      <c r="C136">
        <v>1</v>
      </c>
      <c r="D136">
        <v>0.37131838908647652</v>
      </c>
    </row>
    <row r="137" spans="1:4">
      <c r="A137" s="9">
        <v>1724</v>
      </c>
      <c r="B137">
        <v>3.3260000000000001</v>
      </c>
      <c r="C137">
        <v>2</v>
      </c>
      <c r="D137">
        <v>0.56551418729622027</v>
      </c>
    </row>
    <row r="138" spans="1:4">
      <c r="A138" s="9">
        <v>1727</v>
      </c>
      <c r="B138">
        <v>11.206000000000001</v>
      </c>
      <c r="C138">
        <v>5</v>
      </c>
      <c r="D138">
        <v>0.88458665210941412</v>
      </c>
    </row>
    <row r="139" spans="1:4">
      <c r="A139" s="9">
        <v>1734</v>
      </c>
      <c r="B139">
        <v>0.376</v>
      </c>
      <c r="C139">
        <v>1</v>
      </c>
      <c r="D139">
        <v>0.17177885491865522</v>
      </c>
    </row>
    <row r="140" spans="1:4">
      <c r="A140" s="9">
        <v>1736</v>
      </c>
      <c r="B140">
        <v>6.5690000000000008</v>
      </c>
      <c r="C140">
        <v>3</v>
      </c>
      <c r="D140">
        <v>0.74114742979042514</v>
      </c>
    </row>
    <row r="141" spans="1:4">
      <c r="A141" s="9">
        <v>1741</v>
      </c>
      <c r="B141">
        <v>3.8689999999999998</v>
      </c>
      <c r="C141">
        <v>3</v>
      </c>
      <c r="D141">
        <v>0.62785839788977127</v>
      </c>
    </row>
    <row r="142" spans="1:4">
      <c r="A142" s="9">
        <v>1750</v>
      </c>
      <c r="B142">
        <v>14.353</v>
      </c>
      <c r="C142">
        <v>8</v>
      </c>
      <c r="D142">
        <v>0.94141699375627286</v>
      </c>
    </row>
    <row r="143" spans="1:4">
      <c r="A143" s="9">
        <v>1763</v>
      </c>
      <c r="B143">
        <v>6.87</v>
      </c>
      <c r="C143">
        <v>7</v>
      </c>
      <c r="D143">
        <v>0.76478978351175408</v>
      </c>
    </row>
    <row r="144" spans="1:4">
      <c r="A144" s="9">
        <v>1772</v>
      </c>
      <c r="B144">
        <v>14.530999999999999</v>
      </c>
      <c r="C144">
        <v>7</v>
      </c>
      <c r="D144">
        <v>0.94013248170074315</v>
      </c>
    </row>
    <row r="145" spans="1:4">
      <c r="A145" s="9">
        <v>1780</v>
      </c>
      <c r="B145">
        <v>1.657</v>
      </c>
      <c r="C145">
        <v>1</v>
      </c>
      <c r="D145">
        <v>0.37195582000646876</v>
      </c>
    </row>
    <row r="146" spans="1:4">
      <c r="A146" s="9">
        <v>1785</v>
      </c>
      <c r="B146">
        <v>7</v>
      </c>
      <c r="C146">
        <v>2</v>
      </c>
      <c r="D146">
        <v>0.64598326639964365</v>
      </c>
    </row>
    <row r="147" spans="1:4">
      <c r="A147" s="9">
        <v>1789</v>
      </c>
      <c r="B147">
        <v>8.6590000000000007</v>
      </c>
      <c r="C147">
        <v>3</v>
      </c>
      <c r="D147">
        <v>0.76659519824493771</v>
      </c>
    </row>
    <row r="148" spans="1:4">
      <c r="A148" s="9">
        <v>1798</v>
      </c>
      <c r="B148">
        <v>0.80400000000000005</v>
      </c>
      <c r="C148">
        <v>1</v>
      </c>
      <c r="D148">
        <v>0.26896250232609026</v>
      </c>
    </row>
    <row r="149" spans="1:4">
      <c r="A149" s="9">
        <v>1800</v>
      </c>
      <c r="B149">
        <v>4.476</v>
      </c>
      <c r="C149">
        <v>2</v>
      </c>
      <c r="D149">
        <v>0.6144872953527325</v>
      </c>
    </row>
    <row r="150" spans="1:4">
      <c r="A150" s="9">
        <v>1805</v>
      </c>
      <c r="B150">
        <v>6.6189999999999998</v>
      </c>
      <c r="C150">
        <v>2</v>
      </c>
      <c r="D150">
        <v>0.6452029528814599</v>
      </c>
    </row>
    <row r="151" spans="1:4">
      <c r="A151" s="9">
        <v>1808</v>
      </c>
      <c r="B151">
        <v>1.911</v>
      </c>
      <c r="C151">
        <v>1</v>
      </c>
      <c r="D151">
        <v>0.38996394595284189</v>
      </c>
    </row>
    <row r="152" spans="1:4">
      <c r="A152" s="9">
        <v>1812</v>
      </c>
      <c r="B152">
        <v>0.9</v>
      </c>
      <c r="C152">
        <v>1</v>
      </c>
      <c r="D152">
        <v>0.28515477152338092</v>
      </c>
    </row>
    <row r="153" spans="1:4">
      <c r="A153" s="9">
        <v>1816</v>
      </c>
      <c r="B153">
        <v>0.373</v>
      </c>
      <c r="C153">
        <v>1</v>
      </c>
      <c r="D153">
        <v>0.17089854683424413</v>
      </c>
    </row>
    <row r="154" spans="1:4">
      <c r="A154" s="9">
        <v>1819</v>
      </c>
      <c r="B154">
        <v>3.367</v>
      </c>
      <c r="C154">
        <v>2</v>
      </c>
      <c r="D154">
        <v>0.56786681290723395</v>
      </c>
    </row>
    <row r="155" spans="1:4">
      <c r="A155" s="9">
        <v>1822</v>
      </c>
      <c r="B155">
        <v>3.258</v>
      </c>
      <c r="C155">
        <v>1</v>
      </c>
      <c r="D155">
        <v>0.43702275923624417</v>
      </c>
    </row>
    <row r="156" spans="1:4">
      <c r="A156" s="9">
        <v>1824</v>
      </c>
      <c r="B156">
        <v>3.95</v>
      </c>
      <c r="C156">
        <v>1</v>
      </c>
      <c r="D156">
        <v>0.44314350725052287</v>
      </c>
    </row>
    <row r="157" spans="1:4">
      <c r="A157" s="9">
        <v>1829</v>
      </c>
      <c r="B157">
        <v>5.176000000000001</v>
      </c>
      <c r="C157">
        <v>4</v>
      </c>
      <c r="D157">
        <v>0.70991663386549864</v>
      </c>
    </row>
    <row r="158" spans="1:4">
      <c r="A158" s="9">
        <v>1835</v>
      </c>
      <c r="B158">
        <v>1.5349999999999999</v>
      </c>
      <c r="C158">
        <v>1</v>
      </c>
      <c r="D158">
        <v>0.36171467623960696</v>
      </c>
    </row>
    <row r="159" spans="1:4">
      <c r="A159" s="9">
        <v>1837</v>
      </c>
      <c r="B159">
        <v>2.8179999999999996</v>
      </c>
      <c r="C159">
        <v>3</v>
      </c>
      <c r="D159">
        <v>0.53907793338609278</v>
      </c>
    </row>
    <row r="160" spans="1:4">
      <c r="A160" s="9">
        <v>1841</v>
      </c>
      <c r="B160">
        <v>6.6619999999999999</v>
      </c>
      <c r="C160">
        <v>2</v>
      </c>
      <c r="D160">
        <v>0.64533940046362737</v>
      </c>
    </row>
    <row r="161" spans="1:4">
      <c r="A161" s="9">
        <v>1845</v>
      </c>
      <c r="B161">
        <v>4.2450000000000001</v>
      </c>
      <c r="C161">
        <v>4</v>
      </c>
      <c r="D161">
        <v>0.65002748205322058</v>
      </c>
    </row>
    <row r="162" spans="1:4">
      <c r="A162" s="9">
        <v>1852</v>
      </c>
      <c r="B162">
        <v>0.441</v>
      </c>
      <c r="C162">
        <v>1</v>
      </c>
      <c r="D162">
        <v>0.18998255256225197</v>
      </c>
    </row>
    <row r="163" spans="1:4">
      <c r="A163" s="9">
        <v>1854</v>
      </c>
      <c r="B163">
        <v>10.876999999999999</v>
      </c>
      <c r="C163">
        <v>4</v>
      </c>
      <c r="D163">
        <v>0.8449260255333948</v>
      </c>
    </row>
    <row r="164" spans="1:4">
      <c r="A164" s="9">
        <v>1859</v>
      </c>
      <c r="B164">
        <v>17.239000000000001</v>
      </c>
      <c r="C164">
        <v>6</v>
      </c>
      <c r="D164">
        <v>0.9327227792962528</v>
      </c>
    </row>
    <row r="165" spans="1:4">
      <c r="A165" s="9">
        <v>1874</v>
      </c>
      <c r="B165">
        <v>2.2650000000000001</v>
      </c>
      <c r="C165">
        <v>1</v>
      </c>
      <c r="D165">
        <v>0.40897473021152742</v>
      </c>
    </row>
    <row r="166" spans="1:4">
      <c r="A166" s="9">
        <v>1879</v>
      </c>
      <c r="B166">
        <v>2.8530000000000002</v>
      </c>
      <c r="C166">
        <v>2</v>
      </c>
      <c r="D166">
        <v>0.53426998012398075</v>
      </c>
    </row>
    <row r="167" spans="1:4">
      <c r="A167" s="9">
        <v>1886</v>
      </c>
      <c r="B167">
        <v>7.5780000000000003</v>
      </c>
      <c r="C167">
        <v>2</v>
      </c>
      <c r="D167">
        <v>0.6455794455751166</v>
      </c>
    </row>
    <row r="168" spans="1:4">
      <c r="A168" s="9">
        <v>1889</v>
      </c>
      <c r="B168">
        <v>0.9</v>
      </c>
      <c r="C168">
        <v>1</v>
      </c>
      <c r="D168">
        <v>0.28515477152338092</v>
      </c>
    </row>
    <row r="169" spans="1:4">
      <c r="A169" s="9">
        <v>1893</v>
      </c>
      <c r="B169">
        <v>7.8369999999999997</v>
      </c>
      <c r="C169">
        <v>5</v>
      </c>
      <c r="D169">
        <v>0.82087237506175648</v>
      </c>
    </row>
    <row r="170" spans="1:4">
      <c r="A170" s="9">
        <v>1899</v>
      </c>
      <c r="B170">
        <v>0.28499999999999998</v>
      </c>
      <c r="C170">
        <v>1</v>
      </c>
      <c r="D170">
        <v>0.14324734363847791</v>
      </c>
    </row>
    <row r="171" spans="1:4">
      <c r="A171" s="9">
        <v>1901</v>
      </c>
      <c r="B171">
        <v>5.0419999999999998</v>
      </c>
      <c r="C171">
        <v>2</v>
      </c>
      <c r="D171">
        <v>0.62839407667588043</v>
      </c>
    </row>
    <row r="172" spans="1:4">
      <c r="A172" s="9">
        <v>1904</v>
      </c>
      <c r="B172">
        <v>1.6459999999999999</v>
      </c>
      <c r="C172">
        <v>1</v>
      </c>
      <c r="D172">
        <v>0.37107815887779905</v>
      </c>
    </row>
    <row r="173" spans="1:4">
      <c r="A173" s="9">
        <v>1906</v>
      </c>
      <c r="B173">
        <v>0.51800000000000002</v>
      </c>
      <c r="C173">
        <v>1</v>
      </c>
      <c r="D173">
        <v>0.2096350793441604</v>
      </c>
    </row>
    <row r="174" spans="1:4">
      <c r="A174" s="9">
        <v>1909</v>
      </c>
      <c r="B174">
        <v>4.4160000000000004</v>
      </c>
      <c r="C174">
        <v>3</v>
      </c>
      <c r="D174">
        <v>0.66195562629110261</v>
      </c>
    </row>
    <row r="175" spans="1:4">
      <c r="A175" s="9">
        <v>1913</v>
      </c>
      <c r="B175">
        <v>1.569</v>
      </c>
      <c r="C175">
        <v>1</v>
      </c>
      <c r="D175">
        <v>0.36468344269982472</v>
      </c>
    </row>
    <row r="176" spans="1:4">
      <c r="A176" s="9">
        <v>1916</v>
      </c>
      <c r="B176">
        <v>7.9190000000000005</v>
      </c>
      <c r="C176">
        <v>3</v>
      </c>
      <c r="D176">
        <v>0.76137804574060675</v>
      </c>
    </row>
    <row r="177" spans="1:4">
      <c r="A177" s="9">
        <v>1925</v>
      </c>
      <c r="B177">
        <v>6.444</v>
      </c>
      <c r="C177">
        <v>1</v>
      </c>
      <c r="D177">
        <v>0.42959676870261032</v>
      </c>
    </row>
    <row r="178" spans="1:4">
      <c r="A178" s="9">
        <v>1931</v>
      </c>
      <c r="B178">
        <v>0.20899999999999999</v>
      </c>
      <c r="C178">
        <v>1</v>
      </c>
      <c r="D178">
        <v>0.1159150107054665</v>
      </c>
    </row>
    <row r="179" spans="1:4">
      <c r="A179" s="9">
        <v>1934</v>
      </c>
      <c r="B179">
        <v>2.673</v>
      </c>
      <c r="C179">
        <v>1</v>
      </c>
      <c r="D179">
        <v>0.42417484444082548</v>
      </c>
    </row>
    <row r="180" spans="1:4">
      <c r="A180" s="9">
        <v>1936</v>
      </c>
      <c r="B180">
        <v>6.4749999999999996</v>
      </c>
      <c r="C180">
        <v>5</v>
      </c>
      <c r="D180">
        <v>0.76940182034977056</v>
      </c>
    </row>
    <row r="181" spans="1:4">
      <c r="A181" s="9">
        <v>1943</v>
      </c>
      <c r="B181">
        <v>0.10199999999999999</v>
      </c>
      <c r="C181">
        <v>1</v>
      </c>
      <c r="D181">
        <v>6.9224262128037631E-2</v>
      </c>
    </row>
    <row r="182" spans="1:4">
      <c r="A182" s="9">
        <v>1948</v>
      </c>
      <c r="B182">
        <v>0.246</v>
      </c>
      <c r="C182">
        <v>1</v>
      </c>
      <c r="D182">
        <v>0.1296874681028172</v>
      </c>
    </row>
    <row r="183" spans="1:4">
      <c r="A183" s="9">
        <v>1951</v>
      </c>
      <c r="B183">
        <v>18.978000000000002</v>
      </c>
      <c r="C183">
        <v>6</v>
      </c>
      <c r="D183">
        <v>0.931774162891435</v>
      </c>
    </row>
    <row r="184" spans="1:4">
      <c r="A184" s="9">
        <v>1959</v>
      </c>
      <c r="B184">
        <v>0.41699999999999998</v>
      </c>
      <c r="C184">
        <v>1</v>
      </c>
      <c r="D184">
        <v>0.18344747286781141</v>
      </c>
    </row>
    <row r="185" spans="1:4">
      <c r="A185" s="9">
        <v>1961</v>
      </c>
      <c r="B185">
        <v>0.36299999999999999</v>
      </c>
      <c r="C185">
        <v>1</v>
      </c>
      <c r="D185">
        <v>0.16793677312664976</v>
      </c>
    </row>
    <row r="186" spans="1:4">
      <c r="A186" s="9">
        <v>1963</v>
      </c>
      <c r="B186">
        <v>4.609</v>
      </c>
      <c r="C186">
        <v>2</v>
      </c>
      <c r="D186">
        <v>0.61825060801459231</v>
      </c>
    </row>
    <row r="187" spans="1:4">
      <c r="A187" s="9">
        <v>1966</v>
      </c>
      <c r="B187">
        <v>3.3540000000000001</v>
      </c>
      <c r="C187">
        <v>2</v>
      </c>
      <c r="D187">
        <v>0.5671265494222264</v>
      </c>
    </row>
    <row r="188" spans="1:4">
      <c r="A188" s="9">
        <v>1971</v>
      </c>
      <c r="B188">
        <v>5.399</v>
      </c>
      <c r="C188">
        <v>2</v>
      </c>
      <c r="D188">
        <v>0.6346376821323082</v>
      </c>
    </row>
    <row r="189" spans="1:4">
      <c r="A189" s="9">
        <v>1974</v>
      </c>
      <c r="B189">
        <v>0.34200000000000003</v>
      </c>
      <c r="C189">
        <v>1</v>
      </c>
      <c r="D189">
        <v>0.16157521468447894</v>
      </c>
    </row>
    <row r="190" spans="1:4">
      <c r="A190" s="9">
        <v>1978</v>
      </c>
      <c r="B190">
        <v>2.4350000000000001</v>
      </c>
      <c r="C190">
        <v>1</v>
      </c>
      <c r="D190">
        <v>0.41606633330562548</v>
      </c>
    </row>
    <row r="191" spans="1:4">
      <c r="A191" s="9">
        <v>1980</v>
      </c>
      <c r="B191">
        <v>1.617</v>
      </c>
      <c r="C191">
        <v>1</v>
      </c>
      <c r="D191">
        <v>0.36872196283128361</v>
      </c>
    </row>
    <row r="192" spans="1:4">
      <c r="A192" s="9">
        <v>1984</v>
      </c>
      <c r="B192">
        <v>2.0619999999999998</v>
      </c>
      <c r="C192">
        <v>1</v>
      </c>
      <c r="D192">
        <v>0.39884568066136095</v>
      </c>
    </row>
    <row r="193" spans="1:4">
      <c r="A193" s="9">
        <v>1988</v>
      </c>
      <c r="B193">
        <v>1.306</v>
      </c>
      <c r="C193">
        <v>1</v>
      </c>
      <c r="D193">
        <v>0.33914007211748398</v>
      </c>
    </row>
    <row r="194" spans="1:4">
      <c r="A194" s="9">
        <v>1996</v>
      </c>
      <c r="B194">
        <v>1.619</v>
      </c>
      <c r="C194">
        <v>1</v>
      </c>
      <c r="D194">
        <v>0.36888645372497103</v>
      </c>
    </row>
    <row r="195" spans="1:4">
      <c r="A195" s="9">
        <v>1998</v>
      </c>
      <c r="B195">
        <v>4.101</v>
      </c>
      <c r="C195">
        <v>3</v>
      </c>
      <c r="D195">
        <v>0.64320015750485005</v>
      </c>
    </row>
    <row r="196" spans="1:4">
      <c r="A196" s="9">
        <v>2003</v>
      </c>
      <c r="B196">
        <v>0.72599999999999998</v>
      </c>
      <c r="C196">
        <v>1</v>
      </c>
      <c r="D196">
        <v>0.25457712397112897</v>
      </c>
    </row>
  </sheetData>
  <pageMargins left="0.78749999999999998" right="0.78749999999999998" top="1.0527777777777778" bottom="1.0527777777777778" header="0.78749999999999998" footer="0.78749999999999998"/>
  <pageSetup firstPageNumber="0" orientation="portrait" horizontalDpi="300" verticalDpi="300"/>
  <headerFooter alignWithMargins="0">
    <oddHeader>&amp;C&amp;"Times New Roman,Regular"&amp;12&amp;A</oddHeader>
    <oddFooter>&amp;C&amp;"Times New Roman,Regular"&amp;12Page &amp;P</oddFooter>
  </headerFooter>
</worksheet>
</file>

<file path=xl/worksheets/sheet13.xml><?xml version="1.0" encoding="utf-8"?>
<worksheet xmlns="http://schemas.openxmlformats.org/spreadsheetml/2006/main" xmlns:r="http://schemas.openxmlformats.org/officeDocument/2006/relationships">
  <dimension ref="A1:Y197"/>
  <sheetViews>
    <sheetView workbookViewId="0">
      <selection activeCell="B21" sqref="B21"/>
    </sheetView>
  </sheetViews>
  <sheetFormatPr defaultRowHeight="12.75"/>
  <cols>
    <col min="1" max="1" width="9.140625" style="53"/>
    <col min="2" max="2" width="9.140625" style="16"/>
    <col min="3" max="3" width="9.140625" style="65"/>
    <col min="6" max="6" width="9.140625" style="66"/>
    <col min="7" max="7" width="9.140625" style="16"/>
    <col min="8" max="8" width="9.140625" style="65"/>
    <col min="14" max="14" width="24.28515625" bestFit="1" customWidth="1"/>
    <col min="15" max="15" width="19.28515625" bestFit="1" customWidth="1"/>
    <col min="16" max="16" width="11" customWidth="1"/>
    <col min="17" max="17" width="17.42578125" bestFit="1" customWidth="1"/>
    <col min="18" max="22" width="17.42578125" customWidth="1"/>
    <col min="23" max="23" width="31.140625" style="68" customWidth="1"/>
    <col min="24" max="24" width="28.7109375" customWidth="1"/>
  </cols>
  <sheetData>
    <row r="1" spans="1:25" ht="63.75">
      <c r="A1" s="47" t="s">
        <v>42</v>
      </c>
      <c r="B1" s="48" t="s">
        <v>38</v>
      </c>
      <c r="C1" s="49" t="s">
        <v>65</v>
      </c>
      <c r="D1" s="50"/>
      <c r="E1" s="50"/>
      <c r="F1" s="47" t="s">
        <v>42</v>
      </c>
      <c r="G1" s="48" t="s">
        <v>62</v>
      </c>
      <c r="H1" s="49" t="s">
        <v>66</v>
      </c>
      <c r="K1" s="51" t="s">
        <v>67</v>
      </c>
      <c r="L1" s="36" t="s">
        <v>68</v>
      </c>
      <c r="N1" s="69" t="s">
        <v>75</v>
      </c>
      <c r="O1" s="69" t="s">
        <v>74</v>
      </c>
      <c r="P1" s="69" t="s">
        <v>76</v>
      </c>
      <c r="Q1" s="69" t="s">
        <v>77</v>
      </c>
      <c r="R1" s="69"/>
      <c r="S1" s="69"/>
      <c r="T1" s="69"/>
      <c r="U1" s="69"/>
      <c r="V1" s="69"/>
      <c r="W1" s="52" t="s">
        <v>71</v>
      </c>
      <c r="X1" s="52" t="s">
        <v>72</v>
      </c>
      <c r="Y1" s="52"/>
    </row>
    <row r="2" spans="1:25">
      <c r="A2" s="53">
        <v>998</v>
      </c>
      <c r="B2" s="16">
        <v>7.5449999999999999</v>
      </c>
      <c r="C2" s="54">
        <v>0.74739090916744577</v>
      </c>
      <c r="F2" s="53">
        <v>998</v>
      </c>
      <c r="G2" s="16">
        <v>3</v>
      </c>
      <c r="H2" s="16">
        <v>0.64426492624102893</v>
      </c>
      <c r="K2">
        <v>0.56000000000000005</v>
      </c>
      <c r="L2" s="4">
        <f>C2*H2*(10^(((-LN(C2)^-$K$2)+(-LN(H2)^-$K$2))^-(1/$K$2)))</f>
        <v>0.60975885874013303</v>
      </c>
      <c r="N2">
        <f>EXP(-(((-LN(C2)^$P$2)+(-LN(H2))^$P$2)^(1/$P$2)))</f>
        <v>0.63031868644951861</v>
      </c>
      <c r="O2">
        <f>CORREL(B2:B196,G2:G196)</f>
        <v>0.9322859343512333</v>
      </c>
      <c r="P2">
        <f>1/(SQRT(1-O2))</f>
        <v>3.8429130206263085</v>
      </c>
      <c r="Q2" s="55">
        <f>5.16/(1-N2)</f>
        <v>13.957968149492043</v>
      </c>
      <c r="R2" s="55">
        <f>5.16/(1-C2-H2+N2)</f>
        <v>21.620457383678083</v>
      </c>
      <c r="S2" s="55"/>
      <c r="T2" s="55"/>
      <c r="U2" s="55"/>
      <c r="V2" s="55"/>
      <c r="W2" s="55">
        <f t="shared" ref="W2:W33" si="0">5.16/(1-L2)</f>
        <v>13.222593556746199</v>
      </c>
      <c r="X2" s="55">
        <f>5.16/(1-C2-H2+L2)</f>
        <v>23.658544119094795</v>
      </c>
      <c r="Y2" s="55"/>
    </row>
    <row r="3" spans="1:25">
      <c r="A3" s="53">
        <v>1003</v>
      </c>
      <c r="B3" s="16">
        <v>28.51</v>
      </c>
      <c r="C3" s="54">
        <v>0.98524602841973075</v>
      </c>
      <c r="F3" s="53">
        <v>1003</v>
      </c>
      <c r="G3" s="16">
        <v>14</v>
      </c>
      <c r="H3" s="16">
        <v>0.99195996626576743</v>
      </c>
      <c r="L3" s="4">
        <f t="shared" ref="L3:L66" si="1">C3*H3*(10^(((-LN(C3)^-$K$2)+(-LN(H3)^-$K$2))^-(1/$K$2)))</f>
        <v>0.98431572633049469</v>
      </c>
      <c r="N3">
        <f t="shared" ref="N3:N66" si="2">EXP(-(((-LN(C3)^$P$2)+(-LN(H3))^$P$2)^(1/$P$2)))</f>
        <v>0.98489344329922579</v>
      </c>
      <c r="Q3" s="55">
        <f t="shared" ref="Q3:Q66" si="3">5.16/(1-N3)</f>
        <v>341.57353672366321</v>
      </c>
      <c r="R3" s="55">
        <f t="shared" ref="R3:R66" si="4">5.16/(1-C3-H3+N3)</f>
        <v>671.22399892022679</v>
      </c>
      <c r="S3" s="55"/>
      <c r="T3" s="55"/>
      <c r="U3" s="55"/>
      <c r="V3" s="55"/>
      <c r="W3" s="55">
        <f t="shared" si="0"/>
        <v>328.99196409920518</v>
      </c>
      <c r="X3" s="55">
        <f t="shared" ref="X3:X66" si="5">5.16/(1-C3-H3+L3)</f>
        <v>725.76578943473385</v>
      </c>
      <c r="Y3" s="55"/>
    </row>
    <row r="4" spans="1:25">
      <c r="A4" s="53">
        <v>1020</v>
      </c>
      <c r="B4" s="16">
        <v>8.3949999999999996</v>
      </c>
      <c r="C4" s="54">
        <v>0.77688831265051084</v>
      </c>
      <c r="F4" s="53">
        <v>1020</v>
      </c>
      <c r="G4" s="16">
        <v>6</v>
      </c>
      <c r="H4" s="16">
        <v>0.87345255729769944</v>
      </c>
      <c r="L4" s="4">
        <f t="shared" si="1"/>
        <v>0.76518845270280289</v>
      </c>
      <c r="N4">
        <f t="shared" si="2"/>
        <v>0.77240585280763285</v>
      </c>
      <c r="Q4" s="55">
        <f t="shared" si="3"/>
        <v>22.671936267494015</v>
      </c>
      <c r="R4" s="55">
        <f t="shared" si="4"/>
        <v>42.272565637784659</v>
      </c>
      <c r="S4" s="55"/>
      <c r="T4" s="55"/>
      <c r="U4" s="55"/>
      <c r="V4" s="55"/>
      <c r="W4" s="55">
        <f t="shared" si="0"/>
        <v>21.975069196529219</v>
      </c>
      <c r="X4" s="55">
        <f t="shared" si="5"/>
        <v>44.9291127966179</v>
      </c>
      <c r="Y4" s="55"/>
    </row>
    <row r="5" spans="1:25">
      <c r="A5" s="53">
        <v>1028</v>
      </c>
      <c r="B5" s="16">
        <v>1.9140000000000001</v>
      </c>
      <c r="C5" s="54">
        <v>0.37856346668335744</v>
      </c>
      <c r="F5" s="53">
        <v>1028</v>
      </c>
      <c r="G5" s="16">
        <v>2</v>
      </c>
      <c r="H5" s="16">
        <v>0.49794519904525303</v>
      </c>
      <c r="L5" s="4">
        <f t="shared" si="1"/>
        <v>0.32522614474056466</v>
      </c>
      <c r="N5">
        <f t="shared" si="2"/>
        <v>0.35495945576359106</v>
      </c>
      <c r="Q5" s="55">
        <f t="shared" si="3"/>
        <v>7.9994971573582943</v>
      </c>
      <c r="R5" s="55">
        <f t="shared" si="4"/>
        <v>10.784808192338321</v>
      </c>
      <c r="S5" s="55"/>
      <c r="T5" s="55"/>
      <c r="U5" s="55"/>
      <c r="V5" s="55"/>
      <c r="W5" s="55">
        <f t="shared" si="0"/>
        <v>7.6470064152323989</v>
      </c>
      <c r="X5" s="55">
        <f t="shared" si="5"/>
        <v>11.499440608736649</v>
      </c>
      <c r="Y5" s="55"/>
    </row>
    <row r="6" spans="1:25">
      <c r="A6" s="53">
        <v>1032</v>
      </c>
      <c r="B6" s="16">
        <v>5.3760000000000003</v>
      </c>
      <c r="C6" s="54">
        <v>0.65000774993500254</v>
      </c>
      <c r="F6" s="53">
        <v>1032</v>
      </c>
      <c r="G6" s="16">
        <v>5</v>
      </c>
      <c r="H6" s="16">
        <v>0.82140149835131759</v>
      </c>
      <c r="L6" s="4">
        <f t="shared" si="1"/>
        <v>0.64325482876658735</v>
      </c>
      <c r="N6">
        <f t="shared" si="2"/>
        <v>0.64649497990292659</v>
      </c>
      <c r="Q6" s="55">
        <f t="shared" si="3"/>
        <v>14.596680970988901</v>
      </c>
      <c r="R6" s="55">
        <f t="shared" si="4"/>
        <v>29.471276456148335</v>
      </c>
      <c r="S6" s="55"/>
      <c r="T6" s="55"/>
      <c r="U6" s="55"/>
      <c r="V6" s="55"/>
      <c r="W6" s="55">
        <f t="shared" si="0"/>
        <v>14.46410607930526</v>
      </c>
      <c r="X6" s="55">
        <f t="shared" si="5"/>
        <v>30.026957839585034</v>
      </c>
      <c r="Y6" s="55"/>
    </row>
    <row r="7" spans="1:25">
      <c r="A7" s="53">
        <v>1038</v>
      </c>
      <c r="B7" s="16">
        <v>15.449</v>
      </c>
      <c r="C7" s="54">
        <v>0.91679563819425769</v>
      </c>
      <c r="F7" s="53">
        <v>1038</v>
      </c>
      <c r="G7" s="16">
        <v>8</v>
      </c>
      <c r="H7" s="16">
        <v>0.93646624884276419</v>
      </c>
      <c r="L7" s="4">
        <f t="shared" si="1"/>
        <v>0.90270577096208504</v>
      </c>
      <c r="N7">
        <f t="shared" si="2"/>
        <v>0.91050360981227851</v>
      </c>
      <c r="Q7" s="55">
        <f t="shared" si="3"/>
        <v>57.655956728274049</v>
      </c>
      <c r="R7" s="55">
        <f t="shared" si="4"/>
        <v>90.14403742283011</v>
      </c>
      <c r="S7" s="55"/>
      <c r="T7" s="55"/>
      <c r="U7" s="55"/>
      <c r="V7" s="55"/>
      <c r="W7" s="55">
        <f t="shared" si="0"/>
        <v>53.035005786305987</v>
      </c>
      <c r="X7" s="55">
        <f t="shared" si="5"/>
        <v>104.36073363129125</v>
      </c>
      <c r="Y7" s="55"/>
    </row>
    <row r="8" spans="1:25">
      <c r="A8" s="53">
        <v>1047</v>
      </c>
      <c r="B8" s="16">
        <v>7.4139999999999997</v>
      </c>
      <c r="C8" s="54">
        <v>0.74247045493446051</v>
      </c>
      <c r="F8" s="53">
        <v>1047</v>
      </c>
      <c r="G8" s="16">
        <v>5</v>
      </c>
      <c r="H8" s="16">
        <v>0.82140149835131759</v>
      </c>
      <c r="L8" s="4">
        <f t="shared" si="1"/>
        <v>0.71548051272725322</v>
      </c>
      <c r="N8">
        <f t="shared" si="2"/>
        <v>0.73163789487752873</v>
      </c>
      <c r="Q8" s="55">
        <f t="shared" si="3"/>
        <v>19.227751986984725</v>
      </c>
      <c r="R8" s="55">
        <f t="shared" si="4"/>
        <v>30.757136705116121</v>
      </c>
      <c r="S8" s="55"/>
      <c r="T8" s="55"/>
      <c r="U8" s="55"/>
      <c r="V8" s="55"/>
      <c r="W8" s="55">
        <f t="shared" si="0"/>
        <v>18.135840358286277</v>
      </c>
      <c r="X8" s="55">
        <f t="shared" si="5"/>
        <v>34.03501767320661</v>
      </c>
      <c r="Y8" s="55"/>
    </row>
    <row r="9" spans="1:25">
      <c r="A9" s="53">
        <v>1057</v>
      </c>
      <c r="B9" s="16">
        <v>0.74</v>
      </c>
      <c r="C9" s="54">
        <v>0.21154021386316202</v>
      </c>
      <c r="F9" s="53">
        <v>1057</v>
      </c>
      <c r="G9" s="16">
        <v>1</v>
      </c>
      <c r="H9" s="16">
        <v>0.29144174484044927</v>
      </c>
      <c r="L9" s="4">
        <f t="shared" si="1"/>
        <v>0.15481757687074757</v>
      </c>
      <c r="N9">
        <f t="shared" si="2"/>
        <v>0.18284668488408809</v>
      </c>
      <c r="Q9" s="55">
        <f t="shared" si="3"/>
        <v>6.3146044989954699</v>
      </c>
      <c r="R9" s="55">
        <f t="shared" si="4"/>
        <v>7.5897451379617946</v>
      </c>
      <c r="S9" s="55"/>
      <c r="T9" s="55"/>
      <c r="U9" s="55"/>
      <c r="V9" s="55"/>
      <c r="W9" s="55">
        <f t="shared" si="0"/>
        <v>6.1051908544137925</v>
      </c>
      <c r="X9" s="55">
        <f t="shared" si="5"/>
        <v>7.916106233208219</v>
      </c>
      <c r="Y9" s="55"/>
    </row>
    <row r="10" spans="1:25">
      <c r="A10" s="53">
        <v>1061</v>
      </c>
      <c r="B10" s="16">
        <v>9.1349999999999998</v>
      </c>
      <c r="C10" s="54">
        <v>0.79949573246099415</v>
      </c>
      <c r="F10" s="53">
        <v>1061</v>
      </c>
      <c r="G10" s="16">
        <v>3</v>
      </c>
      <c r="H10" s="16">
        <v>0.64426492624102893</v>
      </c>
      <c r="L10" s="4">
        <f t="shared" si="1"/>
        <v>0.63097154236172071</v>
      </c>
      <c r="N10">
        <f t="shared" si="2"/>
        <v>0.63893212700278645</v>
      </c>
      <c r="Q10" s="55">
        <f t="shared" si="3"/>
        <v>14.290941913959266</v>
      </c>
      <c r="R10" s="55">
        <f t="shared" si="4"/>
        <v>26.43829062170261</v>
      </c>
      <c r="S10" s="55"/>
      <c r="T10" s="55"/>
      <c r="U10" s="55"/>
      <c r="V10" s="55"/>
      <c r="W10" s="55">
        <f t="shared" si="0"/>
        <v>13.982661480968545</v>
      </c>
      <c r="X10" s="55">
        <f t="shared" si="5"/>
        <v>27.56250010218201</v>
      </c>
      <c r="Y10" s="55"/>
    </row>
    <row r="11" spans="1:25">
      <c r="A11" s="53">
        <v>1066</v>
      </c>
      <c r="B11" s="16">
        <v>0.13200000000000001</v>
      </c>
      <c r="C11" s="54">
        <v>6.8612905550512013E-2</v>
      </c>
      <c r="F11" s="53">
        <v>1066</v>
      </c>
      <c r="G11" s="16">
        <v>1</v>
      </c>
      <c r="H11" s="16">
        <v>0.29144174484044927</v>
      </c>
      <c r="L11" s="4">
        <f t="shared" si="1"/>
        <v>6.4045824927750447E-2</v>
      </c>
      <c r="N11">
        <f t="shared" si="2"/>
        <v>6.627465290852233E-2</v>
      </c>
      <c r="Q11" s="55">
        <f t="shared" si="3"/>
        <v>5.5262503219744676</v>
      </c>
      <c r="R11" s="55">
        <f t="shared" si="4"/>
        <v>7.3065050290354678</v>
      </c>
      <c r="S11" s="55"/>
      <c r="T11" s="55"/>
      <c r="U11" s="55"/>
      <c r="V11" s="55"/>
      <c r="W11" s="55">
        <f t="shared" si="0"/>
        <v>5.5130904241136403</v>
      </c>
      <c r="X11" s="55">
        <f t="shared" si="5"/>
        <v>7.3296373401203043</v>
      </c>
      <c r="Y11" s="55"/>
    </row>
    <row r="12" spans="1:25">
      <c r="A12" s="53">
        <v>1069</v>
      </c>
      <c r="B12" s="16">
        <v>25.858999999999998</v>
      </c>
      <c r="C12" s="54">
        <v>0.97915881599709009</v>
      </c>
      <c r="F12" s="53">
        <v>1069</v>
      </c>
      <c r="G12" s="16">
        <v>14</v>
      </c>
      <c r="H12" s="16">
        <v>0.99195996626576743</v>
      </c>
      <c r="L12" s="4">
        <f t="shared" si="1"/>
        <v>0.97925538236051912</v>
      </c>
      <c r="N12">
        <f t="shared" si="2"/>
        <v>0.97902541158679057</v>
      </c>
      <c r="Q12" s="55">
        <f t="shared" si="3"/>
        <v>246.01197879765417</v>
      </c>
      <c r="R12" s="55">
        <f t="shared" si="4"/>
        <v>652.61691026552739</v>
      </c>
      <c r="S12" s="55"/>
      <c r="T12" s="55"/>
      <c r="U12" s="55"/>
      <c r="V12" s="55"/>
      <c r="W12" s="55">
        <f t="shared" si="0"/>
        <v>248.73921947732396</v>
      </c>
      <c r="X12" s="55">
        <f t="shared" si="5"/>
        <v>634.17151366243866</v>
      </c>
      <c r="Y12" s="55"/>
    </row>
    <row r="13" spans="1:25">
      <c r="A13" s="53">
        <v>1085</v>
      </c>
      <c r="B13" s="16">
        <v>4.4809999999999999</v>
      </c>
      <c r="C13" s="54">
        <v>0.59746477055749392</v>
      </c>
      <c r="F13" s="53">
        <v>1085</v>
      </c>
      <c r="G13" s="16">
        <v>2</v>
      </c>
      <c r="H13" s="16">
        <v>0.49794519904525303</v>
      </c>
      <c r="L13" s="4">
        <f t="shared" si="1"/>
        <v>0.44278453227300862</v>
      </c>
      <c r="N13">
        <f t="shared" si="2"/>
        <v>0.4731437970291108</v>
      </c>
      <c r="Q13" s="55">
        <f t="shared" si="3"/>
        <v>9.7939437191842451</v>
      </c>
      <c r="R13" s="55">
        <f t="shared" si="4"/>
        <v>13.660412770433965</v>
      </c>
      <c r="S13" s="55"/>
      <c r="T13" s="55"/>
      <c r="U13" s="55"/>
      <c r="V13" s="55"/>
      <c r="W13" s="55">
        <f t="shared" si="0"/>
        <v>9.2603315931785133</v>
      </c>
      <c r="X13" s="55">
        <f t="shared" si="5"/>
        <v>14.854282824669653</v>
      </c>
      <c r="Y13" s="55"/>
    </row>
    <row r="14" spans="1:25">
      <c r="A14" s="53">
        <v>1089</v>
      </c>
      <c r="B14" s="16">
        <v>6.7920000000000007</v>
      </c>
      <c r="C14" s="54">
        <v>0.71759015696506157</v>
      </c>
      <c r="F14" s="53">
        <v>1089</v>
      </c>
      <c r="G14" s="16">
        <v>4</v>
      </c>
      <c r="H14" s="16">
        <v>0.74794097683828942</v>
      </c>
      <c r="L14" s="4">
        <f t="shared" si="1"/>
        <v>0.66019688719936809</v>
      </c>
      <c r="N14">
        <f t="shared" si="2"/>
        <v>0.68730794210139301</v>
      </c>
      <c r="Q14" s="55">
        <f t="shared" si="3"/>
        <v>16.50185820093062</v>
      </c>
      <c r="R14" s="55">
        <f t="shared" si="4"/>
        <v>23.266634773937071</v>
      </c>
      <c r="S14" s="55"/>
      <c r="T14" s="55"/>
      <c r="U14" s="55"/>
      <c r="V14" s="55"/>
      <c r="W14" s="55">
        <f t="shared" si="0"/>
        <v>15.185264070925264</v>
      </c>
      <c r="X14" s="55">
        <f t="shared" si="5"/>
        <v>26.506973671443816</v>
      </c>
      <c r="Y14" s="55"/>
    </row>
    <row r="15" spans="1:25">
      <c r="A15" s="53">
        <v>1099</v>
      </c>
      <c r="B15" s="16">
        <v>4.9400000000000004</v>
      </c>
      <c r="C15" s="54">
        <v>0.62551153137887217</v>
      </c>
      <c r="F15" s="53">
        <v>1099</v>
      </c>
      <c r="G15" s="16">
        <v>3</v>
      </c>
      <c r="H15" s="16">
        <v>0.64426492624102893</v>
      </c>
      <c r="L15" s="4">
        <f t="shared" si="1"/>
        <v>0.54574070370198835</v>
      </c>
      <c r="N15">
        <f t="shared" si="2"/>
        <v>0.57981213532355524</v>
      </c>
      <c r="Q15" s="55">
        <f t="shared" si="3"/>
        <v>12.280221381389323</v>
      </c>
      <c r="R15" s="55">
        <f t="shared" si="4"/>
        <v>16.643245829701435</v>
      </c>
      <c r="S15" s="55"/>
      <c r="T15" s="55"/>
      <c r="U15" s="55"/>
      <c r="V15" s="55"/>
      <c r="W15" s="55">
        <f t="shared" si="0"/>
        <v>11.359151132517145</v>
      </c>
      <c r="X15" s="55">
        <f t="shared" si="5"/>
        <v>18.698074381944124</v>
      </c>
      <c r="Y15" s="55"/>
    </row>
    <row r="16" spans="1:25">
      <c r="A16" s="53">
        <v>1103</v>
      </c>
      <c r="B16" s="16">
        <v>6.0030000000000001</v>
      </c>
      <c r="C16" s="54">
        <v>0.682007863853616</v>
      </c>
      <c r="F16" s="53">
        <v>1103</v>
      </c>
      <c r="G16" s="16">
        <v>2</v>
      </c>
      <c r="H16" s="16">
        <v>0.49794519904525303</v>
      </c>
      <c r="L16" s="4">
        <f t="shared" si="1"/>
        <v>0.47542898089528729</v>
      </c>
      <c r="N16">
        <f t="shared" si="2"/>
        <v>0.48932457069518709</v>
      </c>
      <c r="Q16" s="55">
        <f t="shared" si="3"/>
        <v>10.104265261057018</v>
      </c>
      <c r="R16" s="55">
        <f t="shared" si="4"/>
        <v>16.678976149921365</v>
      </c>
      <c r="S16" s="55"/>
      <c r="T16" s="55"/>
      <c r="U16" s="55"/>
      <c r="V16" s="55"/>
      <c r="W16" s="55">
        <f t="shared" si="0"/>
        <v>9.8366089853888443</v>
      </c>
      <c r="X16" s="55">
        <f t="shared" si="5"/>
        <v>17.463352123547846</v>
      </c>
      <c r="Y16" s="55"/>
    </row>
    <row r="17" spans="1:25">
      <c r="A17" s="53">
        <v>1107</v>
      </c>
      <c r="B17" s="16">
        <v>12.244</v>
      </c>
      <c r="C17" s="54">
        <v>0.87073537268732415</v>
      </c>
      <c r="F17" s="53">
        <v>1107</v>
      </c>
      <c r="G17" s="16">
        <v>6</v>
      </c>
      <c r="H17" s="16">
        <v>0.87345255729769944</v>
      </c>
      <c r="L17" s="4">
        <f t="shared" si="1"/>
        <v>0.83332637047780467</v>
      </c>
      <c r="N17">
        <f t="shared" si="2"/>
        <v>0.84879192265388514</v>
      </c>
      <c r="Q17" s="55">
        <f t="shared" si="3"/>
        <v>34.125161106233598</v>
      </c>
      <c r="R17" s="55">
        <f t="shared" si="4"/>
        <v>49.328901013699308</v>
      </c>
      <c r="S17" s="55"/>
      <c r="T17" s="55"/>
      <c r="U17" s="55"/>
      <c r="V17" s="55"/>
      <c r="W17" s="55">
        <f t="shared" si="0"/>
        <v>30.958706633990118</v>
      </c>
      <c r="X17" s="55">
        <f t="shared" si="5"/>
        <v>57.887483463634133</v>
      </c>
      <c r="Y17" s="55"/>
    </row>
    <row r="18" spans="1:25">
      <c r="A18" s="53">
        <v>1115</v>
      </c>
      <c r="B18" s="16">
        <v>9.0009999999999994</v>
      </c>
      <c r="C18" s="54">
        <v>0.79559524815672289</v>
      </c>
      <c r="F18" s="53">
        <v>1115</v>
      </c>
      <c r="G18" s="16">
        <v>5</v>
      </c>
      <c r="H18" s="16">
        <v>0.82140149835131759</v>
      </c>
      <c r="L18" s="4">
        <f t="shared" si="1"/>
        <v>0.75277907072378403</v>
      </c>
      <c r="N18">
        <f t="shared" si="2"/>
        <v>0.77355015702066654</v>
      </c>
      <c r="Q18" s="55">
        <f t="shared" si="3"/>
        <v>22.786502883426234</v>
      </c>
      <c r="R18" s="55">
        <f t="shared" si="4"/>
        <v>32.959997377916245</v>
      </c>
      <c r="S18" s="55"/>
      <c r="T18" s="55"/>
      <c r="U18" s="55"/>
      <c r="V18" s="55"/>
      <c r="W18" s="55">
        <f t="shared" si="0"/>
        <v>20.872019270807023</v>
      </c>
      <c r="X18" s="55">
        <f t="shared" si="5"/>
        <v>38.002000848072932</v>
      </c>
      <c r="Y18" s="55"/>
    </row>
    <row r="19" spans="1:25">
      <c r="A19" s="53">
        <v>1121</v>
      </c>
      <c r="B19" s="16">
        <v>36.018000000000001</v>
      </c>
      <c r="C19" s="54">
        <v>0.99439852683438024</v>
      </c>
      <c r="F19" s="53">
        <v>1121</v>
      </c>
      <c r="G19" s="16">
        <v>14</v>
      </c>
      <c r="H19" s="16">
        <v>0.99195996626576743</v>
      </c>
      <c r="L19" s="4">
        <f t="shared" si="1"/>
        <v>0.99080866576364435</v>
      </c>
      <c r="N19">
        <f t="shared" si="2"/>
        <v>0.99148453962322047</v>
      </c>
      <c r="Q19" s="55">
        <f t="shared" si="3"/>
        <v>605.9566684228372</v>
      </c>
      <c r="R19" s="55">
        <f t="shared" si="4"/>
        <v>1006.623716108383</v>
      </c>
      <c r="S19" s="55"/>
      <c r="T19" s="55"/>
      <c r="U19" s="55"/>
      <c r="V19" s="55"/>
      <c r="W19" s="55">
        <f t="shared" si="0"/>
        <v>561.39836364452901</v>
      </c>
      <c r="X19" s="55">
        <f t="shared" si="5"/>
        <v>1159.5055720704518</v>
      </c>
      <c r="Y19" s="55"/>
    </row>
    <row r="20" spans="1:25">
      <c r="A20" s="53">
        <v>1137</v>
      </c>
      <c r="B20" s="16">
        <v>16.382999999999999</v>
      </c>
      <c r="C20" s="54">
        <v>0.92669803007430551</v>
      </c>
      <c r="F20" s="53">
        <v>1137</v>
      </c>
      <c r="G20" s="16">
        <v>10</v>
      </c>
      <c r="H20" s="16">
        <v>0.96810257520884557</v>
      </c>
      <c r="L20" s="4">
        <f t="shared" si="1"/>
        <v>0.92588612896781808</v>
      </c>
      <c r="N20">
        <f t="shared" si="2"/>
        <v>0.92601743763313926</v>
      </c>
      <c r="Q20" s="55">
        <f t="shared" si="3"/>
        <v>69.746164973482138</v>
      </c>
      <c r="R20" s="55">
        <f t="shared" si="4"/>
        <v>165.29543876036334</v>
      </c>
      <c r="S20" s="55"/>
      <c r="T20" s="55"/>
      <c r="U20" s="55"/>
      <c r="V20" s="55"/>
      <c r="W20" s="55">
        <f t="shared" si="0"/>
        <v>69.622594638990194</v>
      </c>
      <c r="X20" s="55">
        <f t="shared" si="5"/>
        <v>165.99366484358706</v>
      </c>
      <c r="Y20" s="55"/>
    </row>
    <row r="21" spans="1:25">
      <c r="A21" s="53">
        <v>1148</v>
      </c>
      <c r="B21" s="16">
        <v>34.043000000000006</v>
      </c>
      <c r="C21" s="54">
        <v>0.99278188692576441</v>
      </c>
      <c r="F21" s="53">
        <v>1148</v>
      </c>
      <c r="G21" s="16">
        <v>17</v>
      </c>
      <c r="H21" s="16">
        <v>0.99713987800652815</v>
      </c>
      <c r="L21" s="4">
        <f t="shared" si="1"/>
        <v>0.99278365716592787</v>
      </c>
      <c r="N21">
        <f t="shared" si="2"/>
        <v>0.99272952294890349</v>
      </c>
      <c r="Q21" s="55">
        <f t="shared" si="3"/>
        <v>709.71959112666252</v>
      </c>
      <c r="R21" s="55">
        <f t="shared" si="4"/>
        <v>1837.7652096345248</v>
      </c>
      <c r="S21" s="55"/>
      <c r="T21" s="55"/>
      <c r="U21" s="55"/>
      <c r="V21" s="55"/>
      <c r="W21" s="55">
        <f t="shared" si="0"/>
        <v>715.04363340900875</v>
      </c>
      <c r="X21" s="55">
        <f t="shared" si="5"/>
        <v>1803.0029011419222</v>
      </c>
      <c r="Y21" s="55"/>
    </row>
    <row r="22" spans="1:25">
      <c r="A22" s="53">
        <v>1167</v>
      </c>
      <c r="B22" s="16">
        <v>0.755</v>
      </c>
      <c r="C22" s="54">
        <v>0.21425135883853419</v>
      </c>
      <c r="F22" s="53">
        <v>1167</v>
      </c>
      <c r="G22" s="16">
        <v>1</v>
      </c>
      <c r="H22" s="16">
        <v>0.29144174484044927</v>
      </c>
      <c r="L22" s="4">
        <f t="shared" si="1"/>
        <v>0.1562472565980503</v>
      </c>
      <c r="N22">
        <f t="shared" si="2"/>
        <v>0.18465378656741308</v>
      </c>
      <c r="Q22" s="55">
        <f t="shared" si="3"/>
        <v>6.3285999431781628</v>
      </c>
      <c r="R22" s="55">
        <f t="shared" si="4"/>
        <v>7.5998509634583931</v>
      </c>
      <c r="S22" s="55"/>
      <c r="T22" s="55"/>
      <c r="U22" s="55"/>
      <c r="V22" s="55"/>
      <c r="W22" s="55">
        <f t="shared" si="0"/>
        <v>6.1155356712622408</v>
      </c>
      <c r="X22" s="55">
        <f t="shared" si="5"/>
        <v>7.9316994240169549</v>
      </c>
      <c r="Y22" s="55"/>
    </row>
    <row r="23" spans="1:25">
      <c r="A23" s="53">
        <v>1181</v>
      </c>
      <c r="B23" s="16">
        <v>0.67600000000000005</v>
      </c>
      <c r="C23" s="54">
        <v>0.19970544831653314</v>
      </c>
      <c r="F23" s="53">
        <v>1181</v>
      </c>
      <c r="G23" s="16">
        <v>1</v>
      </c>
      <c r="H23" s="16">
        <v>0.29144174484044927</v>
      </c>
      <c r="L23" s="4">
        <f t="shared" si="1"/>
        <v>0.14847188541324555</v>
      </c>
      <c r="N23">
        <f t="shared" si="2"/>
        <v>0.17475297570720069</v>
      </c>
      <c r="Q23" s="55">
        <f t="shared" si="3"/>
        <v>6.2526732579519386</v>
      </c>
      <c r="R23" s="55">
        <f t="shared" si="4"/>
        <v>7.5482099942900085</v>
      </c>
      <c r="S23" s="55"/>
      <c r="T23" s="55"/>
      <c r="U23" s="55"/>
      <c r="V23" s="55"/>
      <c r="W23" s="55">
        <f t="shared" si="0"/>
        <v>6.0596942268948357</v>
      </c>
      <c r="X23" s="55">
        <f t="shared" si="5"/>
        <v>7.8500017735349799</v>
      </c>
      <c r="Y23" s="55"/>
    </row>
    <row r="24" spans="1:25">
      <c r="A24" s="53">
        <v>1183</v>
      </c>
      <c r="B24" s="16">
        <v>7.6520000000000001</v>
      </c>
      <c r="C24" s="54">
        <v>0.7513320787850245</v>
      </c>
      <c r="F24" s="53">
        <v>1183</v>
      </c>
      <c r="G24" s="16">
        <v>5</v>
      </c>
      <c r="H24" s="16">
        <v>0.82140149835131759</v>
      </c>
      <c r="L24" s="4">
        <f t="shared" si="1"/>
        <v>0.72194924904303592</v>
      </c>
      <c r="N24">
        <f t="shared" si="2"/>
        <v>0.73916973460890623</v>
      </c>
      <c r="Q24" s="55">
        <f t="shared" si="3"/>
        <v>19.782980292808428</v>
      </c>
      <c r="R24" s="55">
        <f t="shared" si="4"/>
        <v>31.00287869149221</v>
      </c>
      <c r="S24" s="55"/>
      <c r="T24" s="55"/>
      <c r="U24" s="55"/>
      <c r="V24" s="55"/>
      <c r="W24" s="55">
        <f t="shared" si="0"/>
        <v>18.55776322214879</v>
      </c>
      <c r="X24" s="55">
        <f t="shared" si="5"/>
        <v>34.580818047226323</v>
      </c>
      <c r="Y24" s="55"/>
    </row>
    <row r="25" spans="1:25">
      <c r="A25" s="53">
        <v>1192</v>
      </c>
      <c r="B25" s="16">
        <v>4.5460000000000003</v>
      </c>
      <c r="C25" s="54">
        <v>0.60158786152202359</v>
      </c>
      <c r="F25" s="53">
        <v>1192</v>
      </c>
      <c r="G25" s="16">
        <v>4</v>
      </c>
      <c r="H25" s="16">
        <v>0.74794097683828942</v>
      </c>
      <c r="L25" s="4">
        <f t="shared" si="1"/>
        <v>0.57834245842343235</v>
      </c>
      <c r="N25">
        <f t="shared" si="2"/>
        <v>0.59276092663162372</v>
      </c>
      <c r="Q25" s="55">
        <f t="shared" si="3"/>
        <v>12.670689866078785</v>
      </c>
      <c r="R25" s="55">
        <f t="shared" si="4"/>
        <v>21.214306207182382</v>
      </c>
      <c r="S25" s="55"/>
      <c r="T25" s="55"/>
      <c r="U25" s="55"/>
      <c r="V25" s="55"/>
      <c r="W25" s="55">
        <f t="shared" si="0"/>
        <v>12.237418974428588</v>
      </c>
      <c r="X25" s="55">
        <f t="shared" si="5"/>
        <v>22.551105124671292</v>
      </c>
      <c r="Y25" s="55"/>
    </row>
    <row r="26" spans="1:25">
      <c r="A26" s="53">
        <v>1198</v>
      </c>
      <c r="B26" s="16">
        <v>16.47</v>
      </c>
      <c r="C26" s="54">
        <v>0.92755574736391644</v>
      </c>
      <c r="F26" s="53">
        <v>1198</v>
      </c>
      <c r="G26" s="16">
        <v>7</v>
      </c>
      <c r="H26" s="16">
        <v>0.91033376480395467</v>
      </c>
      <c r="L26" s="4">
        <f t="shared" si="1"/>
        <v>0.89296472493701373</v>
      </c>
      <c r="N26">
        <f t="shared" si="2"/>
        <v>0.90211069274725975</v>
      </c>
      <c r="Q26" s="55">
        <f t="shared" si="3"/>
        <v>52.712601047195115</v>
      </c>
      <c r="R26" s="55">
        <f t="shared" si="4"/>
        <v>80.347323942781401</v>
      </c>
      <c r="S26" s="55"/>
      <c r="T26" s="55"/>
      <c r="U26" s="55"/>
      <c r="V26" s="55"/>
      <c r="W26" s="55">
        <f t="shared" si="0"/>
        <v>48.208406032156525</v>
      </c>
      <c r="X26" s="55">
        <f t="shared" si="5"/>
        <v>93.69006020238254</v>
      </c>
      <c r="Y26" s="55"/>
    </row>
    <row r="27" spans="1:25">
      <c r="A27" s="53">
        <v>1207</v>
      </c>
      <c r="B27" s="16">
        <v>27.78</v>
      </c>
      <c r="C27" s="54">
        <v>0.98377717653592522</v>
      </c>
      <c r="F27" s="53">
        <v>1207</v>
      </c>
      <c r="G27" s="16">
        <v>11</v>
      </c>
      <c r="H27" s="16">
        <v>0.97739881634589665</v>
      </c>
      <c r="L27" s="4">
        <f t="shared" si="1"/>
        <v>0.97394180721745471</v>
      </c>
      <c r="N27">
        <f t="shared" si="2"/>
        <v>0.9759360150045141</v>
      </c>
      <c r="Q27" s="55">
        <f t="shared" si="3"/>
        <v>214.42832519085891</v>
      </c>
      <c r="R27" s="55">
        <f t="shared" si="4"/>
        <v>349.59297195543877</v>
      </c>
      <c r="S27" s="55"/>
      <c r="T27" s="55"/>
      <c r="U27" s="55"/>
      <c r="V27" s="55"/>
      <c r="W27" s="55">
        <f t="shared" si="0"/>
        <v>198.01833699903983</v>
      </c>
      <c r="X27" s="55">
        <f t="shared" si="5"/>
        <v>404.20453128454517</v>
      </c>
      <c r="Y27" s="55"/>
    </row>
    <row r="28" spans="1:25">
      <c r="A28" s="53">
        <v>1221</v>
      </c>
      <c r="B28" s="16">
        <v>13.637</v>
      </c>
      <c r="C28" s="54">
        <v>0.89339121168334945</v>
      </c>
      <c r="F28" s="53">
        <v>1221</v>
      </c>
      <c r="G28" s="16">
        <v>6</v>
      </c>
      <c r="H28" s="16">
        <v>0.87345255729769944</v>
      </c>
      <c r="L28" s="4">
        <f t="shared" si="1"/>
        <v>0.84726068958746092</v>
      </c>
      <c r="N28">
        <f t="shared" si="2"/>
        <v>0.86049211887509369</v>
      </c>
      <c r="Q28" s="55">
        <f t="shared" si="3"/>
        <v>36.987157703155646</v>
      </c>
      <c r="R28" s="55">
        <f t="shared" si="4"/>
        <v>55.09974287681635</v>
      </c>
      <c r="S28" s="55"/>
      <c r="T28" s="55"/>
      <c r="U28" s="55"/>
      <c r="V28" s="55"/>
      <c r="W28" s="55">
        <f t="shared" si="0"/>
        <v>33.783051567164804</v>
      </c>
      <c r="X28" s="55">
        <f t="shared" si="5"/>
        <v>64.16560048667877</v>
      </c>
      <c r="Y28" s="55"/>
    </row>
    <row r="29" spans="1:25">
      <c r="A29" s="53">
        <v>1229</v>
      </c>
      <c r="B29" s="16">
        <v>17.312000000000001</v>
      </c>
      <c r="C29" s="54">
        <v>0.93533789034335169</v>
      </c>
      <c r="F29" s="53">
        <v>1229</v>
      </c>
      <c r="G29" s="16">
        <v>6</v>
      </c>
      <c r="H29" s="16">
        <v>0.87345255729769944</v>
      </c>
      <c r="L29" s="4">
        <f t="shared" si="1"/>
        <v>0.86866699289186255</v>
      </c>
      <c r="N29">
        <f t="shared" si="2"/>
        <v>0.87145640174309513</v>
      </c>
      <c r="Q29" s="55">
        <f t="shared" si="3"/>
        <v>40.142022395291278</v>
      </c>
      <c r="R29" s="55">
        <f t="shared" si="4"/>
        <v>82.341361811830993</v>
      </c>
      <c r="S29" s="55"/>
      <c r="T29" s="55"/>
      <c r="U29" s="55"/>
      <c r="V29" s="55"/>
      <c r="W29" s="55">
        <f t="shared" si="0"/>
        <v>39.289437694450569</v>
      </c>
      <c r="X29" s="55">
        <f t="shared" si="5"/>
        <v>86.177316650213271</v>
      </c>
      <c r="Y29" s="55"/>
    </row>
    <row r="30" spans="1:25">
      <c r="A30" s="53">
        <v>1236</v>
      </c>
      <c r="B30" s="16">
        <v>19.756999999999998</v>
      </c>
      <c r="C30" s="54">
        <v>0.95339582369610631</v>
      </c>
      <c r="F30" s="53">
        <v>1236</v>
      </c>
      <c r="G30" s="16">
        <v>7</v>
      </c>
      <c r="H30" s="16">
        <v>0.91033376480395467</v>
      </c>
      <c r="L30" s="4">
        <f t="shared" si="1"/>
        <v>0.90632531782397818</v>
      </c>
      <c r="N30">
        <f t="shared" si="2"/>
        <v>0.90872987502361213</v>
      </c>
      <c r="Q30" s="55">
        <f t="shared" si="3"/>
        <v>56.535476436949367</v>
      </c>
      <c r="R30" s="55">
        <f t="shared" si="4"/>
        <v>114.6659365668591</v>
      </c>
      <c r="S30" s="55"/>
      <c r="T30" s="55"/>
      <c r="U30" s="55"/>
      <c r="V30" s="55"/>
      <c r="W30" s="55">
        <f t="shared" si="0"/>
        <v>55.084254145682287</v>
      </c>
      <c r="X30" s="55">
        <f t="shared" si="5"/>
        <v>121.13890481275777</v>
      </c>
      <c r="Y30" s="55"/>
    </row>
    <row r="31" spans="1:25">
      <c r="A31" s="53">
        <v>1244</v>
      </c>
      <c r="B31" s="16">
        <v>12.442000000000002</v>
      </c>
      <c r="C31" s="54">
        <v>0.87424396450369057</v>
      </c>
      <c r="F31" s="53">
        <v>1244</v>
      </c>
      <c r="G31" s="16">
        <v>8</v>
      </c>
      <c r="H31" s="16">
        <v>0.93646624884276419</v>
      </c>
      <c r="L31" s="4">
        <f t="shared" si="1"/>
        <v>0.86978253016875384</v>
      </c>
      <c r="N31">
        <f t="shared" si="2"/>
        <v>0.872343027703263</v>
      </c>
      <c r="Q31" s="55">
        <f t="shared" si="3"/>
        <v>40.420823924960764</v>
      </c>
      <c r="R31" s="55">
        <f t="shared" si="4"/>
        <v>83.721635201135413</v>
      </c>
      <c r="S31" s="55"/>
      <c r="T31" s="55"/>
      <c r="U31" s="55"/>
      <c r="V31" s="55"/>
      <c r="W31" s="55">
        <f t="shared" si="0"/>
        <v>39.626019509417922</v>
      </c>
      <c r="X31" s="55">
        <f t="shared" si="5"/>
        <v>87.350560763043632</v>
      </c>
      <c r="Y31" s="55"/>
    </row>
    <row r="32" spans="1:25">
      <c r="A32" s="53">
        <v>1254</v>
      </c>
      <c r="B32" s="16">
        <v>10.241</v>
      </c>
      <c r="C32" s="54">
        <v>0.82876729795636628</v>
      </c>
      <c r="F32" s="53">
        <v>1254</v>
      </c>
      <c r="G32" s="16">
        <v>3</v>
      </c>
      <c r="H32" s="16">
        <v>0.64426492624102893</v>
      </c>
      <c r="L32" s="4">
        <f t="shared" si="1"/>
        <v>0.64085746785801789</v>
      </c>
      <c r="N32">
        <f t="shared" si="2"/>
        <v>0.64150376545023913</v>
      </c>
      <c r="Q32" s="55">
        <f t="shared" si="3"/>
        <v>14.393456618813577</v>
      </c>
      <c r="R32" s="55">
        <f t="shared" si="4"/>
        <v>30.628318359454052</v>
      </c>
      <c r="S32" s="55"/>
      <c r="T32" s="55"/>
      <c r="U32" s="55"/>
      <c r="V32" s="55"/>
      <c r="W32" s="55">
        <f t="shared" si="0"/>
        <v>14.367554767810303</v>
      </c>
      <c r="X32" s="55">
        <f t="shared" si="5"/>
        <v>30.746268484105922</v>
      </c>
      <c r="Y32" s="55"/>
    </row>
    <row r="33" spans="1:25">
      <c r="A33" s="53">
        <v>1258</v>
      </c>
      <c r="B33" s="16">
        <v>0.753</v>
      </c>
      <c r="C33" s="54">
        <v>0.2138911893717009</v>
      </c>
      <c r="F33" s="53">
        <v>1258</v>
      </c>
      <c r="G33" s="16">
        <v>1</v>
      </c>
      <c r="H33" s="16">
        <v>0.29144174484044927</v>
      </c>
      <c r="L33" s="4">
        <f t="shared" si="1"/>
        <v>0.15605783480037702</v>
      </c>
      <c r="N33">
        <f t="shared" si="2"/>
        <v>0.18441473803684183</v>
      </c>
      <c r="Q33" s="55">
        <f t="shared" si="3"/>
        <v>6.3267450267303742</v>
      </c>
      <c r="R33" s="55">
        <f t="shared" si="4"/>
        <v>7.5984954550955397</v>
      </c>
      <c r="S33" s="55"/>
      <c r="T33" s="55"/>
      <c r="U33" s="55"/>
      <c r="V33" s="55"/>
      <c r="W33" s="55">
        <f t="shared" si="0"/>
        <v>6.1141630466816084</v>
      </c>
      <c r="X33" s="55">
        <f t="shared" si="5"/>
        <v>7.929618177106156</v>
      </c>
      <c r="Y33" s="55"/>
    </row>
    <row r="34" spans="1:25">
      <c r="A34" s="53">
        <v>1260</v>
      </c>
      <c r="B34" s="16">
        <v>1.3220000000000001</v>
      </c>
      <c r="C34" s="54">
        <v>0.30363584770734314</v>
      </c>
      <c r="F34" s="53">
        <v>1260</v>
      </c>
      <c r="G34" s="16">
        <v>2</v>
      </c>
      <c r="H34" s="16">
        <v>0.49794519904525303</v>
      </c>
      <c r="L34" s="4">
        <f t="shared" si="1"/>
        <v>0.27459458168025397</v>
      </c>
      <c r="N34">
        <f t="shared" si="2"/>
        <v>0.29237863939317971</v>
      </c>
      <c r="Q34" s="55">
        <f t="shared" si="3"/>
        <v>7.2920353839729284</v>
      </c>
      <c r="R34" s="55">
        <f t="shared" si="4"/>
        <v>10.513499001163041</v>
      </c>
      <c r="S34" s="55"/>
      <c r="T34" s="55"/>
      <c r="U34" s="55"/>
      <c r="V34" s="55"/>
      <c r="W34" s="55">
        <f t="shared" ref="W34:W66" si="6">5.16/(1-L34)</f>
        <v>7.113263658758008</v>
      </c>
      <c r="X34" s="55">
        <f t="shared" si="5"/>
        <v>10.908778753633687</v>
      </c>
      <c r="Y34" s="55"/>
    </row>
    <row r="35" spans="1:25">
      <c r="A35" s="53">
        <v>1269</v>
      </c>
      <c r="B35" s="16">
        <v>3.234</v>
      </c>
      <c r="C35" s="54">
        <v>0.50692588510576009</v>
      </c>
      <c r="F35" s="53">
        <v>1269</v>
      </c>
      <c r="G35" s="16">
        <v>2</v>
      </c>
      <c r="H35" s="16">
        <v>0.49794519904525303</v>
      </c>
      <c r="L35" s="4">
        <f t="shared" si="1"/>
        <v>0.39970272487730124</v>
      </c>
      <c r="N35">
        <f t="shared" si="2"/>
        <v>0.4384187694613963</v>
      </c>
      <c r="Q35" s="55">
        <f t="shared" si="3"/>
        <v>9.1883412753149276</v>
      </c>
      <c r="R35" s="55">
        <f t="shared" si="4"/>
        <v>11.90180497978182</v>
      </c>
      <c r="S35" s="55"/>
      <c r="T35" s="55"/>
      <c r="U35" s="55"/>
      <c r="V35" s="55"/>
      <c r="W35" s="55">
        <f t="shared" si="6"/>
        <v>8.5957411666499972</v>
      </c>
      <c r="X35" s="55">
        <f t="shared" si="5"/>
        <v>13.068861427894282</v>
      </c>
      <c r="Y35" s="55"/>
    </row>
    <row r="36" spans="1:25">
      <c r="A36" s="53">
        <v>1272</v>
      </c>
      <c r="B36" s="16">
        <v>0.192</v>
      </c>
      <c r="C36" s="54">
        <v>8.793850070535017E-2</v>
      </c>
      <c r="F36" s="53">
        <v>1272</v>
      </c>
      <c r="G36" s="16">
        <v>1</v>
      </c>
      <c r="H36" s="16">
        <v>0.29144174484044927</v>
      </c>
      <c r="L36" s="4">
        <f t="shared" si="1"/>
        <v>7.8525223502867378E-2</v>
      </c>
      <c r="N36">
        <f t="shared" si="2"/>
        <v>8.4040395427799272E-2</v>
      </c>
      <c r="Q36" s="55">
        <f t="shared" si="3"/>
        <v>5.6334362064034256</v>
      </c>
      <c r="R36" s="55">
        <f t="shared" si="4"/>
        <v>7.322678884089127</v>
      </c>
      <c r="S36" s="55"/>
      <c r="T36" s="55"/>
      <c r="U36" s="55"/>
      <c r="V36" s="55"/>
      <c r="W36" s="55">
        <f t="shared" si="6"/>
        <v>5.5997192018810038</v>
      </c>
      <c r="X36" s="55">
        <f t="shared" si="5"/>
        <v>7.3804434883845476</v>
      </c>
      <c r="Y36" s="55"/>
    </row>
    <row r="37" spans="1:25">
      <c r="A37" s="53">
        <v>1274</v>
      </c>
      <c r="B37" s="16">
        <v>8.6339999999999986</v>
      </c>
      <c r="C37" s="54">
        <v>0.78448141294052731</v>
      </c>
      <c r="F37" s="53">
        <v>1274</v>
      </c>
      <c r="G37" s="16">
        <v>4</v>
      </c>
      <c r="H37" s="16">
        <v>0.74794097683828942</v>
      </c>
      <c r="L37" s="4">
        <f t="shared" si="1"/>
        <v>0.70029989259576253</v>
      </c>
      <c r="N37">
        <f t="shared" si="2"/>
        <v>0.72408007466012481</v>
      </c>
      <c r="Q37" s="55">
        <f t="shared" si="3"/>
        <v>18.701077834969574</v>
      </c>
      <c r="R37" s="55">
        <f t="shared" si="4"/>
        <v>26.923000782335144</v>
      </c>
      <c r="S37" s="55"/>
      <c r="T37" s="55"/>
      <c r="U37" s="55"/>
      <c r="V37" s="55"/>
      <c r="W37" s="55">
        <f t="shared" si="6"/>
        <v>17.217211047042298</v>
      </c>
      <c r="X37" s="55">
        <f t="shared" si="5"/>
        <v>30.736697374075678</v>
      </c>
      <c r="Y37" s="55"/>
    </row>
    <row r="38" spans="1:25">
      <c r="A38" s="53">
        <v>1279</v>
      </c>
      <c r="B38" s="16">
        <v>1.7250000000000001</v>
      </c>
      <c r="C38" s="54">
        <v>0.35617323826300518</v>
      </c>
      <c r="F38" s="53">
        <v>1279</v>
      </c>
      <c r="G38" s="16">
        <v>1</v>
      </c>
      <c r="H38" s="16">
        <v>0.29144174484044927</v>
      </c>
      <c r="L38" s="4">
        <f t="shared" si="1"/>
        <v>0.22014058251242807</v>
      </c>
      <c r="N38">
        <f t="shared" si="2"/>
        <v>0.25375116525224639</v>
      </c>
      <c r="Q38" s="55">
        <f t="shared" si="3"/>
        <v>6.9145836612852856</v>
      </c>
      <c r="R38" s="55">
        <f t="shared" si="4"/>
        <v>8.5129384319336729</v>
      </c>
      <c r="S38" s="55"/>
      <c r="T38" s="55"/>
      <c r="U38" s="55"/>
      <c r="V38" s="55"/>
      <c r="W38" s="55">
        <f t="shared" si="6"/>
        <v>6.6165771474859847</v>
      </c>
      <c r="X38" s="55">
        <f t="shared" si="5"/>
        <v>9.0126974327903273</v>
      </c>
      <c r="Y38" s="55"/>
    </row>
    <row r="39" spans="1:25">
      <c r="A39" s="53">
        <v>1281</v>
      </c>
      <c r="B39" s="16">
        <v>0.68600000000000005</v>
      </c>
      <c r="C39" s="54">
        <v>0.20158429991645788</v>
      </c>
      <c r="F39" s="53">
        <v>1281</v>
      </c>
      <c r="G39" s="16">
        <v>1</v>
      </c>
      <c r="H39" s="16">
        <v>0.29144174484044927</v>
      </c>
      <c r="L39" s="4">
        <f t="shared" si="1"/>
        <v>0.14949085240572405</v>
      </c>
      <c r="N39">
        <f t="shared" si="2"/>
        <v>0.17605998847005369</v>
      </c>
      <c r="Q39" s="55">
        <f t="shared" si="3"/>
        <v>6.2625918486693841</v>
      </c>
      <c r="R39" s="55">
        <f t="shared" si="4"/>
        <v>7.5545293868543713</v>
      </c>
      <c r="S39" s="55"/>
      <c r="T39" s="55"/>
      <c r="U39" s="55"/>
      <c r="V39" s="55"/>
      <c r="W39" s="55">
        <f t="shared" si="6"/>
        <v>6.0669541469311854</v>
      </c>
      <c r="X39" s="55">
        <f t="shared" si="5"/>
        <v>7.8602842679121947</v>
      </c>
      <c r="Y39" s="55"/>
    </row>
    <row r="40" spans="1:25">
      <c r="A40" s="53">
        <v>1283</v>
      </c>
      <c r="B40" s="16">
        <v>1.583</v>
      </c>
      <c r="C40" s="54">
        <v>0.33846520810269187</v>
      </c>
      <c r="F40" s="53">
        <v>1283</v>
      </c>
      <c r="G40" s="16">
        <v>1</v>
      </c>
      <c r="H40" s="16">
        <v>0.29144174484044927</v>
      </c>
      <c r="L40" s="4">
        <f t="shared" si="1"/>
        <v>0.21323870593322172</v>
      </c>
      <c r="N40">
        <f t="shared" si="2"/>
        <v>0.24778377141075211</v>
      </c>
      <c r="Q40" s="55">
        <f t="shared" si="3"/>
        <v>6.8597296945818069</v>
      </c>
      <c r="R40" s="55">
        <f t="shared" si="4"/>
        <v>8.3511791440845045</v>
      </c>
      <c r="S40" s="55"/>
      <c r="T40" s="55"/>
      <c r="U40" s="55"/>
      <c r="V40" s="55"/>
      <c r="W40" s="55">
        <f t="shared" si="6"/>
        <v>6.5585331140629703</v>
      </c>
      <c r="X40" s="55">
        <f t="shared" si="5"/>
        <v>8.8457382502333033</v>
      </c>
      <c r="Y40" s="55"/>
    </row>
    <row r="41" spans="1:25">
      <c r="A41" s="53">
        <v>1287</v>
      </c>
      <c r="B41" s="16">
        <v>4.7089999999999996</v>
      </c>
      <c r="C41" s="54">
        <v>0.61170314972138851</v>
      </c>
      <c r="F41" s="53">
        <v>1287</v>
      </c>
      <c r="G41" s="16">
        <v>3</v>
      </c>
      <c r="H41" s="16">
        <v>0.64426492624102893</v>
      </c>
      <c r="L41" s="4">
        <f t="shared" si="1"/>
        <v>0.53741603201371879</v>
      </c>
      <c r="N41">
        <f t="shared" si="2"/>
        <v>0.57118193897022806</v>
      </c>
      <c r="Q41" s="55">
        <f t="shared" si="3"/>
        <v>12.033075257158425</v>
      </c>
      <c r="R41" s="55">
        <f t="shared" si="4"/>
        <v>16.369838403560763</v>
      </c>
      <c r="S41" s="55"/>
      <c r="T41" s="55"/>
      <c r="U41" s="55"/>
      <c r="V41" s="55"/>
      <c r="W41" s="55">
        <f t="shared" si="6"/>
        <v>11.15473158843462</v>
      </c>
      <c r="X41" s="55">
        <f t="shared" si="5"/>
        <v>18.333762562693664</v>
      </c>
      <c r="Y41" s="55"/>
    </row>
    <row r="42" spans="1:25">
      <c r="A42" s="53">
        <v>1291</v>
      </c>
      <c r="B42" s="16">
        <v>11.071</v>
      </c>
      <c r="C42" s="54">
        <v>0.8476988021852041</v>
      </c>
      <c r="F42" s="53">
        <v>1291</v>
      </c>
      <c r="G42" s="16">
        <v>4</v>
      </c>
      <c r="H42" s="16">
        <v>0.74794097683828942</v>
      </c>
      <c r="L42" s="4">
        <f t="shared" si="1"/>
        <v>0.73156057874690972</v>
      </c>
      <c r="N42">
        <f t="shared" si="2"/>
        <v>0.74175368001307551</v>
      </c>
      <c r="Q42" s="55">
        <f t="shared" si="3"/>
        <v>19.980923640117162</v>
      </c>
      <c r="R42" s="55">
        <f t="shared" si="4"/>
        <v>35.314915042668744</v>
      </c>
      <c r="S42" s="55"/>
      <c r="T42" s="55"/>
      <c r="U42" s="55"/>
      <c r="V42" s="55"/>
      <c r="W42" s="55">
        <f t="shared" si="6"/>
        <v>19.222213994922321</v>
      </c>
      <c r="X42" s="55">
        <f t="shared" si="5"/>
        <v>37.963284578225185</v>
      </c>
      <c r="Y42" s="55"/>
    </row>
    <row r="43" spans="1:25">
      <c r="A43" s="53">
        <v>1296</v>
      </c>
      <c r="B43" s="16">
        <v>3.64</v>
      </c>
      <c r="C43" s="54">
        <v>0.53902052186286464</v>
      </c>
      <c r="F43" s="53">
        <v>1296</v>
      </c>
      <c r="G43" s="16">
        <v>2</v>
      </c>
      <c r="H43" s="16">
        <v>0.49794519904525303</v>
      </c>
      <c r="L43" s="4">
        <f t="shared" si="1"/>
        <v>0.41589261717056747</v>
      </c>
      <c r="N43">
        <f t="shared" si="2"/>
        <v>0.45309196523341405</v>
      </c>
      <c r="Q43" s="55">
        <f t="shared" si="3"/>
        <v>9.4348586452971528</v>
      </c>
      <c r="R43" s="55">
        <f t="shared" si="4"/>
        <v>12.400083076630702</v>
      </c>
      <c r="S43" s="55"/>
      <c r="T43" s="55"/>
      <c r="U43" s="55"/>
      <c r="V43" s="55"/>
      <c r="W43" s="55">
        <f t="shared" si="6"/>
        <v>8.8339920906406206</v>
      </c>
      <c r="X43" s="55">
        <f t="shared" si="5"/>
        <v>13.617402329831229</v>
      </c>
      <c r="Y43" s="55"/>
    </row>
    <row r="44" spans="1:25">
      <c r="A44" s="53">
        <v>1299</v>
      </c>
      <c r="B44" s="16">
        <v>7.2539999999999996</v>
      </c>
      <c r="C44" s="54">
        <v>0.73631465866765589</v>
      </c>
      <c r="F44" s="53">
        <v>1299</v>
      </c>
      <c r="G44" s="16">
        <v>5</v>
      </c>
      <c r="H44" s="16">
        <v>0.82140149835131759</v>
      </c>
      <c r="L44" s="4">
        <f t="shared" si="1"/>
        <v>0.71093428483016252</v>
      </c>
      <c r="N44">
        <f t="shared" si="2"/>
        <v>0.7263113200744914</v>
      </c>
      <c r="Q44" s="55">
        <f t="shared" si="3"/>
        <v>18.853538266195102</v>
      </c>
      <c r="R44" s="55">
        <f t="shared" si="4"/>
        <v>30.605860254133308</v>
      </c>
      <c r="S44" s="55"/>
      <c r="T44" s="55"/>
      <c r="U44" s="55"/>
      <c r="V44" s="55"/>
      <c r="W44" s="55">
        <f t="shared" si="6"/>
        <v>17.850612262918474</v>
      </c>
      <c r="X44" s="55">
        <f t="shared" si="5"/>
        <v>33.677477160918428</v>
      </c>
      <c r="Y44" s="55"/>
    </row>
    <row r="45" spans="1:25">
      <c r="A45" s="53">
        <v>1305</v>
      </c>
      <c r="B45" s="16">
        <v>8.8840000000000003</v>
      </c>
      <c r="C45" s="54">
        <v>0.79212179343123856</v>
      </c>
      <c r="F45" s="53">
        <v>1305</v>
      </c>
      <c r="G45" s="16">
        <v>4</v>
      </c>
      <c r="H45" s="16">
        <v>0.74794097683828942</v>
      </c>
      <c r="L45" s="4">
        <f t="shared" si="1"/>
        <v>0.70446283163990564</v>
      </c>
      <c r="N45">
        <f t="shared" si="2"/>
        <v>0.7270870639913275</v>
      </c>
      <c r="Q45" s="55">
        <f t="shared" si="3"/>
        <v>18.907128681639438</v>
      </c>
      <c r="R45" s="55">
        <f t="shared" si="4"/>
        <v>27.589998589571209</v>
      </c>
      <c r="S45" s="55"/>
      <c r="T45" s="55"/>
      <c r="U45" s="55"/>
      <c r="V45" s="55"/>
      <c r="W45" s="55">
        <f t="shared" si="6"/>
        <v>17.459732826948009</v>
      </c>
      <c r="X45" s="55">
        <f t="shared" si="5"/>
        <v>31.386849597184835</v>
      </c>
      <c r="Y45" s="55"/>
    </row>
    <row r="46" spans="1:25">
      <c r="A46" s="53">
        <v>1310</v>
      </c>
      <c r="B46" s="16">
        <v>1.5640000000000001</v>
      </c>
      <c r="C46" s="54">
        <v>0.33603346051583072</v>
      </c>
      <c r="F46" s="53">
        <v>1310</v>
      </c>
      <c r="G46" s="16">
        <v>1</v>
      </c>
      <c r="H46" s="16">
        <v>0.29144174484044927</v>
      </c>
      <c r="L46" s="4">
        <f t="shared" si="1"/>
        <v>0.21226880854706356</v>
      </c>
      <c r="N46">
        <f t="shared" si="2"/>
        <v>0.24690988082401466</v>
      </c>
      <c r="Q46" s="55">
        <f t="shared" si="3"/>
        <v>6.8517696204087217</v>
      </c>
      <c r="R46" s="55">
        <f t="shared" si="4"/>
        <v>8.3301762144711837</v>
      </c>
      <c r="S46" s="55"/>
      <c r="T46" s="55"/>
      <c r="U46" s="55"/>
      <c r="V46" s="55"/>
      <c r="W46" s="55">
        <f t="shared" si="6"/>
        <v>6.550457892219046</v>
      </c>
      <c r="X46" s="55">
        <f t="shared" si="5"/>
        <v>8.8236259286109142</v>
      </c>
      <c r="Y46" s="55"/>
    </row>
    <row r="47" spans="1:25">
      <c r="A47" s="53">
        <v>1315</v>
      </c>
      <c r="B47" s="16">
        <v>8.1109999999999989</v>
      </c>
      <c r="C47" s="54">
        <v>0.76748005587157508</v>
      </c>
      <c r="F47" s="53">
        <v>1315</v>
      </c>
      <c r="G47" s="16">
        <v>3</v>
      </c>
      <c r="H47" s="16">
        <v>0.64426492624102893</v>
      </c>
      <c r="L47" s="4">
        <f t="shared" si="1"/>
        <v>0.61844225525142393</v>
      </c>
      <c r="N47">
        <f t="shared" si="2"/>
        <v>0.6343713130593045</v>
      </c>
      <c r="Q47" s="55">
        <f t="shared" si="3"/>
        <v>14.112678201415157</v>
      </c>
      <c r="R47" s="55">
        <f t="shared" si="4"/>
        <v>23.177851326289741</v>
      </c>
      <c r="S47" s="55"/>
      <c r="T47" s="55"/>
      <c r="U47" s="55"/>
      <c r="V47" s="55"/>
      <c r="W47" s="55">
        <f t="shared" si="6"/>
        <v>13.523510061105258</v>
      </c>
      <c r="X47" s="55">
        <f t="shared" si="5"/>
        <v>24.964044864464629</v>
      </c>
      <c r="Y47" s="55"/>
    </row>
    <row r="48" spans="1:25">
      <c r="A48" s="53">
        <v>1319</v>
      </c>
      <c r="B48" s="16">
        <v>4.0609999999999999</v>
      </c>
      <c r="C48" s="54">
        <v>0.56951740126732975</v>
      </c>
      <c r="F48" s="53">
        <v>1319</v>
      </c>
      <c r="G48" s="16">
        <v>2</v>
      </c>
      <c r="H48" s="16">
        <v>0.49794519904525303</v>
      </c>
      <c r="L48" s="4">
        <f t="shared" si="1"/>
        <v>0.43034900924371189</v>
      </c>
      <c r="N48">
        <f t="shared" si="2"/>
        <v>0.46459260194419072</v>
      </c>
      <c r="Q48" s="55">
        <f t="shared" si="3"/>
        <v>9.6375209209607089</v>
      </c>
      <c r="R48" s="55">
        <f t="shared" si="4"/>
        <v>12.993226346033159</v>
      </c>
      <c r="S48" s="55"/>
      <c r="T48" s="55"/>
      <c r="U48" s="55"/>
      <c r="V48" s="55"/>
      <c r="W48" s="55">
        <f t="shared" si="6"/>
        <v>9.0581778733490967</v>
      </c>
      <c r="X48" s="55">
        <f t="shared" si="5"/>
        <v>14.219325587857156</v>
      </c>
      <c r="Y48" s="55"/>
    </row>
    <row r="49" spans="1:25">
      <c r="A49" s="53">
        <v>1322</v>
      </c>
      <c r="B49" s="16">
        <v>1.32</v>
      </c>
      <c r="C49" s="54">
        <v>0.30335628877445658</v>
      </c>
      <c r="F49" s="53">
        <v>1322</v>
      </c>
      <c r="G49" s="16">
        <v>1</v>
      </c>
      <c r="H49" s="16">
        <v>0.29144174484044927</v>
      </c>
      <c r="L49" s="4">
        <f t="shared" si="1"/>
        <v>0.19870311812656188</v>
      </c>
      <c r="N49">
        <f t="shared" si="2"/>
        <v>0.23382478001232304</v>
      </c>
      <c r="Q49" s="55">
        <f t="shared" si="3"/>
        <v>6.7347518757954514</v>
      </c>
      <c r="R49" s="55">
        <f t="shared" si="4"/>
        <v>8.0747793877017831</v>
      </c>
      <c r="S49" s="55"/>
      <c r="T49" s="55"/>
      <c r="U49" s="55"/>
      <c r="V49" s="55"/>
      <c r="W49" s="55">
        <f t="shared" si="6"/>
        <v>6.4395608128860831</v>
      </c>
      <c r="X49" s="55">
        <f t="shared" si="5"/>
        <v>8.5443890643388123</v>
      </c>
      <c r="Y49" s="55"/>
    </row>
    <row r="50" spans="1:25">
      <c r="A50" s="53">
        <v>1325</v>
      </c>
      <c r="B50" s="16">
        <v>0.13800000000000001</v>
      </c>
      <c r="C50" s="54">
        <v>7.0666693095538038E-2</v>
      </c>
      <c r="F50" s="53">
        <v>1325</v>
      </c>
      <c r="G50" s="16">
        <v>1</v>
      </c>
      <c r="H50" s="16">
        <v>0.29144174484044927</v>
      </c>
      <c r="L50" s="4">
        <f t="shared" si="1"/>
        <v>6.5629816868112617E-2</v>
      </c>
      <c r="N50">
        <f t="shared" si="2"/>
        <v>6.8184737472846813E-2</v>
      </c>
      <c r="Q50" s="55">
        <f t="shared" si="3"/>
        <v>5.5375783242760921</v>
      </c>
      <c r="R50" s="55">
        <f t="shared" si="4"/>
        <v>7.307992073072878</v>
      </c>
      <c r="S50" s="55"/>
      <c r="T50" s="55"/>
      <c r="U50" s="55"/>
      <c r="V50" s="55"/>
      <c r="W50" s="55">
        <f t="shared" si="6"/>
        <v>5.5224364958911156</v>
      </c>
      <c r="X50" s="55">
        <f t="shared" si="5"/>
        <v>7.3345319055298095</v>
      </c>
      <c r="Y50" s="55"/>
    </row>
    <row r="51" spans="1:25">
      <c r="A51" s="53">
        <v>1327</v>
      </c>
      <c r="B51" s="16">
        <v>2.992</v>
      </c>
      <c r="C51" s="54">
        <v>0.48637964824885604</v>
      </c>
      <c r="F51" s="53">
        <v>1327</v>
      </c>
      <c r="G51" s="16">
        <v>3</v>
      </c>
      <c r="H51" s="16">
        <v>0.64426492624102893</v>
      </c>
      <c r="L51" s="4">
        <f t="shared" si="1"/>
        <v>0.45346635757071763</v>
      </c>
      <c r="N51">
        <f t="shared" si="2"/>
        <v>0.47359841832209865</v>
      </c>
      <c r="Q51" s="55">
        <f t="shared" si="3"/>
        <v>9.8024021575933276</v>
      </c>
      <c r="R51" s="55">
        <f t="shared" si="4"/>
        <v>15.045756426991593</v>
      </c>
      <c r="S51" s="55"/>
      <c r="T51" s="55"/>
      <c r="U51" s="55"/>
      <c r="V51" s="55"/>
      <c r="W51" s="55">
        <f t="shared" si="6"/>
        <v>9.4413218133551009</v>
      </c>
      <c r="X51" s="55">
        <f t="shared" si="5"/>
        <v>15.984051481147935</v>
      </c>
      <c r="Y51" s="55"/>
    </row>
    <row r="52" spans="1:25">
      <c r="A52" s="53">
        <v>1336</v>
      </c>
      <c r="B52" s="16">
        <v>1.8660000000000001</v>
      </c>
      <c r="C52" s="54">
        <v>0.37299693214526092</v>
      </c>
      <c r="F52" s="53">
        <v>1336</v>
      </c>
      <c r="G52" s="16">
        <v>1</v>
      </c>
      <c r="H52" s="16">
        <v>0.29144174484044927</v>
      </c>
      <c r="L52" s="4">
        <f t="shared" si="1"/>
        <v>0.22644026049974075</v>
      </c>
      <c r="N52">
        <f t="shared" si="2"/>
        <v>0.2588025889955537</v>
      </c>
      <c r="Q52" s="55">
        <f t="shared" si="3"/>
        <v>6.9617080731668208</v>
      </c>
      <c r="R52" s="55">
        <f t="shared" si="4"/>
        <v>8.6815499658306017</v>
      </c>
      <c r="S52" s="55"/>
      <c r="T52" s="55"/>
      <c r="U52" s="55"/>
      <c r="V52" s="55"/>
      <c r="W52" s="55">
        <f t="shared" si="6"/>
        <v>6.6704609049761316</v>
      </c>
      <c r="X52" s="55">
        <f t="shared" si="5"/>
        <v>9.1814687918422528</v>
      </c>
      <c r="Y52" s="55"/>
    </row>
    <row r="53" spans="1:25">
      <c r="A53" s="53">
        <v>1345</v>
      </c>
      <c r="B53" s="16">
        <v>7.1280000000000001</v>
      </c>
      <c r="C53" s="54">
        <v>0.73135059928058754</v>
      </c>
      <c r="F53" s="53">
        <v>1345</v>
      </c>
      <c r="G53" s="16">
        <v>3</v>
      </c>
      <c r="H53" s="16">
        <v>0.64426492624102893</v>
      </c>
      <c r="L53" s="4">
        <f t="shared" si="1"/>
        <v>0.602405982501235</v>
      </c>
      <c r="N53">
        <f t="shared" si="2"/>
        <v>0.6263106915537423</v>
      </c>
      <c r="Q53" s="55">
        <f t="shared" si="3"/>
        <v>13.808262327478625</v>
      </c>
      <c r="R53" s="55">
        <f t="shared" si="4"/>
        <v>20.582766240250368</v>
      </c>
      <c r="S53" s="55"/>
      <c r="T53" s="55"/>
      <c r="U53" s="55"/>
      <c r="V53" s="55"/>
      <c r="W53" s="55">
        <f t="shared" si="6"/>
        <v>12.978062478055339</v>
      </c>
      <c r="X53" s="55">
        <f t="shared" si="5"/>
        <v>22.752280094676671</v>
      </c>
      <c r="Y53" s="55"/>
    </row>
    <row r="54" spans="1:25">
      <c r="A54" s="53">
        <v>1349</v>
      </c>
      <c r="B54" s="16">
        <v>10.96</v>
      </c>
      <c r="C54" s="54">
        <v>0.84530246503371609</v>
      </c>
      <c r="F54" s="53">
        <v>1349</v>
      </c>
      <c r="G54" s="16">
        <v>7</v>
      </c>
      <c r="H54" s="16">
        <v>0.91033376480395467</v>
      </c>
      <c r="L54" s="4">
        <f t="shared" si="1"/>
        <v>0.83523106393011437</v>
      </c>
      <c r="N54">
        <f t="shared" si="2"/>
        <v>0.84150381171895428</v>
      </c>
      <c r="Q54" s="55">
        <f t="shared" si="3"/>
        <v>32.555987976507545</v>
      </c>
      <c r="R54" s="55">
        <f t="shared" si="4"/>
        <v>60.09252720233782</v>
      </c>
      <c r="S54" s="55"/>
      <c r="T54" s="55"/>
      <c r="U54" s="55"/>
      <c r="V54" s="55"/>
      <c r="W54" s="55">
        <f t="shared" si="6"/>
        <v>31.316582622172309</v>
      </c>
      <c r="X54" s="55">
        <f t="shared" si="5"/>
        <v>64.828327853627229</v>
      </c>
      <c r="Y54" s="55"/>
    </row>
    <row r="55" spans="1:25">
      <c r="A55" s="53">
        <v>1358</v>
      </c>
      <c r="B55" s="16">
        <v>2.3149999999999999</v>
      </c>
      <c r="C55" s="54">
        <v>0.42222369194773779</v>
      </c>
      <c r="F55" s="53">
        <v>1358</v>
      </c>
      <c r="G55" s="16">
        <v>1</v>
      </c>
      <c r="H55" s="16">
        <v>0.29144174484044927</v>
      </c>
      <c r="L55" s="4">
        <f t="shared" si="1"/>
        <v>0.24348296537392883</v>
      </c>
      <c r="N55">
        <f t="shared" si="2"/>
        <v>0.27051080585715359</v>
      </c>
      <c r="Q55" s="55">
        <f t="shared" si="3"/>
        <v>7.0734426793847538</v>
      </c>
      <c r="R55" s="55">
        <f t="shared" si="4"/>
        <v>9.2664863292791839</v>
      </c>
      <c r="S55" s="55"/>
      <c r="T55" s="55"/>
      <c r="U55" s="55"/>
      <c r="V55" s="55"/>
      <c r="W55" s="55">
        <f t="shared" si="6"/>
        <v>6.8207320705613297</v>
      </c>
      <c r="X55" s="55">
        <f t="shared" si="5"/>
        <v>9.7392021245007623</v>
      </c>
      <c r="Y55" s="55"/>
    </row>
    <row r="56" spans="1:25">
      <c r="A56" s="53">
        <v>1360</v>
      </c>
      <c r="B56" s="16">
        <v>4.8079999999999998</v>
      </c>
      <c r="C56" s="54">
        <v>0.61769490952552741</v>
      </c>
      <c r="F56" s="53">
        <v>1360</v>
      </c>
      <c r="G56" s="16">
        <v>2</v>
      </c>
      <c r="H56" s="16">
        <v>0.49794519904525303</v>
      </c>
      <c r="L56" s="4">
        <f t="shared" si="1"/>
        <v>0.45128935527836445</v>
      </c>
      <c r="N56">
        <f t="shared" si="2"/>
        <v>0.47823938292336321</v>
      </c>
      <c r="Q56" s="55">
        <f t="shared" si="3"/>
        <v>9.8895927195710396</v>
      </c>
      <c r="R56" s="55">
        <f t="shared" si="4"/>
        <v>14.230585566430397</v>
      </c>
      <c r="S56" s="55"/>
      <c r="T56" s="55"/>
      <c r="U56" s="55"/>
      <c r="V56" s="55"/>
      <c r="W56" s="55">
        <f t="shared" si="6"/>
        <v>9.4038634927844367</v>
      </c>
      <c r="X56" s="55">
        <f t="shared" si="5"/>
        <v>15.373191063632468</v>
      </c>
      <c r="Y56" s="55"/>
    </row>
    <row r="57" spans="1:25">
      <c r="A57" s="53">
        <v>1364</v>
      </c>
      <c r="B57" s="16">
        <v>8.4130000000000003</v>
      </c>
      <c r="C57" s="54">
        <v>0.7774703075668673</v>
      </c>
      <c r="F57" s="53">
        <v>1364</v>
      </c>
      <c r="G57" s="16">
        <v>4</v>
      </c>
      <c r="H57" s="16">
        <v>0.74794097683828942</v>
      </c>
      <c r="L57" s="4">
        <f t="shared" si="1"/>
        <v>0.69639764179619112</v>
      </c>
      <c r="N57">
        <f t="shared" si="2"/>
        <v>0.72109653118570993</v>
      </c>
      <c r="Q57" s="55">
        <f t="shared" si="3"/>
        <v>18.501024823882073</v>
      </c>
      <c r="R57" s="55">
        <f t="shared" si="4"/>
        <v>26.368875962256702</v>
      </c>
      <c r="S57" s="55"/>
      <c r="T57" s="55"/>
      <c r="U57" s="55"/>
      <c r="V57" s="55"/>
      <c r="W57" s="55">
        <f t="shared" si="6"/>
        <v>16.995915415571581</v>
      </c>
      <c r="X57" s="55">
        <f t="shared" si="5"/>
        <v>30.177846225470631</v>
      </c>
      <c r="Y57" s="55"/>
    </row>
    <row r="58" spans="1:25">
      <c r="A58" s="53">
        <v>1369</v>
      </c>
      <c r="B58" s="16">
        <v>11.102</v>
      </c>
      <c r="C58" s="54">
        <v>0.8483609356910049</v>
      </c>
      <c r="F58" s="53">
        <v>1369</v>
      </c>
      <c r="G58" s="16">
        <v>4</v>
      </c>
      <c r="H58" s="16">
        <v>0.74794097683828942</v>
      </c>
      <c r="L58" s="4">
        <f t="shared" si="1"/>
        <v>0.73184532441068162</v>
      </c>
      <c r="N58">
        <f t="shared" si="2"/>
        <v>0.74186058600064564</v>
      </c>
      <c r="Q58" s="55">
        <f t="shared" si="3"/>
        <v>19.98919854994676</v>
      </c>
      <c r="R58" s="55">
        <f t="shared" si="4"/>
        <v>35.449622320277498</v>
      </c>
      <c r="S58" s="55"/>
      <c r="T58" s="55"/>
      <c r="U58" s="55"/>
      <c r="V58" s="55"/>
      <c r="W58" s="55">
        <f t="shared" si="6"/>
        <v>19.242625505820353</v>
      </c>
      <c r="X58" s="55">
        <f t="shared" si="5"/>
        <v>38.068984160701703</v>
      </c>
      <c r="Y58" s="55"/>
    </row>
    <row r="59" spans="1:25">
      <c r="A59" s="53">
        <v>1374</v>
      </c>
      <c r="B59" s="16">
        <v>6.3220000000000001</v>
      </c>
      <c r="C59" s="54">
        <v>0.69697899108052019</v>
      </c>
      <c r="F59" s="53">
        <v>1374</v>
      </c>
      <c r="G59" s="16">
        <v>3</v>
      </c>
      <c r="H59" s="16">
        <v>0.64426492624102893</v>
      </c>
      <c r="L59" s="4">
        <f t="shared" si="1"/>
        <v>0.58548477236788221</v>
      </c>
      <c r="N59">
        <f t="shared" si="2"/>
        <v>0.61513723381680963</v>
      </c>
      <c r="Q59" s="55">
        <f t="shared" si="3"/>
        <v>13.407376481683078</v>
      </c>
      <c r="R59" s="55">
        <f t="shared" si="4"/>
        <v>18.839452039309947</v>
      </c>
      <c r="S59" s="55"/>
      <c r="T59" s="55"/>
      <c r="U59" s="55"/>
      <c r="V59" s="55"/>
      <c r="W59" s="55">
        <f t="shared" si="6"/>
        <v>12.448276097059333</v>
      </c>
      <c r="X59" s="55">
        <f t="shared" si="5"/>
        <v>21.126686602129425</v>
      </c>
      <c r="Y59" s="55"/>
    </row>
    <row r="60" spans="1:25">
      <c r="A60" s="53">
        <v>1378</v>
      </c>
      <c r="B60" s="16">
        <v>1.1870000000000001</v>
      </c>
      <c r="C60" s="54">
        <v>0.28428156405221322</v>
      </c>
      <c r="F60" s="53">
        <v>1378</v>
      </c>
      <c r="G60" s="16">
        <v>2</v>
      </c>
      <c r="H60" s="16">
        <v>0.49794519904525303</v>
      </c>
      <c r="L60" s="4">
        <f t="shared" si="1"/>
        <v>0.26063609615699512</v>
      </c>
      <c r="N60">
        <f t="shared" si="2"/>
        <v>0.27513993568153317</v>
      </c>
      <c r="Q60" s="55">
        <f t="shared" si="3"/>
        <v>7.1186153769577203</v>
      </c>
      <c r="R60" s="55">
        <f t="shared" si="4"/>
        <v>10.468375135825683</v>
      </c>
      <c r="S60" s="55"/>
      <c r="T60" s="55"/>
      <c r="U60" s="55"/>
      <c r="V60" s="55"/>
      <c r="W60" s="55">
        <f t="shared" si="6"/>
        <v>6.9789720233565324</v>
      </c>
      <c r="X60" s="55">
        <f t="shared" si="5"/>
        <v>10.785742759240728</v>
      </c>
      <c r="Y60" s="55"/>
    </row>
    <row r="61" spans="1:25">
      <c r="A61" s="53">
        <v>1381</v>
      </c>
      <c r="B61" s="16">
        <v>6.8009999999999993</v>
      </c>
      <c r="C61" s="54">
        <v>0.71796897237926349</v>
      </c>
      <c r="F61" s="53">
        <v>1381</v>
      </c>
      <c r="G61" s="16">
        <v>4</v>
      </c>
      <c r="H61" s="16">
        <v>0.74794097683828942</v>
      </c>
      <c r="L61" s="4">
        <f t="shared" si="1"/>
        <v>0.66044064224360188</v>
      </c>
      <c r="N61">
        <f t="shared" si="2"/>
        <v>0.68756408718972573</v>
      </c>
      <c r="Q61" s="55">
        <f t="shared" si="3"/>
        <v>16.515386959159827</v>
      </c>
      <c r="R61" s="55">
        <f t="shared" si="4"/>
        <v>23.279511256621806</v>
      </c>
      <c r="S61" s="55"/>
      <c r="T61" s="55"/>
      <c r="U61" s="55"/>
      <c r="V61" s="55"/>
      <c r="W61" s="55">
        <f t="shared" si="6"/>
        <v>15.196164918246236</v>
      </c>
      <c r="X61" s="55">
        <f t="shared" si="5"/>
        <v>26.525377151198661</v>
      </c>
      <c r="Y61" s="55"/>
    </row>
    <row r="62" spans="1:25">
      <c r="A62" s="53">
        <v>1386</v>
      </c>
      <c r="B62" s="16">
        <v>5.9559999999999995</v>
      </c>
      <c r="C62" s="54">
        <v>0.67973072787266486</v>
      </c>
      <c r="F62" s="53">
        <v>1386</v>
      </c>
      <c r="G62" s="16">
        <v>2</v>
      </c>
      <c r="H62" s="16">
        <v>0.49794519904525303</v>
      </c>
      <c r="L62" s="4">
        <f t="shared" si="1"/>
        <v>0.47465245915833848</v>
      </c>
      <c r="N62">
        <f t="shared" si="2"/>
        <v>0.48904434699632066</v>
      </c>
      <c r="Q62" s="55">
        <f t="shared" si="3"/>
        <v>10.098723773123307</v>
      </c>
      <c r="R62" s="55">
        <f t="shared" si="4"/>
        <v>16.57200816544179</v>
      </c>
      <c r="S62" s="55"/>
      <c r="T62" s="55"/>
      <c r="U62" s="55"/>
      <c r="V62" s="55"/>
      <c r="W62" s="55">
        <f t="shared" si="6"/>
        <v>9.8220693899759066</v>
      </c>
      <c r="X62" s="55">
        <f t="shared" si="5"/>
        <v>17.375110285895136</v>
      </c>
      <c r="Y62" s="55"/>
    </row>
    <row r="63" spans="1:25">
      <c r="A63" s="53">
        <v>1390</v>
      </c>
      <c r="B63" s="16">
        <v>1.0029999999999999</v>
      </c>
      <c r="C63" s="54">
        <v>0.25614596890601693</v>
      </c>
      <c r="F63" s="53">
        <v>1390</v>
      </c>
      <c r="G63" s="16">
        <v>1</v>
      </c>
      <c r="H63" s="16">
        <v>0.29144174484044927</v>
      </c>
      <c r="L63" s="4">
        <f t="shared" si="1"/>
        <v>0.17726311806822145</v>
      </c>
      <c r="N63">
        <f t="shared" si="2"/>
        <v>0.21027063729404175</v>
      </c>
      <c r="Q63" s="55">
        <f t="shared" si="3"/>
        <v>6.5338839400875042</v>
      </c>
      <c r="R63" s="55">
        <f t="shared" si="4"/>
        <v>7.7865292987733854</v>
      </c>
      <c r="S63" s="55"/>
      <c r="T63" s="55"/>
      <c r="U63" s="55"/>
      <c r="V63" s="55"/>
      <c r="W63" s="55">
        <f t="shared" si="6"/>
        <v>6.2717499522865294</v>
      </c>
      <c r="X63" s="55">
        <f t="shared" si="5"/>
        <v>8.1946983550326387</v>
      </c>
      <c r="Y63" s="55"/>
    </row>
    <row r="64" spans="1:25">
      <c r="A64" s="53">
        <v>1392</v>
      </c>
      <c r="B64" s="16">
        <v>1.5489999999999999</v>
      </c>
      <c r="C64" s="54">
        <v>0.33410281781373902</v>
      </c>
      <c r="F64" s="53">
        <v>1392</v>
      </c>
      <c r="G64" s="16">
        <v>2</v>
      </c>
      <c r="H64" s="16">
        <v>0.49794519904525303</v>
      </c>
      <c r="L64" s="4">
        <f t="shared" si="1"/>
        <v>0.2958284870824362</v>
      </c>
      <c r="N64">
        <f t="shared" si="2"/>
        <v>0.31871253971878677</v>
      </c>
      <c r="Q64" s="55">
        <f t="shared" si="3"/>
        <v>7.5738954565083594</v>
      </c>
      <c r="R64" s="55">
        <f t="shared" si="4"/>
        <v>10.602786432177567</v>
      </c>
      <c r="S64" s="55"/>
      <c r="T64" s="55"/>
      <c r="U64" s="55"/>
      <c r="V64" s="55"/>
      <c r="W64" s="55">
        <f t="shared" si="6"/>
        <v>7.3277602194113074</v>
      </c>
      <c r="X64" s="55">
        <f t="shared" si="5"/>
        <v>11.125953616619457</v>
      </c>
      <c r="Y64" s="55"/>
    </row>
    <row r="65" spans="1:25">
      <c r="A65" s="53">
        <v>1397</v>
      </c>
      <c r="B65" s="16">
        <v>1.018</v>
      </c>
      <c r="C65" s="54">
        <v>0.25852381919325446</v>
      </c>
      <c r="F65" s="53">
        <v>1397</v>
      </c>
      <c r="G65" s="16">
        <v>1</v>
      </c>
      <c r="H65" s="16">
        <v>0.29144174484044927</v>
      </c>
      <c r="L65" s="4">
        <f t="shared" si="1"/>
        <v>0.17839781137300423</v>
      </c>
      <c r="N65">
        <f t="shared" si="2"/>
        <v>0.21159208540275667</v>
      </c>
      <c r="Q65" s="55">
        <f t="shared" si="3"/>
        <v>6.5448353630949736</v>
      </c>
      <c r="R65" s="55">
        <f t="shared" si="4"/>
        <v>7.7989618513520407</v>
      </c>
      <c r="S65" s="55"/>
      <c r="T65" s="55"/>
      <c r="U65" s="55"/>
      <c r="V65" s="55"/>
      <c r="W65" s="55">
        <f t="shared" si="6"/>
        <v>6.2804117021925565</v>
      </c>
      <c r="X65" s="55">
        <f t="shared" si="5"/>
        <v>8.2109090070516917</v>
      </c>
      <c r="Y65" s="55"/>
    </row>
    <row r="66" spans="1:25">
      <c r="A66" s="53">
        <v>1400</v>
      </c>
      <c r="B66" s="16">
        <v>2.246</v>
      </c>
      <c r="C66" s="54">
        <v>0.41504828585043735</v>
      </c>
      <c r="F66" s="53">
        <v>1400</v>
      </c>
      <c r="G66" s="16">
        <v>3</v>
      </c>
      <c r="H66" s="16">
        <v>0.64426492624102893</v>
      </c>
      <c r="L66" s="4">
        <f t="shared" si="1"/>
        <v>0.39954853878566504</v>
      </c>
      <c r="N66">
        <f t="shared" si="2"/>
        <v>0.40864543864467778</v>
      </c>
      <c r="Q66" s="55">
        <f t="shared" si="3"/>
        <v>8.725729599808659</v>
      </c>
      <c r="R66" s="55">
        <f t="shared" si="4"/>
        <v>14.771039164959525</v>
      </c>
      <c r="S66" s="55"/>
      <c r="T66" s="55"/>
      <c r="U66" s="55"/>
      <c r="V66" s="55"/>
      <c r="W66" s="55">
        <f t="shared" si="6"/>
        <v>8.5935339212341511</v>
      </c>
      <c r="X66" s="55">
        <f t="shared" si="5"/>
        <v>15.165973651636047</v>
      </c>
      <c r="Y66" s="55"/>
    </row>
    <row r="67" spans="1:25">
      <c r="A67" s="53">
        <v>1404</v>
      </c>
      <c r="B67" s="16">
        <v>1.6</v>
      </c>
      <c r="C67" s="54">
        <v>0.34062813312666845</v>
      </c>
      <c r="F67" s="53">
        <v>1404</v>
      </c>
      <c r="G67" s="16">
        <v>2</v>
      </c>
      <c r="H67" s="16">
        <v>0.49794519904525303</v>
      </c>
      <c r="L67" s="4">
        <f t="shared" ref="L67:L130" si="7">C67*H67*(10^(((-LN(C67)^-$K$2)+(-LN(H67)^-$K$2))^-(1/$K$2)))</f>
        <v>0.30026035627257686</v>
      </c>
      <c r="N67">
        <f t="shared" ref="N67:N130" si="8">EXP(-(((-LN(C67)^$P$2)+(-LN(H67))^$P$2)^(1/$P$2)))</f>
        <v>0.32420747221236784</v>
      </c>
      <c r="Q67" s="55">
        <f t="shared" ref="Q67:Q130" si="9">5.16/(1-N67)</f>
        <v>7.6354795115780414</v>
      </c>
      <c r="R67" s="55">
        <f t="shared" ref="R67:R130" si="10">5.16/(1-C67-H67+N67)</f>
        <v>10.625282645018011</v>
      </c>
      <c r="S67" s="55"/>
      <c r="T67" s="55"/>
      <c r="U67" s="55"/>
      <c r="V67" s="55"/>
      <c r="W67" s="55">
        <f t="shared" ref="W67:W130" si="11">5.16/(1-L67)</f>
        <v>7.3741713025052338</v>
      </c>
      <c r="X67" s="55">
        <f t="shared" ref="X67:X130" si="12">5.16/(1-C67-H67+L67)</f>
        <v>11.176402477525631</v>
      </c>
      <c r="Y67" s="55"/>
    </row>
    <row r="68" spans="1:25">
      <c r="A68" s="53">
        <v>1410</v>
      </c>
      <c r="B68" s="16">
        <v>6.4770000000000003</v>
      </c>
      <c r="C68" s="54">
        <v>0.70396016882379986</v>
      </c>
      <c r="F68" s="53">
        <v>1410</v>
      </c>
      <c r="G68" s="16">
        <v>3</v>
      </c>
      <c r="H68" s="16">
        <v>0.64426492624102893</v>
      </c>
      <c r="L68" s="4">
        <f t="shared" si="7"/>
        <v>0.58904483065878621</v>
      </c>
      <c r="N68">
        <f t="shared" si="8"/>
        <v>0.61770619719688846</v>
      </c>
      <c r="Q68" s="55">
        <f t="shared" si="9"/>
        <v>13.497472263910845</v>
      </c>
      <c r="R68" s="55">
        <f t="shared" si="10"/>
        <v>19.14791040698406</v>
      </c>
      <c r="S68" s="55"/>
      <c r="T68" s="55"/>
      <c r="U68" s="55"/>
      <c r="V68" s="55"/>
      <c r="W68" s="55">
        <f t="shared" si="11"/>
        <v>12.556114109166202</v>
      </c>
      <c r="X68" s="55">
        <f t="shared" si="12"/>
        <v>21.426815320070776</v>
      </c>
      <c r="Y68" s="55"/>
    </row>
    <row r="69" spans="1:25">
      <c r="A69" s="53">
        <v>1415</v>
      </c>
      <c r="B69" s="16">
        <v>2.2959999999999998</v>
      </c>
      <c r="C69" s="54">
        <v>0.42026092089413553</v>
      </c>
      <c r="F69" s="53">
        <v>1415</v>
      </c>
      <c r="G69" s="16">
        <v>1</v>
      </c>
      <c r="H69" s="16">
        <v>0.29144174484044927</v>
      </c>
      <c r="L69" s="4">
        <f t="shared" si="7"/>
        <v>0.24284214457386946</v>
      </c>
      <c r="N69">
        <f t="shared" si="8"/>
        <v>0.27012278423521718</v>
      </c>
      <c r="Q69" s="55">
        <f t="shared" si="9"/>
        <v>7.0696822541490469</v>
      </c>
      <c r="R69" s="55">
        <f t="shared" si="10"/>
        <v>9.240354759879871</v>
      </c>
      <c r="S69" s="55"/>
      <c r="T69" s="55"/>
      <c r="U69" s="55"/>
      <c r="V69" s="55"/>
      <c r="W69" s="55">
        <f t="shared" si="11"/>
        <v>6.8149593417292591</v>
      </c>
      <c r="X69" s="55">
        <f t="shared" si="12"/>
        <v>9.7149622755896541</v>
      </c>
      <c r="Y69" s="55"/>
    </row>
    <row r="70" spans="1:25">
      <c r="A70" s="53">
        <v>1418</v>
      </c>
      <c r="B70" s="16">
        <v>1.544</v>
      </c>
      <c r="C70" s="54">
        <v>0.3334571238241788</v>
      </c>
      <c r="F70" s="53">
        <v>1418</v>
      </c>
      <c r="G70" s="16">
        <v>2</v>
      </c>
      <c r="H70" s="16">
        <v>0.49794519904525303</v>
      </c>
      <c r="L70" s="4">
        <f t="shared" si="7"/>
        <v>0.29538773405834556</v>
      </c>
      <c r="N70">
        <f t="shared" si="8"/>
        <v>0.31816583199168225</v>
      </c>
      <c r="Q70" s="55">
        <f t="shared" si="9"/>
        <v>7.5678225617127666</v>
      </c>
      <c r="R70" s="55">
        <f t="shared" si="10"/>
        <v>10.600630292325526</v>
      </c>
      <c r="S70" s="55"/>
      <c r="T70" s="55"/>
      <c r="U70" s="55"/>
      <c r="V70" s="55"/>
      <c r="W70" s="55">
        <f t="shared" si="11"/>
        <v>7.3231765176612393</v>
      </c>
      <c r="X70" s="55">
        <f t="shared" si="12"/>
        <v>11.121039316253595</v>
      </c>
      <c r="Y70" s="55"/>
    </row>
    <row r="71" spans="1:25">
      <c r="A71" s="53">
        <v>1421</v>
      </c>
      <c r="B71" s="16">
        <v>7.1870000000000003</v>
      </c>
      <c r="C71" s="54">
        <v>0.73368799877572932</v>
      </c>
      <c r="F71" s="53">
        <v>1421</v>
      </c>
      <c r="G71" s="16">
        <v>2</v>
      </c>
      <c r="H71" s="16">
        <v>0.49794519904525303</v>
      </c>
      <c r="L71" s="4">
        <f t="shared" si="7"/>
        <v>0.49140596692579985</v>
      </c>
      <c r="N71">
        <f t="shared" si="8"/>
        <v>0.49403127178098077</v>
      </c>
      <c r="Q71" s="55">
        <f t="shared" si="9"/>
        <v>10.198258730658914</v>
      </c>
      <c r="R71" s="55">
        <f t="shared" si="10"/>
        <v>19.664778487614289</v>
      </c>
      <c r="S71" s="55"/>
      <c r="T71" s="55"/>
      <c r="U71" s="55"/>
      <c r="V71" s="55"/>
      <c r="W71" s="55">
        <f t="shared" si="11"/>
        <v>10.145616472946692</v>
      </c>
      <c r="X71" s="55">
        <f t="shared" si="12"/>
        <v>19.863513861677919</v>
      </c>
      <c r="Y71" s="55"/>
    </row>
    <row r="72" spans="1:25">
      <c r="A72" s="53">
        <v>1424</v>
      </c>
      <c r="B72" s="16">
        <v>3.948</v>
      </c>
      <c r="C72" s="54">
        <v>0.56158910567907849</v>
      </c>
      <c r="F72" s="53">
        <v>1424</v>
      </c>
      <c r="G72" s="16">
        <v>2</v>
      </c>
      <c r="H72" s="16">
        <v>0.49794519904525303</v>
      </c>
      <c r="L72" s="4">
        <f t="shared" si="7"/>
        <v>0.4266788531948954</v>
      </c>
      <c r="N72">
        <f t="shared" si="8"/>
        <v>0.4618267288307259</v>
      </c>
      <c r="Q72" s="55">
        <f t="shared" si="9"/>
        <v>9.5879901073292082</v>
      </c>
      <c r="R72" s="55">
        <f t="shared" si="10"/>
        <v>12.826490609316902</v>
      </c>
      <c r="S72" s="55"/>
      <c r="T72" s="55"/>
      <c r="U72" s="55"/>
      <c r="V72" s="55"/>
      <c r="W72" s="55">
        <f t="shared" si="11"/>
        <v>9.0001913042187081</v>
      </c>
      <c r="X72" s="55">
        <f t="shared" si="12"/>
        <v>14.05440996331097</v>
      </c>
      <c r="Y72" s="55"/>
    </row>
    <row r="73" spans="1:25">
      <c r="A73" s="53">
        <v>1427</v>
      </c>
      <c r="B73" s="16">
        <v>2.5219999999999998</v>
      </c>
      <c r="C73" s="54">
        <v>0.44299242933043115</v>
      </c>
      <c r="F73" s="53">
        <v>1427</v>
      </c>
      <c r="G73" s="16">
        <v>1</v>
      </c>
      <c r="H73" s="16">
        <v>0.29144174484044927</v>
      </c>
      <c r="L73" s="4">
        <f t="shared" si="7"/>
        <v>0.25007130454676801</v>
      </c>
      <c r="N73">
        <f t="shared" si="8"/>
        <v>0.2742650809915107</v>
      </c>
      <c r="Q73" s="55">
        <f t="shared" si="9"/>
        <v>7.1100340700839846</v>
      </c>
      <c r="R73" s="55">
        <f t="shared" si="10"/>
        <v>9.5585486766405428</v>
      </c>
      <c r="S73" s="55"/>
      <c r="T73" s="55"/>
      <c r="U73" s="55"/>
      <c r="V73" s="55"/>
      <c r="W73" s="55">
        <f t="shared" si="11"/>
        <v>6.8806541625687059</v>
      </c>
      <c r="X73" s="55">
        <f t="shared" si="12"/>
        <v>10.007037305941253</v>
      </c>
      <c r="Y73" s="55"/>
    </row>
    <row r="74" spans="1:25">
      <c r="A74" s="53">
        <v>1430</v>
      </c>
      <c r="B74" s="16">
        <v>2.8970000000000002</v>
      </c>
      <c r="C74" s="54">
        <v>0.4779974660883326</v>
      </c>
      <c r="F74" s="53">
        <v>1430</v>
      </c>
      <c r="G74" s="16">
        <v>2</v>
      </c>
      <c r="H74" s="16">
        <v>0.49794519904525303</v>
      </c>
      <c r="L74" s="4">
        <f t="shared" si="7"/>
        <v>0.3842676388433372</v>
      </c>
      <c r="N74">
        <f t="shared" si="8"/>
        <v>0.42292523714115421</v>
      </c>
      <c r="Q74" s="55">
        <f t="shared" si="9"/>
        <v>8.941649041169649</v>
      </c>
      <c r="R74" s="55">
        <f t="shared" si="10"/>
        <v>11.544074250645791</v>
      </c>
      <c r="S74" s="55"/>
      <c r="T74" s="55"/>
      <c r="U74" s="55"/>
      <c r="V74" s="55"/>
      <c r="W74" s="55">
        <f t="shared" si="11"/>
        <v>8.3802644225274445</v>
      </c>
      <c r="X74" s="55">
        <f t="shared" si="12"/>
        <v>12.636993405325896</v>
      </c>
      <c r="Y74" s="55"/>
    </row>
    <row r="75" spans="1:25">
      <c r="A75" s="53">
        <v>1433</v>
      </c>
      <c r="B75" s="16">
        <v>0.371</v>
      </c>
      <c r="C75" s="54">
        <v>0.13555596073723031</v>
      </c>
      <c r="F75" s="53">
        <v>1433</v>
      </c>
      <c r="G75" s="16">
        <v>1</v>
      </c>
      <c r="H75" s="16">
        <v>0.29144174484044927</v>
      </c>
      <c r="L75" s="4">
        <f t="shared" si="7"/>
        <v>0.11080802666693718</v>
      </c>
      <c r="N75">
        <f t="shared" si="8"/>
        <v>0.12551399688952145</v>
      </c>
      <c r="Q75" s="55">
        <f t="shared" si="9"/>
        <v>5.9006090224958232</v>
      </c>
      <c r="R75" s="55">
        <f t="shared" si="10"/>
        <v>7.3870861197944446</v>
      </c>
      <c r="S75" s="55"/>
      <c r="T75" s="55"/>
      <c r="U75" s="55"/>
      <c r="V75" s="55"/>
      <c r="W75" s="55">
        <f t="shared" si="11"/>
        <v>5.8030213438141658</v>
      </c>
      <c r="X75" s="55">
        <f t="shared" si="12"/>
        <v>7.5459522046706082</v>
      </c>
      <c r="Y75" s="55"/>
    </row>
    <row r="76" spans="1:25">
      <c r="A76" s="53">
        <v>1436</v>
      </c>
      <c r="B76" s="16">
        <v>4.04</v>
      </c>
      <c r="C76" s="54">
        <v>0.56805770314116522</v>
      </c>
      <c r="F76" s="53">
        <v>1436</v>
      </c>
      <c r="G76" s="16">
        <v>2</v>
      </c>
      <c r="H76" s="16">
        <v>0.49794519904525303</v>
      </c>
      <c r="L76" s="4">
        <f t="shared" si="7"/>
        <v>0.42967797225304238</v>
      </c>
      <c r="N76">
        <f t="shared" si="8"/>
        <v>0.46409496221852481</v>
      </c>
      <c r="Q76" s="55">
        <f t="shared" si="9"/>
        <v>9.6285715494693349</v>
      </c>
      <c r="R76" s="55">
        <f t="shared" si="10"/>
        <v>12.961825964536546</v>
      </c>
      <c r="S76" s="55"/>
      <c r="T76" s="55"/>
      <c r="U76" s="55"/>
      <c r="V76" s="55"/>
      <c r="W76" s="55">
        <f t="shared" si="11"/>
        <v>9.0475200833193252</v>
      </c>
      <c r="X76" s="55">
        <f t="shared" si="12"/>
        <v>14.188489739081385</v>
      </c>
      <c r="Y76" s="55"/>
    </row>
    <row r="77" spans="1:25">
      <c r="A77" s="53">
        <v>1440</v>
      </c>
      <c r="B77" s="16">
        <v>0.88600000000000001</v>
      </c>
      <c r="C77" s="54">
        <v>0.2370229148539246</v>
      </c>
      <c r="F77" s="53">
        <v>1440</v>
      </c>
      <c r="G77" s="16">
        <v>1</v>
      </c>
      <c r="H77" s="16">
        <v>0.29144174484044927</v>
      </c>
      <c r="L77" s="4">
        <f t="shared" si="7"/>
        <v>0.16791524821591836</v>
      </c>
      <c r="N77">
        <f t="shared" si="8"/>
        <v>0.19912209243235046</v>
      </c>
      <c r="Q77" s="55">
        <f t="shared" si="9"/>
        <v>6.4429296291509193</v>
      </c>
      <c r="R77" s="55">
        <f t="shared" si="10"/>
        <v>7.6939429105171691</v>
      </c>
      <c r="S77" s="55"/>
      <c r="T77" s="55"/>
      <c r="U77" s="55"/>
      <c r="V77" s="55"/>
      <c r="W77" s="55">
        <f t="shared" si="11"/>
        <v>6.2012913816007202</v>
      </c>
      <c r="X77" s="55">
        <f t="shared" si="12"/>
        <v>8.0694272436753707</v>
      </c>
      <c r="Y77" s="55"/>
    </row>
    <row r="78" spans="1:25">
      <c r="A78" s="53">
        <v>1442</v>
      </c>
      <c r="B78" s="16">
        <v>0.32400000000000001</v>
      </c>
      <c r="C78" s="54">
        <v>0.12407396530132288</v>
      </c>
      <c r="F78" s="53">
        <v>1442</v>
      </c>
      <c r="G78" s="16">
        <v>1</v>
      </c>
      <c r="H78" s="16">
        <v>0.29144174484044927</v>
      </c>
      <c r="L78" s="4">
        <f t="shared" si="7"/>
        <v>0.10340808510391082</v>
      </c>
      <c r="N78">
        <f t="shared" si="8"/>
        <v>0.11584901691558608</v>
      </c>
      <c r="Q78" s="55">
        <f t="shared" si="9"/>
        <v>5.8361072924434581</v>
      </c>
      <c r="R78" s="55">
        <f t="shared" si="10"/>
        <v>7.3679203174989372</v>
      </c>
      <c r="S78" s="55"/>
      <c r="T78" s="55"/>
      <c r="U78" s="55"/>
      <c r="V78" s="55"/>
      <c r="W78" s="55">
        <f t="shared" si="11"/>
        <v>5.7551266236858947</v>
      </c>
      <c r="X78" s="55">
        <f t="shared" si="12"/>
        <v>7.5011734216184678</v>
      </c>
      <c r="Y78" s="55"/>
    </row>
    <row r="79" spans="1:25">
      <c r="A79" s="53">
        <v>1444</v>
      </c>
      <c r="B79" s="16">
        <v>11.140999999999998</v>
      </c>
      <c r="C79" s="54">
        <v>0.84918957516718352</v>
      </c>
      <c r="F79" s="53">
        <v>1444</v>
      </c>
      <c r="G79" s="16">
        <v>4</v>
      </c>
      <c r="H79" s="16">
        <v>0.74794097683828942</v>
      </c>
      <c r="L79" s="4">
        <f t="shared" si="7"/>
        <v>0.7322002569846976</v>
      </c>
      <c r="N79">
        <f t="shared" si="8"/>
        <v>0.74199246609063618</v>
      </c>
      <c r="Q79" s="55">
        <f t="shared" si="9"/>
        <v>19.999415993072013</v>
      </c>
      <c r="R79" s="55">
        <f t="shared" si="10"/>
        <v>35.620128538177909</v>
      </c>
      <c r="S79" s="55"/>
      <c r="T79" s="55"/>
      <c r="U79" s="55"/>
      <c r="V79" s="55"/>
      <c r="W79" s="55">
        <f t="shared" si="11"/>
        <v>19.268129020217735</v>
      </c>
      <c r="X79" s="55">
        <f t="shared" si="12"/>
        <v>38.202497005480765</v>
      </c>
      <c r="Y79" s="55"/>
    </row>
    <row r="80" spans="1:25">
      <c r="A80" s="53">
        <v>1450</v>
      </c>
      <c r="B80" s="16">
        <v>4.3209999999999997</v>
      </c>
      <c r="C80" s="54">
        <v>0.58709056038240681</v>
      </c>
      <c r="F80" s="53">
        <v>1450</v>
      </c>
      <c r="G80" s="16">
        <v>2</v>
      </c>
      <c r="H80" s="16">
        <v>0.49794519904525303</v>
      </c>
      <c r="L80" s="4">
        <f t="shared" si="7"/>
        <v>0.43826037016252428</v>
      </c>
      <c r="N80">
        <f t="shared" si="8"/>
        <v>0.47018200060814758</v>
      </c>
      <c r="Q80" s="55">
        <f t="shared" si="9"/>
        <v>9.7391934700649418</v>
      </c>
      <c r="R80" s="55">
        <f t="shared" si="10"/>
        <v>13.397508396250748</v>
      </c>
      <c r="S80" s="55"/>
      <c r="T80" s="55"/>
      <c r="U80" s="55"/>
      <c r="V80" s="55"/>
      <c r="W80" s="55">
        <f t="shared" si="11"/>
        <v>9.1857503475282805</v>
      </c>
      <c r="X80" s="55">
        <f t="shared" si="12"/>
        <v>14.608268629031548</v>
      </c>
      <c r="Y80" s="55"/>
    </row>
    <row r="81" spans="1:25">
      <c r="A81" s="53">
        <v>1453</v>
      </c>
      <c r="B81" s="16">
        <v>29.376999999999999</v>
      </c>
      <c r="C81" s="54">
        <v>0.98681622246513889</v>
      </c>
      <c r="F81" s="53">
        <v>1453</v>
      </c>
      <c r="G81" s="16">
        <v>11</v>
      </c>
      <c r="H81" s="16">
        <v>0.97739881634589665</v>
      </c>
      <c r="L81" s="4">
        <f t="shared" si="7"/>
        <v>0.97556635378437906</v>
      </c>
      <c r="N81">
        <f t="shared" si="8"/>
        <v>0.97671047042613712</v>
      </c>
      <c r="Q81" s="55">
        <f t="shared" si="9"/>
        <v>221.55879034117157</v>
      </c>
      <c r="R81" s="55">
        <f t="shared" si="10"/>
        <v>412.95092150028557</v>
      </c>
      <c r="S81" s="55"/>
      <c r="T81" s="55"/>
      <c r="U81" s="55"/>
      <c r="V81" s="55"/>
      <c r="W81" s="55">
        <f t="shared" si="11"/>
        <v>211.18419880783509</v>
      </c>
      <c r="X81" s="55">
        <f t="shared" si="12"/>
        <v>454.57288535445576</v>
      </c>
      <c r="Y81" s="55"/>
    </row>
    <row r="82" spans="1:25">
      <c r="A82" s="53">
        <v>1468</v>
      </c>
      <c r="B82" s="16">
        <v>11.721</v>
      </c>
      <c r="C82" s="54">
        <v>0.86095886851433301</v>
      </c>
      <c r="F82" s="53">
        <v>1468</v>
      </c>
      <c r="G82" s="16">
        <v>6</v>
      </c>
      <c r="H82" s="16">
        <v>0.87345255729769944</v>
      </c>
      <c r="L82" s="4">
        <f t="shared" si="7"/>
        <v>0.82693310311872881</v>
      </c>
      <c r="N82">
        <f t="shared" si="8"/>
        <v>0.84257753928735057</v>
      </c>
      <c r="Q82" s="55">
        <f t="shared" si="9"/>
        <v>32.778041815893026</v>
      </c>
      <c r="R82" s="55">
        <f t="shared" si="10"/>
        <v>47.704404218770733</v>
      </c>
      <c r="S82" s="55"/>
      <c r="T82" s="55"/>
      <c r="U82" s="55"/>
      <c r="V82" s="55"/>
      <c r="W82" s="55">
        <f t="shared" si="11"/>
        <v>29.815060493861555</v>
      </c>
      <c r="X82" s="55">
        <f t="shared" si="12"/>
        <v>55.770713958149777</v>
      </c>
      <c r="Y82" s="55"/>
    </row>
    <row r="83" spans="1:25">
      <c r="A83" s="53">
        <v>1481</v>
      </c>
      <c r="B83" s="16">
        <v>2.089</v>
      </c>
      <c r="C83" s="54">
        <v>0.39821588111780953</v>
      </c>
      <c r="F83" s="53">
        <v>1481</v>
      </c>
      <c r="G83" s="16">
        <v>1</v>
      </c>
      <c r="H83" s="16">
        <v>0.29144174484044927</v>
      </c>
      <c r="L83" s="4">
        <f t="shared" si="7"/>
        <v>0.23542588728781136</v>
      </c>
      <c r="N83">
        <f t="shared" si="8"/>
        <v>0.26533517877567314</v>
      </c>
      <c r="Q83" s="55">
        <f t="shared" si="9"/>
        <v>7.023611109350254</v>
      </c>
      <c r="R83" s="55">
        <f t="shared" si="10"/>
        <v>8.9633510543298538</v>
      </c>
      <c r="S83" s="55"/>
      <c r="T83" s="55"/>
      <c r="U83" s="55"/>
      <c r="V83" s="55"/>
      <c r="W83" s="55">
        <f t="shared" si="11"/>
        <v>6.748855230915197</v>
      </c>
      <c r="X83" s="55">
        <f t="shared" si="12"/>
        <v>9.4545622485075693</v>
      </c>
      <c r="Y83" s="55"/>
    </row>
    <row r="84" spans="1:25">
      <c r="A84" s="53">
        <v>1483</v>
      </c>
      <c r="B84" s="16">
        <v>7.0000000000000001E-3</v>
      </c>
      <c r="C84" s="54">
        <v>9.6484178597904119E-3</v>
      </c>
      <c r="F84" s="53">
        <v>1483</v>
      </c>
      <c r="G84" s="16">
        <v>1</v>
      </c>
      <c r="H84" s="16">
        <v>0.29144174484044927</v>
      </c>
      <c r="L84" s="4">
        <f t="shared" si="7"/>
        <v>1.159211838316274E-2</v>
      </c>
      <c r="N84">
        <f t="shared" si="8"/>
        <v>9.5773703989061147E-3</v>
      </c>
      <c r="Q84" s="55">
        <f t="shared" si="9"/>
        <v>5.209897114404848</v>
      </c>
      <c r="R84" s="55">
        <f t="shared" si="10"/>
        <v>7.2831237373514437</v>
      </c>
      <c r="S84" s="55"/>
      <c r="T84" s="55"/>
      <c r="U84" s="55"/>
      <c r="V84" s="55"/>
      <c r="W84" s="55">
        <f t="shared" si="11"/>
        <v>5.2205168493388321</v>
      </c>
      <c r="X84" s="55">
        <f t="shared" si="12"/>
        <v>7.2624712131021383</v>
      </c>
      <c r="Y84" s="55"/>
    </row>
    <row r="85" spans="1:25">
      <c r="A85" s="53">
        <v>1488</v>
      </c>
      <c r="B85" s="16">
        <v>3.6629999999999998</v>
      </c>
      <c r="C85" s="54">
        <v>0.54075636977210284</v>
      </c>
      <c r="F85" s="53">
        <v>1488</v>
      </c>
      <c r="G85" s="16">
        <v>3</v>
      </c>
      <c r="H85" s="16">
        <v>0.64426492624102893</v>
      </c>
      <c r="L85" s="4">
        <f t="shared" si="7"/>
        <v>0.49166736075274525</v>
      </c>
      <c r="N85">
        <f t="shared" si="8"/>
        <v>0.51944360360928477</v>
      </c>
      <c r="Q85" s="55">
        <f t="shared" si="9"/>
        <v>10.737553466679225</v>
      </c>
      <c r="R85" s="55">
        <f t="shared" si="10"/>
        <v>15.429592711952681</v>
      </c>
      <c r="S85" s="55"/>
      <c r="T85" s="55"/>
      <c r="U85" s="55"/>
      <c r="V85" s="55"/>
      <c r="W85" s="55">
        <f t="shared" si="11"/>
        <v>10.150833532233918</v>
      </c>
      <c r="X85" s="55">
        <f t="shared" si="12"/>
        <v>16.827217412300989</v>
      </c>
      <c r="Y85" s="55"/>
    </row>
    <row r="86" spans="1:25">
      <c r="A86" s="53">
        <v>1492</v>
      </c>
      <c r="B86" s="16">
        <v>8.9999999999999993E-3</v>
      </c>
      <c r="C86" s="54">
        <v>1.1416708762249504E-2</v>
      </c>
      <c r="F86" s="53">
        <v>1492</v>
      </c>
      <c r="G86" s="16">
        <v>1</v>
      </c>
      <c r="H86" s="16">
        <v>0.29144174484044927</v>
      </c>
      <c r="L86" s="4">
        <f t="shared" si="7"/>
        <v>1.3486923977384085E-2</v>
      </c>
      <c r="N86">
        <f t="shared" si="8"/>
        <v>1.1323402999832765E-2</v>
      </c>
      <c r="Q86" s="55">
        <f t="shared" si="9"/>
        <v>5.2190979493763896</v>
      </c>
      <c r="R86" s="55">
        <f t="shared" si="10"/>
        <v>7.2833525559604402</v>
      </c>
      <c r="S86" s="55"/>
      <c r="T86" s="55"/>
      <c r="U86" s="55"/>
      <c r="V86" s="55"/>
      <c r="W86" s="55">
        <f t="shared" si="11"/>
        <v>5.2305439485950682</v>
      </c>
      <c r="X86" s="55">
        <f t="shared" si="12"/>
        <v>7.2611782599694381</v>
      </c>
      <c r="Y86" s="55"/>
    </row>
    <row r="87" spans="1:25">
      <c r="A87" s="53">
        <v>1496</v>
      </c>
      <c r="B87" s="16">
        <v>8.7859999999999996</v>
      </c>
      <c r="C87" s="54">
        <v>0.78916270430761171</v>
      </c>
      <c r="F87" s="53">
        <v>1496</v>
      </c>
      <c r="G87" s="16">
        <v>2</v>
      </c>
      <c r="H87" s="16">
        <v>0.49794519904525303</v>
      </c>
      <c r="L87" s="4">
        <f t="shared" si="7"/>
        <v>0.50476311497144322</v>
      </c>
      <c r="N87">
        <f t="shared" si="8"/>
        <v>0.49653176425556106</v>
      </c>
      <c r="Q87" s="55">
        <f t="shared" si="9"/>
        <v>10.248908736755386</v>
      </c>
      <c r="R87" s="55">
        <f t="shared" si="10"/>
        <v>24.639026220596076</v>
      </c>
      <c r="S87" s="55"/>
      <c r="T87" s="55"/>
      <c r="U87" s="55"/>
      <c r="V87" s="55"/>
      <c r="W87" s="55">
        <f t="shared" si="11"/>
        <v>10.419256230687381</v>
      </c>
      <c r="X87" s="55">
        <f t="shared" si="12"/>
        <v>23.707220064376148</v>
      </c>
      <c r="Y87" s="55"/>
    </row>
    <row r="88" spans="1:25">
      <c r="A88" s="53">
        <v>1501</v>
      </c>
      <c r="B88" s="16">
        <v>12.855</v>
      </c>
      <c r="C88" s="54">
        <v>0.88124211417442211</v>
      </c>
      <c r="F88" s="53">
        <v>1501</v>
      </c>
      <c r="G88" s="16">
        <v>7</v>
      </c>
      <c r="H88" s="16">
        <v>0.91033376480395467</v>
      </c>
      <c r="L88" s="4">
        <f t="shared" si="7"/>
        <v>0.8624012945818792</v>
      </c>
      <c r="N88">
        <f t="shared" si="8"/>
        <v>0.87294726572496106</v>
      </c>
      <c r="Q88" s="55">
        <f t="shared" si="9"/>
        <v>40.613057479186779</v>
      </c>
      <c r="R88" s="55">
        <f t="shared" si="10"/>
        <v>63.412953942518385</v>
      </c>
      <c r="S88" s="55"/>
      <c r="T88" s="55"/>
      <c r="U88" s="55"/>
      <c r="V88" s="55"/>
      <c r="W88" s="55">
        <f t="shared" si="11"/>
        <v>37.500352814514663</v>
      </c>
      <c r="X88" s="55">
        <f t="shared" si="12"/>
        <v>72.855202557326479</v>
      </c>
      <c r="Y88" s="55"/>
    </row>
    <row r="89" spans="1:25">
      <c r="A89" s="53">
        <v>1510</v>
      </c>
      <c r="B89" s="16">
        <v>6.7930000000000001</v>
      </c>
      <c r="C89" s="54">
        <v>0.71763227603366064</v>
      </c>
      <c r="F89" s="53">
        <v>1510</v>
      </c>
      <c r="G89" s="16">
        <v>3</v>
      </c>
      <c r="H89" s="16">
        <v>0.64426492624102893</v>
      </c>
      <c r="L89" s="4">
        <f t="shared" si="7"/>
        <v>0.59583736471269855</v>
      </c>
      <c r="N89">
        <f t="shared" si="8"/>
        <v>0.62228946543295749</v>
      </c>
      <c r="Q89" s="55">
        <f t="shared" si="9"/>
        <v>13.661255188221697</v>
      </c>
      <c r="R89" s="55">
        <f t="shared" si="10"/>
        <v>19.816256970982746</v>
      </c>
      <c r="S89" s="55"/>
      <c r="T89" s="55"/>
      <c r="U89" s="55"/>
      <c r="V89" s="55"/>
      <c r="W89" s="55">
        <f t="shared" si="11"/>
        <v>12.76713765569146</v>
      </c>
      <c r="X89" s="55">
        <f t="shared" si="12"/>
        <v>22.056922360936341</v>
      </c>
      <c r="Y89" s="55"/>
    </row>
    <row r="90" spans="1:25">
      <c r="A90" s="53">
        <v>1514</v>
      </c>
      <c r="B90" s="16">
        <v>1.2210000000000001</v>
      </c>
      <c r="C90" s="54">
        <v>0.28925141624848116</v>
      </c>
      <c r="F90" s="53">
        <v>1514</v>
      </c>
      <c r="G90" s="16">
        <v>3</v>
      </c>
      <c r="H90" s="16">
        <v>0.64426492624102893</v>
      </c>
      <c r="L90" s="4">
        <f t="shared" si="7"/>
        <v>0.29457229860788176</v>
      </c>
      <c r="N90">
        <f t="shared" si="8"/>
        <v>0.28753434669146755</v>
      </c>
      <c r="Q90" s="55">
        <f t="shared" si="9"/>
        <v>7.2424543920652233</v>
      </c>
      <c r="R90" s="55">
        <f t="shared" si="10"/>
        <v>14.575529884791857</v>
      </c>
      <c r="S90" s="55"/>
      <c r="T90" s="55"/>
      <c r="U90" s="55"/>
      <c r="V90" s="55"/>
      <c r="W90" s="55">
        <f t="shared" si="11"/>
        <v>7.3147113301860101</v>
      </c>
      <c r="X90" s="55">
        <f t="shared" si="12"/>
        <v>14.291413595482418</v>
      </c>
      <c r="Y90" s="55"/>
    </row>
    <row r="91" spans="1:25">
      <c r="A91" s="53">
        <v>1518</v>
      </c>
      <c r="B91" s="16">
        <v>0.78500000000000003</v>
      </c>
      <c r="C91" s="54">
        <v>0.21960643280581485</v>
      </c>
      <c r="F91" s="53">
        <v>1518</v>
      </c>
      <c r="G91" s="16">
        <v>1</v>
      </c>
      <c r="H91" s="16">
        <v>0.29144174484044927</v>
      </c>
      <c r="L91" s="4">
        <f t="shared" si="7"/>
        <v>0.15904541043491568</v>
      </c>
      <c r="N91">
        <f t="shared" si="8"/>
        <v>0.18817090351289373</v>
      </c>
      <c r="Q91" s="55">
        <f t="shared" si="9"/>
        <v>6.3560175686336136</v>
      </c>
      <c r="R91" s="55">
        <f t="shared" si="10"/>
        <v>7.6204797193830203</v>
      </c>
      <c r="S91" s="55"/>
      <c r="T91" s="55"/>
      <c r="U91" s="55"/>
      <c r="V91" s="55"/>
      <c r="W91" s="55">
        <f t="shared" si="11"/>
        <v>6.1358842249360848</v>
      </c>
      <c r="X91" s="55">
        <f t="shared" si="12"/>
        <v>7.9629969680487305</v>
      </c>
      <c r="Y91" s="55"/>
    </row>
    <row r="92" spans="1:25">
      <c r="A92" s="53">
        <v>1521</v>
      </c>
      <c r="B92" s="16">
        <v>0.42</v>
      </c>
      <c r="C92" s="54">
        <v>0.14695942865867528</v>
      </c>
      <c r="F92" s="53">
        <v>1521</v>
      </c>
      <c r="G92" s="16">
        <v>1</v>
      </c>
      <c r="H92" s="16">
        <v>0.29144174484044927</v>
      </c>
      <c r="L92" s="4">
        <f t="shared" si="7"/>
        <v>0.11794283679065591</v>
      </c>
      <c r="N92">
        <f t="shared" si="8"/>
        <v>0.13487744451046846</v>
      </c>
      <c r="Q92" s="55">
        <f t="shared" si="9"/>
        <v>5.9644728567736882</v>
      </c>
      <c r="R92" s="55">
        <f t="shared" si="10"/>
        <v>7.4087233331111664</v>
      </c>
      <c r="S92" s="55"/>
      <c r="T92" s="55"/>
      <c r="U92" s="55"/>
      <c r="V92" s="55"/>
      <c r="W92" s="55">
        <f t="shared" si="11"/>
        <v>5.8499609948469349</v>
      </c>
      <c r="X92" s="55">
        <f t="shared" si="12"/>
        <v>7.5933534008882395</v>
      </c>
      <c r="Y92" s="55"/>
    </row>
    <row r="93" spans="1:25">
      <c r="A93" s="53">
        <v>1524</v>
      </c>
      <c r="B93" s="16">
        <v>5.7210000000000001</v>
      </c>
      <c r="C93" s="54">
        <v>0.66805735120118792</v>
      </c>
      <c r="F93" s="53">
        <v>1524</v>
      </c>
      <c r="G93" s="16">
        <v>2</v>
      </c>
      <c r="H93" s="16">
        <v>0.49794519904525303</v>
      </c>
      <c r="L93" s="4">
        <f t="shared" si="7"/>
        <v>0.470579291319217</v>
      </c>
      <c r="N93">
        <f t="shared" si="8"/>
        <v>0.48749312244168846</v>
      </c>
      <c r="Q93" s="55">
        <f t="shared" si="9"/>
        <v>10.06815757201797</v>
      </c>
      <c r="R93" s="55">
        <f t="shared" si="10"/>
        <v>16.050237382594943</v>
      </c>
      <c r="S93" s="55"/>
      <c r="T93" s="55"/>
      <c r="U93" s="55"/>
      <c r="V93" s="55"/>
      <c r="W93" s="55">
        <f t="shared" si="11"/>
        <v>9.7465020075579432</v>
      </c>
      <c r="X93" s="55">
        <f t="shared" si="12"/>
        <v>16.941543145499288</v>
      </c>
      <c r="Y93" s="55"/>
    </row>
    <row r="94" spans="1:25">
      <c r="A94" s="53">
        <v>1527</v>
      </c>
      <c r="B94" s="16">
        <v>7.4380000000000006</v>
      </c>
      <c r="C94" s="54">
        <v>0.74337987286143536</v>
      </c>
      <c r="F94" s="53">
        <v>1527</v>
      </c>
      <c r="G94" s="16">
        <v>4</v>
      </c>
      <c r="H94" s="16">
        <v>0.74794097683828942</v>
      </c>
      <c r="L94" s="4">
        <f t="shared" si="7"/>
        <v>0.67638257107195943</v>
      </c>
      <c r="N94">
        <f t="shared" si="8"/>
        <v>0.70359295641023467</v>
      </c>
      <c r="Q94" s="55">
        <f t="shared" si="9"/>
        <v>17.408493190673187</v>
      </c>
      <c r="R94" s="55">
        <f t="shared" si="10"/>
        <v>24.308422241444319</v>
      </c>
      <c r="S94" s="55"/>
      <c r="T94" s="55"/>
      <c r="U94" s="55"/>
      <c r="V94" s="55"/>
      <c r="W94" s="55">
        <f t="shared" si="11"/>
        <v>15.944753090376278</v>
      </c>
      <c r="X94" s="55">
        <f t="shared" si="12"/>
        <v>27.882589450365774</v>
      </c>
      <c r="Y94" s="55"/>
    </row>
    <row r="95" spans="1:25">
      <c r="A95" s="53">
        <v>1532</v>
      </c>
      <c r="B95" s="16">
        <v>3.9689999999999999</v>
      </c>
      <c r="C95" s="54">
        <v>0.56307630672542652</v>
      </c>
      <c r="F95" s="53">
        <v>1532</v>
      </c>
      <c r="G95" s="16">
        <v>2</v>
      </c>
      <c r="H95" s="16">
        <v>0.49794519904525303</v>
      </c>
      <c r="L95" s="4">
        <f t="shared" si="7"/>
        <v>0.42737205216940333</v>
      </c>
      <c r="N95">
        <f t="shared" si="8"/>
        <v>0.4623573605079917</v>
      </c>
      <c r="Q95" s="55">
        <f t="shared" si="9"/>
        <v>9.5974530682228369</v>
      </c>
      <c r="R95" s="55">
        <f t="shared" si="10"/>
        <v>12.857062081775361</v>
      </c>
      <c r="S95" s="55"/>
      <c r="T95" s="55"/>
      <c r="U95" s="55"/>
      <c r="V95" s="55"/>
      <c r="W95" s="55">
        <f t="shared" si="11"/>
        <v>9.0110865520076011</v>
      </c>
      <c r="X95" s="55">
        <f t="shared" si="12"/>
        <v>14.084870490090733</v>
      </c>
      <c r="Y95" s="55"/>
    </row>
    <row r="96" spans="1:25">
      <c r="A96" s="53">
        <v>1535</v>
      </c>
      <c r="B96" s="16">
        <v>1.7729999999999999</v>
      </c>
      <c r="C96" s="54">
        <v>0.36198189140498588</v>
      </c>
      <c r="F96" s="53">
        <v>1535</v>
      </c>
      <c r="G96" s="16">
        <v>1</v>
      </c>
      <c r="H96" s="16">
        <v>0.29144174484044927</v>
      </c>
      <c r="L96" s="4">
        <f t="shared" si="7"/>
        <v>0.22234369952261993</v>
      </c>
      <c r="N96">
        <f t="shared" si="8"/>
        <v>0.2555612964520852</v>
      </c>
      <c r="Q96" s="55">
        <f t="shared" si="9"/>
        <v>6.9313967361019726</v>
      </c>
      <c r="R96" s="55">
        <f t="shared" si="10"/>
        <v>8.5694689786204705</v>
      </c>
      <c r="S96" s="55"/>
      <c r="T96" s="55"/>
      <c r="U96" s="55"/>
      <c r="V96" s="55"/>
      <c r="W96" s="55">
        <f t="shared" si="11"/>
        <v>6.6353220527274441</v>
      </c>
      <c r="X96" s="55">
        <f t="shared" si="12"/>
        <v>9.0698154856352566</v>
      </c>
      <c r="Y96" s="55"/>
    </row>
    <row r="97" spans="1:25">
      <c r="A97" s="53">
        <v>1542</v>
      </c>
      <c r="B97" s="16">
        <v>8.8390000000000004</v>
      </c>
      <c r="C97" s="54">
        <v>0.79076870982949821</v>
      </c>
      <c r="F97" s="53">
        <v>1542</v>
      </c>
      <c r="G97" s="16">
        <v>3</v>
      </c>
      <c r="H97" s="16">
        <v>0.64426492624102893</v>
      </c>
      <c r="L97" s="4">
        <f t="shared" si="7"/>
        <v>0.62772465545065204</v>
      </c>
      <c r="N97">
        <f t="shared" si="8"/>
        <v>0.63789342164635787</v>
      </c>
      <c r="Q97" s="55">
        <f t="shared" si="9"/>
        <v>14.249948243029758</v>
      </c>
      <c r="R97" s="55">
        <f t="shared" si="10"/>
        <v>25.436288347407071</v>
      </c>
      <c r="S97" s="55"/>
      <c r="T97" s="55"/>
      <c r="U97" s="55"/>
      <c r="V97" s="55"/>
      <c r="W97" s="55">
        <f t="shared" si="11"/>
        <v>13.860708412603463</v>
      </c>
      <c r="X97" s="55">
        <f t="shared" si="12"/>
        <v>26.778622151667481</v>
      </c>
      <c r="Y97" s="55"/>
    </row>
    <row r="98" spans="1:25">
      <c r="A98" s="53">
        <v>1547</v>
      </c>
      <c r="B98" s="16">
        <v>0.375</v>
      </c>
      <c r="C98" s="54">
        <v>0.13650731467200278</v>
      </c>
      <c r="F98" s="53">
        <v>1547</v>
      </c>
      <c r="G98" s="16">
        <v>1</v>
      </c>
      <c r="H98" s="16">
        <v>0.29144174484044927</v>
      </c>
      <c r="L98" s="4">
        <f t="shared" si="7"/>
        <v>0.11141125366434944</v>
      </c>
      <c r="N98">
        <f t="shared" si="8"/>
        <v>0.12630432289411525</v>
      </c>
      <c r="Q98" s="55">
        <f t="shared" si="9"/>
        <v>5.905946584390219</v>
      </c>
      <c r="R98" s="55">
        <f t="shared" si="10"/>
        <v>7.3887894465255446</v>
      </c>
      <c r="S98" s="55"/>
      <c r="T98" s="55"/>
      <c r="U98" s="55"/>
      <c r="V98" s="55"/>
      <c r="W98" s="55">
        <f t="shared" si="11"/>
        <v>5.8069607805396295</v>
      </c>
      <c r="X98" s="55">
        <f t="shared" si="12"/>
        <v>7.5497957958055046</v>
      </c>
      <c r="Y98" s="55"/>
    </row>
    <row r="99" spans="1:25">
      <c r="A99" s="53">
        <v>1555</v>
      </c>
      <c r="B99" s="16">
        <v>1.752</v>
      </c>
      <c r="C99" s="54">
        <v>0.35945120539506242</v>
      </c>
      <c r="F99" s="53">
        <v>1555</v>
      </c>
      <c r="G99" s="16">
        <v>2</v>
      </c>
      <c r="H99" s="16">
        <v>0.49794519904525303</v>
      </c>
      <c r="L99" s="4">
        <f t="shared" si="7"/>
        <v>0.31281791658151947</v>
      </c>
      <c r="N99">
        <f t="shared" si="8"/>
        <v>0.33973423983450995</v>
      </c>
      <c r="Q99" s="55">
        <f t="shared" si="9"/>
        <v>7.8150349621441677</v>
      </c>
      <c r="R99" s="55">
        <f t="shared" si="10"/>
        <v>10.697896000182007</v>
      </c>
      <c r="S99" s="55"/>
      <c r="T99" s="55"/>
      <c r="U99" s="55"/>
      <c r="V99" s="55"/>
      <c r="W99" s="55">
        <f t="shared" si="11"/>
        <v>7.5089268543365977</v>
      </c>
      <c r="X99" s="55">
        <f t="shared" si="12"/>
        <v>11.330163074071336</v>
      </c>
      <c r="Y99" s="55"/>
    </row>
    <row r="100" spans="1:25">
      <c r="A100" s="53">
        <v>1560</v>
      </c>
      <c r="B100" s="16">
        <v>4.6189999999999998</v>
      </c>
      <c r="C100" s="54">
        <v>0.60615715048453911</v>
      </c>
      <c r="F100" s="53">
        <v>1560</v>
      </c>
      <c r="G100" s="16">
        <v>2</v>
      </c>
      <c r="H100" s="16">
        <v>0.49794519904525303</v>
      </c>
      <c r="L100" s="4">
        <f t="shared" si="7"/>
        <v>0.446490620078489</v>
      </c>
      <c r="N100">
        <f t="shared" si="8"/>
        <v>0.47544050991187686</v>
      </c>
      <c r="Q100" s="55">
        <f t="shared" si="9"/>
        <v>9.8368251790338359</v>
      </c>
      <c r="R100" s="55">
        <f t="shared" si="10"/>
        <v>13.895690102764201</v>
      </c>
      <c r="S100" s="55"/>
      <c r="T100" s="55"/>
      <c r="U100" s="55"/>
      <c r="V100" s="55"/>
      <c r="W100" s="55">
        <f t="shared" si="11"/>
        <v>9.3223352434094284</v>
      </c>
      <c r="X100" s="55">
        <f t="shared" si="12"/>
        <v>15.070609725417299</v>
      </c>
      <c r="Y100" s="55"/>
    </row>
    <row r="101" spans="1:25">
      <c r="A101" s="53">
        <v>1563</v>
      </c>
      <c r="B101" s="16">
        <v>0.56100000000000005</v>
      </c>
      <c r="C101" s="54">
        <v>0.17721672358456339</v>
      </c>
      <c r="F101" s="53">
        <v>1563</v>
      </c>
      <c r="G101" s="16">
        <v>1</v>
      </c>
      <c r="H101" s="16">
        <v>0.29144174484044927</v>
      </c>
      <c r="L101" s="4">
        <f t="shared" si="7"/>
        <v>0.13592379293123066</v>
      </c>
      <c r="N101">
        <f t="shared" si="8"/>
        <v>0.1584823979941021</v>
      </c>
      <c r="Q101" s="55">
        <f t="shared" si="9"/>
        <v>6.1317790474023095</v>
      </c>
      <c r="R101" s="55">
        <f t="shared" si="10"/>
        <v>7.4801696183883966</v>
      </c>
      <c r="S101" s="55"/>
      <c r="T101" s="55"/>
      <c r="U101" s="55"/>
      <c r="V101" s="55"/>
      <c r="W101" s="55">
        <f t="shared" si="11"/>
        <v>5.9716955029978402</v>
      </c>
      <c r="X101" s="55">
        <f t="shared" si="12"/>
        <v>7.7330558182660605</v>
      </c>
      <c r="Y101" s="55"/>
    </row>
    <row r="102" spans="1:25">
      <c r="A102" s="53">
        <v>1566</v>
      </c>
      <c r="B102" s="16">
        <v>15.484999999999999</v>
      </c>
      <c r="C102" s="54">
        <v>0.91720204060964194</v>
      </c>
      <c r="F102" s="53">
        <v>1566</v>
      </c>
      <c r="G102" s="16">
        <v>9</v>
      </c>
      <c r="H102" s="16">
        <v>0.95498263613628798</v>
      </c>
      <c r="L102" s="4">
        <f t="shared" si="7"/>
        <v>0.91256201840858164</v>
      </c>
      <c r="N102">
        <f t="shared" si="8"/>
        <v>0.91542413911231313</v>
      </c>
      <c r="Q102" s="55">
        <f t="shared" si="9"/>
        <v>61.010316015018276</v>
      </c>
      <c r="R102" s="55">
        <f t="shared" si="10"/>
        <v>119.33543382842046</v>
      </c>
      <c r="S102" s="55"/>
      <c r="T102" s="55"/>
      <c r="U102" s="55"/>
      <c r="V102" s="55"/>
      <c r="W102" s="55">
        <f t="shared" si="11"/>
        <v>59.013256094036265</v>
      </c>
      <c r="X102" s="55">
        <f t="shared" si="12"/>
        <v>127.79444578375754</v>
      </c>
      <c r="Y102" s="55"/>
    </row>
    <row r="103" spans="1:25">
      <c r="A103" s="53">
        <v>1577</v>
      </c>
      <c r="B103" s="16">
        <v>3.2069999999999999</v>
      </c>
      <c r="C103" s="54">
        <v>0.50468870578377234</v>
      </c>
      <c r="F103" s="53">
        <v>1577</v>
      </c>
      <c r="G103" s="16">
        <v>1</v>
      </c>
      <c r="H103" s="16">
        <v>0.29144174484044927</v>
      </c>
      <c r="L103" s="4">
        <f t="shared" si="7"/>
        <v>0.26761563982495185</v>
      </c>
      <c r="N103">
        <f t="shared" si="8"/>
        <v>0.28223567962819607</v>
      </c>
      <c r="Q103" s="55">
        <f t="shared" si="9"/>
        <v>7.1889892734248839</v>
      </c>
      <c r="R103" s="55">
        <f t="shared" si="10"/>
        <v>10.61498558773539</v>
      </c>
      <c r="S103" s="55"/>
      <c r="T103" s="55"/>
      <c r="U103" s="55"/>
      <c r="V103" s="55"/>
      <c r="W103" s="55">
        <f t="shared" si="11"/>
        <v>7.0454808712281922</v>
      </c>
      <c r="X103" s="55">
        <f t="shared" si="12"/>
        <v>10.944140172774718</v>
      </c>
      <c r="Y103" s="55"/>
    </row>
    <row r="104" spans="1:25">
      <c r="A104" s="53">
        <v>1581</v>
      </c>
      <c r="B104" s="16">
        <v>1.4239999999999999</v>
      </c>
      <c r="C104" s="54">
        <v>0.31762678673165723</v>
      </c>
      <c r="F104" s="53">
        <v>1581</v>
      </c>
      <c r="G104" s="16">
        <v>2</v>
      </c>
      <c r="H104" s="16">
        <v>0.49794519904525303</v>
      </c>
      <c r="L104" s="4">
        <f t="shared" si="7"/>
        <v>0.2844568235350533</v>
      </c>
      <c r="N104">
        <f t="shared" si="8"/>
        <v>0.30460315588635312</v>
      </c>
      <c r="Q104" s="55">
        <f t="shared" si="9"/>
        <v>7.4202234935031068</v>
      </c>
      <c r="R104" s="55">
        <f t="shared" si="10"/>
        <v>10.551474661308841</v>
      </c>
      <c r="S104" s="55"/>
      <c r="T104" s="55"/>
      <c r="U104" s="55"/>
      <c r="V104" s="55"/>
      <c r="W104" s="55">
        <f t="shared" si="11"/>
        <v>7.2113048795913999</v>
      </c>
      <c r="X104" s="55">
        <f t="shared" si="12"/>
        <v>11.004834416636854</v>
      </c>
      <c r="Y104" s="55"/>
    </row>
    <row r="105" spans="1:25">
      <c r="A105" s="53">
        <v>1585</v>
      </c>
      <c r="B105" s="16">
        <v>0.36</v>
      </c>
      <c r="C105" s="54">
        <v>0.13291972010641789</v>
      </c>
      <c r="F105" s="53">
        <v>1585</v>
      </c>
      <c r="G105" s="16">
        <v>1</v>
      </c>
      <c r="H105" s="16">
        <v>0.29144174484044927</v>
      </c>
      <c r="L105" s="4">
        <f t="shared" si="7"/>
        <v>0.10912866949789089</v>
      </c>
      <c r="N105">
        <f t="shared" si="8"/>
        <v>0.12331546218372269</v>
      </c>
      <c r="Q105" s="55">
        <f t="shared" si="9"/>
        <v>5.8858115746548698</v>
      </c>
      <c r="R105" s="55">
        <f t="shared" si="10"/>
        <v>7.3824601052412655</v>
      </c>
      <c r="S105" s="55"/>
      <c r="T105" s="55"/>
      <c r="U105" s="55"/>
      <c r="V105" s="55"/>
      <c r="W105" s="55">
        <f t="shared" si="11"/>
        <v>5.7920822270616155</v>
      </c>
      <c r="X105" s="55">
        <f t="shared" si="12"/>
        <v>7.535407603790282</v>
      </c>
      <c r="Y105" s="55"/>
    </row>
    <row r="106" spans="1:25">
      <c r="A106" s="53">
        <v>1590</v>
      </c>
      <c r="B106" s="16">
        <v>2.6970000000000001</v>
      </c>
      <c r="C106" s="54">
        <v>0.45972474016050929</v>
      </c>
      <c r="F106" s="53">
        <v>1590</v>
      </c>
      <c r="G106" s="16">
        <v>3</v>
      </c>
      <c r="H106" s="16">
        <v>0.64426492624102893</v>
      </c>
      <c r="L106" s="4">
        <f t="shared" si="7"/>
        <v>0.43381028404204081</v>
      </c>
      <c r="N106">
        <f t="shared" si="8"/>
        <v>0.44982403897595319</v>
      </c>
      <c r="Q106" s="55">
        <f t="shared" si="9"/>
        <v>9.3788176248116173</v>
      </c>
      <c r="R106" s="55">
        <f t="shared" si="10"/>
        <v>14.920437091283334</v>
      </c>
      <c r="S106" s="55"/>
      <c r="T106" s="55"/>
      <c r="U106" s="55"/>
      <c r="V106" s="55"/>
      <c r="W106" s="55">
        <f t="shared" si="11"/>
        <v>9.1135530274858283</v>
      </c>
      <c r="X106" s="55">
        <f t="shared" si="12"/>
        <v>15.644867919155651</v>
      </c>
      <c r="Y106" s="55"/>
    </row>
    <row r="107" spans="1:25">
      <c r="A107" s="53">
        <v>1595</v>
      </c>
      <c r="B107" s="16">
        <v>1.6839999999999999</v>
      </c>
      <c r="C107" s="54">
        <v>0.35114242602769158</v>
      </c>
      <c r="F107" s="53">
        <v>1595</v>
      </c>
      <c r="G107" s="16">
        <v>1</v>
      </c>
      <c r="H107" s="16">
        <v>0.29144174484044927</v>
      </c>
      <c r="L107" s="4">
        <f t="shared" si="7"/>
        <v>0.21820833832808795</v>
      </c>
      <c r="N107">
        <f t="shared" si="8"/>
        <v>0.25212551725575499</v>
      </c>
      <c r="Q107" s="55">
        <f t="shared" si="9"/>
        <v>6.8995534933428067</v>
      </c>
      <c r="R107" s="55">
        <f t="shared" si="10"/>
        <v>8.4653814389790369</v>
      </c>
      <c r="S107" s="55"/>
      <c r="T107" s="55"/>
      <c r="U107" s="55"/>
      <c r="V107" s="55"/>
      <c r="W107" s="55">
        <f t="shared" si="11"/>
        <v>6.6002238869688199</v>
      </c>
      <c r="X107" s="55">
        <f t="shared" si="12"/>
        <v>8.964182346216452</v>
      </c>
      <c r="Y107" s="55"/>
    </row>
    <row r="108" spans="1:25">
      <c r="A108" s="53">
        <v>1597</v>
      </c>
      <c r="B108" s="16">
        <v>9.7409999999999997</v>
      </c>
      <c r="C108" s="54">
        <v>0.81615169452676684</v>
      </c>
      <c r="F108" s="53">
        <v>1597</v>
      </c>
      <c r="G108" s="16">
        <v>5</v>
      </c>
      <c r="H108" s="16">
        <v>0.82140149835131759</v>
      </c>
      <c r="L108" s="4">
        <f t="shared" si="7"/>
        <v>0.76613705670067234</v>
      </c>
      <c r="N108">
        <f t="shared" si="8"/>
        <v>0.78697507365786645</v>
      </c>
      <c r="Q108" s="55">
        <f t="shared" si="9"/>
        <v>24.22251747062062</v>
      </c>
      <c r="R108" s="55">
        <f t="shared" si="10"/>
        <v>34.533094972916373</v>
      </c>
      <c r="S108" s="55"/>
      <c r="T108" s="55"/>
      <c r="U108" s="55"/>
      <c r="V108" s="55"/>
      <c r="W108" s="55">
        <f t="shared" si="11"/>
        <v>22.06420532985242</v>
      </c>
      <c r="X108" s="55">
        <f t="shared" si="12"/>
        <v>40.129452068102808</v>
      </c>
      <c r="Y108" s="55"/>
    </row>
    <row r="109" spans="1:25">
      <c r="A109" s="53">
        <v>1608</v>
      </c>
      <c r="B109" s="16">
        <v>3.556</v>
      </c>
      <c r="C109" s="54">
        <v>0.53260863008715353</v>
      </c>
      <c r="F109" s="53">
        <v>1608</v>
      </c>
      <c r="G109" s="16">
        <v>1</v>
      </c>
      <c r="H109" s="16">
        <v>0.29144174484044927</v>
      </c>
      <c r="L109" s="4">
        <f t="shared" si="7"/>
        <v>0.2745814645046013</v>
      </c>
      <c r="N109">
        <f t="shared" si="8"/>
        <v>0.28463041980352444</v>
      </c>
      <c r="Q109" s="55">
        <f t="shared" si="9"/>
        <v>7.213054822072265</v>
      </c>
      <c r="R109" s="55">
        <f t="shared" si="10"/>
        <v>11.203264356340238</v>
      </c>
      <c r="S109" s="55"/>
      <c r="T109" s="55"/>
      <c r="U109" s="55"/>
      <c r="V109" s="55"/>
      <c r="W109" s="55">
        <f t="shared" si="11"/>
        <v>7.1131350351782263</v>
      </c>
      <c r="X109" s="55">
        <f t="shared" si="12"/>
        <v>11.453149670191905</v>
      </c>
      <c r="Y109" s="55"/>
    </row>
    <row r="110" spans="1:25">
      <c r="A110" s="53">
        <v>1616</v>
      </c>
      <c r="B110" s="16">
        <v>0.61199999999999999</v>
      </c>
      <c r="C110" s="54">
        <v>0.18739988598486687</v>
      </c>
      <c r="F110" s="53">
        <v>1616</v>
      </c>
      <c r="G110" s="16">
        <v>1</v>
      </c>
      <c r="H110" s="16">
        <v>0.29144174484044927</v>
      </c>
      <c r="L110" s="4">
        <f t="shared" si="7"/>
        <v>0.14168748539113882</v>
      </c>
      <c r="N110">
        <f t="shared" si="8"/>
        <v>0.16599108688609496</v>
      </c>
      <c r="Q110" s="55">
        <f t="shared" si="9"/>
        <v>6.1869842382551035</v>
      </c>
      <c r="R110" s="55">
        <f t="shared" si="10"/>
        <v>7.5092833945918089</v>
      </c>
      <c r="S110" s="55"/>
      <c r="T110" s="55"/>
      <c r="U110" s="55"/>
      <c r="V110" s="55"/>
      <c r="W110" s="55">
        <f t="shared" si="11"/>
        <v>6.0117963005018602</v>
      </c>
      <c r="X110" s="55">
        <f t="shared" si="12"/>
        <v>7.7846153286723103</v>
      </c>
      <c r="Y110" s="55"/>
    </row>
    <row r="111" spans="1:25">
      <c r="A111" s="53">
        <v>1618</v>
      </c>
      <c r="B111" s="16">
        <v>3.09</v>
      </c>
      <c r="C111" s="54">
        <v>0.49483611407530259</v>
      </c>
      <c r="F111" s="53">
        <v>1618</v>
      </c>
      <c r="G111" s="16">
        <v>2</v>
      </c>
      <c r="H111" s="16">
        <v>0.49794519904525303</v>
      </c>
      <c r="L111" s="4">
        <f t="shared" si="7"/>
        <v>0.39334853852394663</v>
      </c>
      <c r="N111">
        <f t="shared" si="8"/>
        <v>0.43220219694034678</v>
      </c>
      <c r="Q111" s="55">
        <f t="shared" si="9"/>
        <v>9.0877421014922231</v>
      </c>
      <c r="R111" s="55">
        <f t="shared" si="10"/>
        <v>11.742728190670482</v>
      </c>
      <c r="S111" s="55"/>
      <c r="T111" s="55"/>
      <c r="U111" s="55"/>
      <c r="V111" s="55"/>
      <c r="W111" s="55">
        <f t="shared" si="11"/>
        <v>8.5057076883077496</v>
      </c>
      <c r="X111" s="55">
        <f t="shared" si="12"/>
        <v>12.881732884670294</v>
      </c>
      <c r="Y111" s="55"/>
    </row>
    <row r="112" spans="1:25">
      <c r="A112" s="53">
        <v>1623</v>
      </c>
      <c r="B112" s="16">
        <v>1.859</v>
      </c>
      <c r="C112" s="54">
        <v>0.37217851646428918</v>
      </c>
      <c r="F112" s="53">
        <v>1623</v>
      </c>
      <c r="G112" s="16">
        <v>1</v>
      </c>
      <c r="H112" s="16">
        <v>0.29144174484044927</v>
      </c>
      <c r="L112" s="4">
        <f t="shared" si="7"/>
        <v>0.22613951930761272</v>
      </c>
      <c r="N112">
        <f t="shared" si="8"/>
        <v>0.25857018908870638</v>
      </c>
      <c r="Q112" s="55">
        <f t="shared" si="9"/>
        <v>6.9595259376714687</v>
      </c>
      <c r="R112" s="55">
        <f t="shared" si="10"/>
        <v>8.6729987836449443</v>
      </c>
      <c r="S112" s="55"/>
      <c r="T112" s="55"/>
      <c r="U112" s="55"/>
      <c r="V112" s="55"/>
      <c r="W112" s="55">
        <f t="shared" si="11"/>
        <v>6.6678686000133425</v>
      </c>
      <c r="X112" s="55">
        <f t="shared" si="12"/>
        <v>9.1730192817214355</v>
      </c>
      <c r="Y112" s="55"/>
    </row>
    <row r="113" spans="1:25">
      <c r="A113" s="53">
        <v>1625</v>
      </c>
      <c r="B113" s="16">
        <v>8.8049999999999997</v>
      </c>
      <c r="C113" s="54">
        <v>0.78973998860511219</v>
      </c>
      <c r="F113" s="53">
        <v>1625</v>
      </c>
      <c r="G113" s="16">
        <v>3</v>
      </c>
      <c r="H113" s="16">
        <v>0.64426492624102893</v>
      </c>
      <c r="L113" s="4">
        <f t="shared" si="7"/>
        <v>0.62733335635500198</v>
      </c>
      <c r="N113">
        <f t="shared" si="8"/>
        <v>0.63776157007793854</v>
      </c>
      <c r="Q113" s="55">
        <f t="shared" si="9"/>
        <v>14.244761388542392</v>
      </c>
      <c r="R113" s="55">
        <f t="shared" si="10"/>
        <v>25.324326187676601</v>
      </c>
      <c r="S113" s="55"/>
      <c r="T113" s="55"/>
      <c r="U113" s="55"/>
      <c r="V113" s="55"/>
      <c r="W113" s="55">
        <f t="shared" si="11"/>
        <v>13.846154701506938</v>
      </c>
      <c r="X113" s="55">
        <f t="shared" si="12"/>
        <v>26.690330505579031</v>
      </c>
      <c r="Y113" s="55"/>
    </row>
    <row r="114" spans="1:25">
      <c r="A114" s="53">
        <v>1630</v>
      </c>
      <c r="B114" s="16">
        <v>6.2509999999999994</v>
      </c>
      <c r="C114" s="54">
        <v>0.69371828181281758</v>
      </c>
      <c r="F114" s="53">
        <v>1630</v>
      </c>
      <c r="G114" s="16">
        <v>3</v>
      </c>
      <c r="H114" s="16">
        <v>0.64426492624102893</v>
      </c>
      <c r="L114" s="4">
        <f t="shared" si="7"/>
        <v>0.58380119188362389</v>
      </c>
      <c r="N114">
        <f t="shared" si="8"/>
        <v>0.61388356259811494</v>
      </c>
      <c r="Q114" s="55">
        <f t="shared" si="9"/>
        <v>13.363844426621162</v>
      </c>
      <c r="R114" s="55">
        <f t="shared" si="10"/>
        <v>18.702404382637624</v>
      </c>
      <c r="S114" s="55"/>
      <c r="T114" s="55"/>
      <c r="U114" s="55"/>
      <c r="V114" s="55"/>
      <c r="W114" s="55">
        <f t="shared" si="11"/>
        <v>12.397921136182539</v>
      </c>
      <c r="X114" s="55">
        <f t="shared" si="12"/>
        <v>20.991141167170127</v>
      </c>
      <c r="Y114" s="55"/>
    </row>
    <row r="115" spans="1:25">
      <c r="A115" s="53">
        <v>1638</v>
      </c>
      <c r="B115" s="16">
        <v>1.4259999999999999</v>
      </c>
      <c r="C115" s="54">
        <v>0.31789604599723531</v>
      </c>
      <c r="F115" s="53">
        <v>1638</v>
      </c>
      <c r="G115" s="16">
        <v>1</v>
      </c>
      <c r="H115" s="16">
        <v>0.29144174484044927</v>
      </c>
      <c r="L115" s="4">
        <f t="shared" si="7"/>
        <v>0.20486299916814529</v>
      </c>
      <c r="N115">
        <f t="shared" si="8"/>
        <v>0.23996088274238639</v>
      </c>
      <c r="Q115" s="55">
        <f t="shared" si="9"/>
        <v>6.7891242474708431</v>
      </c>
      <c r="R115" s="55">
        <f t="shared" si="10"/>
        <v>8.1823835286700319</v>
      </c>
      <c r="S115" s="55"/>
      <c r="T115" s="55"/>
      <c r="U115" s="55"/>
      <c r="V115" s="55"/>
      <c r="W115" s="55">
        <f t="shared" si="11"/>
        <v>6.489447723601999</v>
      </c>
      <c r="X115" s="55">
        <f t="shared" si="12"/>
        <v>8.6646206202856213</v>
      </c>
      <c r="Y115" s="55"/>
    </row>
    <row r="116" spans="1:25">
      <c r="A116" s="53">
        <v>1641</v>
      </c>
      <c r="B116" s="16">
        <v>14.693999999999999</v>
      </c>
      <c r="C116" s="54">
        <v>0.90777512725143272</v>
      </c>
      <c r="F116" s="53">
        <v>1641</v>
      </c>
      <c r="G116" s="16">
        <v>8</v>
      </c>
      <c r="H116" s="16">
        <v>0.93646624884276419</v>
      </c>
      <c r="L116" s="4">
        <f t="shared" si="7"/>
        <v>0.89607200211554638</v>
      </c>
      <c r="N116">
        <f t="shared" si="8"/>
        <v>0.90302189526297172</v>
      </c>
      <c r="Q116" s="55">
        <f t="shared" si="9"/>
        <v>53.207886604838997</v>
      </c>
      <c r="R116" s="55">
        <f t="shared" si="10"/>
        <v>87.784185525552118</v>
      </c>
      <c r="S116" s="55"/>
      <c r="T116" s="55"/>
      <c r="U116" s="55"/>
      <c r="V116" s="55"/>
      <c r="W116" s="55">
        <f t="shared" si="11"/>
        <v>49.649758535104759</v>
      </c>
      <c r="X116" s="55">
        <f t="shared" si="12"/>
        <v>99.555039097435426</v>
      </c>
      <c r="Y116" s="55"/>
    </row>
    <row r="117" spans="1:25">
      <c r="A117" s="56">
        <v>1652</v>
      </c>
      <c r="B117" s="57">
        <v>0.91900000000000004</v>
      </c>
      <c r="C117" s="58">
        <v>0.24252425083877988</v>
      </c>
      <c r="D117" s="59"/>
      <c r="E117" s="59"/>
      <c r="F117" s="56">
        <v>1652</v>
      </c>
      <c r="G117" s="57">
        <v>1</v>
      </c>
      <c r="H117" s="57">
        <v>0.29144174484044927</v>
      </c>
      <c r="I117" s="59"/>
      <c r="J117" s="59"/>
      <c r="K117" s="59"/>
      <c r="L117" s="4">
        <f t="shared" si="7"/>
        <v>0.17064554619789613</v>
      </c>
      <c r="N117">
        <f t="shared" si="8"/>
        <v>0.20242399266559877</v>
      </c>
      <c r="Q117" s="55">
        <f t="shared" si="9"/>
        <v>6.4696028372836407</v>
      </c>
      <c r="R117" s="55">
        <f t="shared" si="10"/>
        <v>7.7192583876069882</v>
      </c>
      <c r="S117" s="55"/>
      <c r="T117" s="55"/>
      <c r="U117" s="55"/>
      <c r="V117" s="55"/>
      <c r="W117" s="55">
        <f t="shared" si="11"/>
        <v>6.221706504793489</v>
      </c>
      <c r="X117" s="55">
        <f t="shared" si="12"/>
        <v>8.1045480348731793</v>
      </c>
      <c r="Y117" s="55"/>
    </row>
    <row r="118" spans="1:25">
      <c r="A118" s="53">
        <v>1654</v>
      </c>
      <c r="B118" s="16">
        <v>4.0890000000000004</v>
      </c>
      <c r="C118" s="54">
        <v>0.57145407266404125</v>
      </c>
      <c r="F118" s="53">
        <v>1654</v>
      </c>
      <c r="G118" s="16">
        <v>1</v>
      </c>
      <c r="H118" s="16">
        <v>0.29144174484044927</v>
      </c>
      <c r="L118" s="4">
        <f t="shared" si="7"/>
        <v>0.2832823396404569</v>
      </c>
      <c r="N118">
        <f t="shared" si="8"/>
        <v>0.28706100930205186</v>
      </c>
      <c r="Q118" s="55">
        <f t="shared" si="9"/>
        <v>7.2376459519327145</v>
      </c>
      <c r="R118" s="55">
        <f t="shared" si="10"/>
        <v>12.165071768695912</v>
      </c>
      <c r="S118" s="55"/>
      <c r="T118" s="55"/>
      <c r="U118" s="55"/>
      <c r="V118" s="55"/>
      <c r="W118" s="55">
        <f t="shared" si="11"/>
        <v>7.1994877277217837</v>
      </c>
      <c r="X118" s="55">
        <f t="shared" si="12"/>
        <v>12.27441825152304</v>
      </c>
      <c r="Y118" s="55"/>
    </row>
    <row r="119" spans="1:25">
      <c r="A119" s="53">
        <v>1656</v>
      </c>
      <c r="B119" s="16">
        <v>0.74299999999999999</v>
      </c>
      <c r="C119" s="54">
        <v>0.21208427556816734</v>
      </c>
      <c r="F119" s="53">
        <v>1656</v>
      </c>
      <c r="G119" s="16">
        <v>1</v>
      </c>
      <c r="H119" s="16">
        <v>0.29144174484044927</v>
      </c>
      <c r="L119" s="4">
        <f t="shared" si="7"/>
        <v>0.15510518781091562</v>
      </c>
      <c r="N119">
        <f t="shared" si="8"/>
        <v>0.18321074637173951</v>
      </c>
      <c r="Q119" s="55">
        <f t="shared" si="9"/>
        <v>6.3174190613781436</v>
      </c>
      <c r="R119" s="55">
        <f t="shared" si="10"/>
        <v>7.5917551224771262</v>
      </c>
      <c r="S119" s="55"/>
      <c r="T119" s="55"/>
      <c r="U119" s="55"/>
      <c r="V119" s="55"/>
      <c r="W119" s="55">
        <f t="shared" si="11"/>
        <v>6.1072691245797488</v>
      </c>
      <c r="X119" s="55">
        <f t="shared" si="12"/>
        <v>7.919221881466485</v>
      </c>
      <c r="Y119" s="55"/>
    </row>
    <row r="120" spans="1:25">
      <c r="A120" s="53">
        <v>1658</v>
      </c>
      <c r="B120" s="16">
        <v>2.1860000000000004</v>
      </c>
      <c r="C120" s="54">
        <v>0.40870034202933053</v>
      </c>
      <c r="F120" s="53">
        <v>1658</v>
      </c>
      <c r="G120" s="16">
        <v>2</v>
      </c>
      <c r="H120" s="16">
        <v>0.49794519904525303</v>
      </c>
      <c r="L120" s="4">
        <f t="shared" si="7"/>
        <v>0.34409614133623251</v>
      </c>
      <c r="N120">
        <f t="shared" si="8"/>
        <v>0.37770631046931941</v>
      </c>
      <c r="Q120" s="55">
        <f t="shared" si="9"/>
        <v>8.2919047498160428</v>
      </c>
      <c r="R120" s="55">
        <f t="shared" si="10"/>
        <v>10.95400070489857</v>
      </c>
      <c r="S120" s="55"/>
      <c r="T120" s="55"/>
      <c r="U120" s="55"/>
      <c r="V120" s="55"/>
      <c r="W120" s="55">
        <f t="shared" si="11"/>
        <v>7.8670066227574109</v>
      </c>
      <c r="X120" s="55">
        <f t="shared" si="12"/>
        <v>11.79561760096726</v>
      </c>
      <c r="Y120" s="55"/>
    </row>
    <row r="121" spans="1:25">
      <c r="A121" s="53">
        <v>1661</v>
      </c>
      <c r="B121" s="16">
        <v>0.312</v>
      </c>
      <c r="C121" s="54">
        <v>0.12104555150913805</v>
      </c>
      <c r="F121" s="53">
        <v>1661</v>
      </c>
      <c r="G121" s="16">
        <v>1</v>
      </c>
      <c r="H121" s="16">
        <v>0.29144174484044927</v>
      </c>
      <c r="L121" s="4">
        <f t="shared" si="7"/>
        <v>0.10141844641366607</v>
      </c>
      <c r="N121">
        <f t="shared" si="8"/>
        <v>0.11326199900488698</v>
      </c>
      <c r="Q121" s="55">
        <f t="shared" si="9"/>
        <v>5.8190807140433334</v>
      </c>
      <c r="R121" s="55">
        <f t="shared" si="10"/>
        <v>7.363279496888639</v>
      </c>
      <c r="S121" s="55"/>
      <c r="T121" s="55"/>
      <c r="U121" s="55"/>
      <c r="V121" s="55"/>
      <c r="W121" s="55">
        <f t="shared" si="11"/>
        <v>5.7423836260669887</v>
      </c>
      <c r="X121" s="55">
        <f t="shared" si="12"/>
        <v>7.4898631010080754</v>
      </c>
      <c r="Y121" s="55"/>
    </row>
    <row r="122" spans="1:25">
      <c r="A122" s="53">
        <v>1664</v>
      </c>
      <c r="B122" s="16">
        <v>1.623</v>
      </c>
      <c r="C122" s="54">
        <v>0.34353540109021624</v>
      </c>
      <c r="F122" s="53">
        <v>1664</v>
      </c>
      <c r="G122" s="16">
        <v>1</v>
      </c>
      <c r="H122" s="16">
        <v>0.29144174484044927</v>
      </c>
      <c r="L122" s="4">
        <f t="shared" si="7"/>
        <v>0.21524366850843366</v>
      </c>
      <c r="N122">
        <f t="shared" si="8"/>
        <v>0.24956298063649526</v>
      </c>
      <c r="Q122" s="55">
        <f t="shared" si="9"/>
        <v>6.8759934103151492</v>
      </c>
      <c r="R122" s="55">
        <f t="shared" si="10"/>
        <v>8.3958980318344363</v>
      </c>
      <c r="S122" s="55"/>
      <c r="T122" s="55"/>
      <c r="U122" s="55"/>
      <c r="V122" s="55"/>
      <c r="W122" s="55">
        <f t="shared" si="11"/>
        <v>6.5752894152411869</v>
      </c>
      <c r="X122" s="55">
        <f t="shared" si="12"/>
        <v>8.8924654434263868</v>
      </c>
      <c r="Y122" s="55"/>
    </row>
    <row r="123" spans="1:25">
      <c r="A123" s="53">
        <v>1666</v>
      </c>
      <c r="B123" s="16">
        <v>0.629</v>
      </c>
      <c r="C123" s="54">
        <v>0.19071765048912118</v>
      </c>
      <c r="F123" s="53">
        <v>1666</v>
      </c>
      <c r="G123" s="16">
        <v>1</v>
      </c>
      <c r="H123" s="16">
        <v>0.29144174484044927</v>
      </c>
      <c r="L123" s="4">
        <f t="shared" si="7"/>
        <v>0.14353580493587989</v>
      </c>
      <c r="N123">
        <f t="shared" si="8"/>
        <v>0.16838750002690106</v>
      </c>
      <c r="Q123" s="55">
        <f t="shared" si="9"/>
        <v>6.2048129389191677</v>
      </c>
      <c r="R123" s="55">
        <f t="shared" si="10"/>
        <v>7.5193655938587387</v>
      </c>
      <c r="S123" s="55"/>
      <c r="T123" s="55"/>
      <c r="U123" s="55"/>
      <c r="V123" s="55"/>
      <c r="W123" s="55">
        <f t="shared" si="11"/>
        <v>6.0247702469496591</v>
      </c>
      <c r="X123" s="55">
        <f t="shared" si="12"/>
        <v>7.8019111735048705</v>
      </c>
      <c r="Y123" s="55"/>
    </row>
    <row r="124" spans="1:25">
      <c r="A124" s="53">
        <v>1670</v>
      </c>
      <c r="B124" s="16">
        <v>3.613</v>
      </c>
      <c r="C124" s="54">
        <v>0.53697200015225788</v>
      </c>
      <c r="F124" s="53">
        <v>1670</v>
      </c>
      <c r="G124" s="16">
        <v>1</v>
      </c>
      <c r="H124" s="16">
        <v>0.29144174484044927</v>
      </c>
      <c r="L124" s="4">
        <f t="shared" si="7"/>
        <v>0.27561609722589636</v>
      </c>
      <c r="N124">
        <f t="shared" si="8"/>
        <v>0.28495121124182832</v>
      </c>
      <c r="Q124" s="55">
        <f t="shared" si="9"/>
        <v>7.2162908057803925</v>
      </c>
      <c r="R124" s="55">
        <f t="shared" si="10"/>
        <v>11.302467774209612</v>
      </c>
      <c r="S124" s="55"/>
      <c r="T124" s="55"/>
      <c r="U124" s="55"/>
      <c r="V124" s="55"/>
      <c r="W124" s="55">
        <f t="shared" si="11"/>
        <v>7.123294678745955</v>
      </c>
      <c r="X124" s="55">
        <f t="shared" si="12"/>
        <v>11.538400847474454</v>
      </c>
      <c r="Y124" s="55"/>
    </row>
    <row r="125" spans="1:25">
      <c r="A125" s="53">
        <v>1673</v>
      </c>
      <c r="B125" s="16">
        <v>0.59799999999999998</v>
      </c>
      <c r="C125" s="54">
        <v>0.18463956694472763</v>
      </c>
      <c r="F125" s="53">
        <v>1673</v>
      </c>
      <c r="G125" s="16">
        <v>1</v>
      </c>
      <c r="H125" s="16">
        <v>0.29144174484044927</v>
      </c>
      <c r="L125" s="4">
        <f t="shared" si="7"/>
        <v>0.14013875321627003</v>
      </c>
      <c r="N125">
        <f t="shared" si="8"/>
        <v>0.16397843927054107</v>
      </c>
      <c r="Q125" s="55">
        <f t="shared" si="9"/>
        <v>6.1720896234993194</v>
      </c>
      <c r="R125" s="55">
        <f t="shared" si="10"/>
        <v>7.5011215977345174</v>
      </c>
      <c r="S125" s="55"/>
      <c r="T125" s="55"/>
      <c r="U125" s="55"/>
      <c r="V125" s="55"/>
      <c r="W125" s="55">
        <f t="shared" si="11"/>
        <v>6.0009682019055219</v>
      </c>
      <c r="X125" s="55">
        <f t="shared" si="12"/>
        <v>7.770412133142905</v>
      </c>
      <c r="Y125" s="55"/>
    </row>
    <row r="126" spans="1:25">
      <c r="A126" s="53">
        <v>1675</v>
      </c>
      <c r="B126" s="16">
        <v>5.8360000000000003</v>
      </c>
      <c r="C126" s="54">
        <v>0.67383053643841628</v>
      </c>
      <c r="F126" s="53">
        <v>1675</v>
      </c>
      <c r="G126" s="16">
        <v>2</v>
      </c>
      <c r="H126" s="16">
        <v>0.49794519904525303</v>
      </c>
      <c r="L126" s="4">
        <f t="shared" si="7"/>
        <v>0.47261296894863425</v>
      </c>
      <c r="N126">
        <f t="shared" si="8"/>
        <v>0.48828478190434454</v>
      </c>
      <c r="Q126" s="55">
        <f t="shared" si="9"/>
        <v>10.083733720491846</v>
      </c>
      <c r="R126" s="55">
        <f t="shared" si="10"/>
        <v>16.302851556229438</v>
      </c>
      <c r="S126" s="55"/>
      <c r="T126" s="55"/>
      <c r="U126" s="55"/>
      <c r="V126" s="55"/>
      <c r="W126" s="55">
        <f t="shared" si="11"/>
        <v>9.7840858727855853</v>
      </c>
      <c r="X126" s="55">
        <f t="shared" si="12"/>
        <v>17.152132203080264</v>
      </c>
      <c r="Y126" s="55"/>
    </row>
    <row r="127" spans="1:25">
      <c r="A127" s="53">
        <v>1681</v>
      </c>
      <c r="B127" s="16">
        <v>5.76</v>
      </c>
      <c r="C127" s="54">
        <v>0.67002844609328949</v>
      </c>
      <c r="F127" s="53">
        <v>1681</v>
      </c>
      <c r="G127" s="16">
        <v>2</v>
      </c>
      <c r="H127" s="16">
        <v>0.49794519904525303</v>
      </c>
      <c r="L127" s="4">
        <f t="shared" si="7"/>
        <v>0.47127784802841488</v>
      </c>
      <c r="N127">
        <f t="shared" si="8"/>
        <v>0.48776892957296136</v>
      </c>
      <c r="Q127" s="55">
        <f t="shared" si="9"/>
        <v>10.073578698961375</v>
      </c>
      <c r="R127" s="55">
        <f t="shared" si="10"/>
        <v>16.135322348876514</v>
      </c>
      <c r="S127" s="55"/>
      <c r="T127" s="55"/>
      <c r="U127" s="55"/>
      <c r="V127" s="55"/>
      <c r="W127" s="55">
        <f t="shared" si="11"/>
        <v>9.7593792519540798</v>
      </c>
      <c r="X127" s="55">
        <f t="shared" si="12"/>
        <v>17.012622808506087</v>
      </c>
      <c r="Y127" s="55"/>
    </row>
    <row r="128" spans="1:25">
      <c r="A128" s="53">
        <v>1684</v>
      </c>
      <c r="B128" s="16">
        <v>4.5780000000000003</v>
      </c>
      <c r="C128" s="54">
        <v>0.6035987448124005</v>
      </c>
      <c r="F128" s="53">
        <v>1684</v>
      </c>
      <c r="G128" s="16">
        <v>2</v>
      </c>
      <c r="H128" s="16">
        <v>0.49794519904525303</v>
      </c>
      <c r="L128" s="4">
        <f t="shared" si="7"/>
        <v>0.44540787723230246</v>
      </c>
      <c r="N128">
        <f t="shared" si="8"/>
        <v>0.47478165422200264</v>
      </c>
      <c r="Q128" s="55">
        <f t="shared" si="9"/>
        <v>9.8244854572941023</v>
      </c>
      <c r="R128" s="55">
        <f t="shared" si="10"/>
        <v>13.824969601712766</v>
      </c>
      <c r="S128" s="55"/>
      <c r="T128" s="55"/>
      <c r="U128" s="55"/>
      <c r="V128" s="55"/>
      <c r="W128" s="55">
        <f t="shared" si="11"/>
        <v>9.304135035761</v>
      </c>
      <c r="X128" s="55">
        <f t="shared" si="12"/>
        <v>15.005935485470186</v>
      </c>
      <c r="Y128" s="55"/>
    </row>
    <row r="129" spans="1:25">
      <c r="A129" s="53">
        <v>1687</v>
      </c>
      <c r="B129" s="16">
        <v>5.6079999999999997</v>
      </c>
      <c r="C129" s="54">
        <v>0.66226824792101224</v>
      </c>
      <c r="F129" s="53">
        <v>1687</v>
      </c>
      <c r="G129" s="16">
        <v>5</v>
      </c>
      <c r="H129" s="16">
        <v>0.82140149835131759</v>
      </c>
      <c r="L129" s="4">
        <f t="shared" si="7"/>
        <v>0.65327126469993646</v>
      </c>
      <c r="N129">
        <f t="shared" si="8"/>
        <v>0.65822289067430839</v>
      </c>
      <c r="Q129" s="55">
        <f t="shared" si="9"/>
        <v>15.097558786720418</v>
      </c>
      <c r="R129" s="55">
        <f t="shared" si="10"/>
        <v>29.56119763799289</v>
      </c>
      <c r="S129" s="55"/>
      <c r="T129" s="55"/>
      <c r="U129" s="55"/>
      <c r="V129" s="55"/>
      <c r="W129" s="55">
        <f t="shared" si="11"/>
        <v>14.88195085859979</v>
      </c>
      <c r="X129" s="55">
        <f t="shared" si="12"/>
        <v>30.424255913737674</v>
      </c>
      <c r="Y129" s="55"/>
    </row>
    <row r="130" spans="1:25">
      <c r="A130" s="53">
        <v>1693</v>
      </c>
      <c r="B130" s="16">
        <v>0.14599999999999999</v>
      </c>
      <c r="C130" s="54">
        <v>7.3357563489970232E-2</v>
      </c>
      <c r="F130" s="53">
        <v>1693</v>
      </c>
      <c r="G130" s="16">
        <v>1</v>
      </c>
      <c r="H130" s="16">
        <v>0.29144174484044927</v>
      </c>
      <c r="L130" s="4">
        <f t="shared" si="7"/>
        <v>6.768806082069119E-2</v>
      </c>
      <c r="N130">
        <f t="shared" si="8"/>
        <v>7.0679660541613454E-2</v>
      </c>
      <c r="Q130" s="55">
        <f t="shared" si="9"/>
        <v>5.552444922282965</v>
      </c>
      <c r="R130" s="55">
        <f t="shared" si="10"/>
        <v>7.31002071928497</v>
      </c>
      <c r="S130" s="55"/>
      <c r="T130" s="55"/>
      <c r="U130" s="55"/>
      <c r="V130" s="55"/>
      <c r="W130" s="55">
        <f t="shared" si="11"/>
        <v>5.5346282538677141</v>
      </c>
      <c r="X130" s="55">
        <f t="shared" si="12"/>
        <v>7.3411332614422742</v>
      </c>
      <c r="Y130" s="55"/>
    </row>
    <row r="131" spans="1:25">
      <c r="A131" s="53">
        <v>1696</v>
      </c>
      <c r="B131" s="16">
        <v>7.0190000000000001</v>
      </c>
      <c r="C131" s="54">
        <v>0.72697134646221151</v>
      </c>
      <c r="F131" s="53">
        <v>1696</v>
      </c>
      <c r="G131" s="16">
        <v>4</v>
      </c>
      <c r="H131" s="16">
        <v>0.74794097683828942</v>
      </c>
      <c r="L131" s="4">
        <f t="shared" ref="L131:L194" si="13">C131*H131*(10^(((-LN(C131)^-$K$2)+(-LN(H131)^-$K$2))^-(1/$K$2)))</f>
        <v>0.66618173215669252</v>
      </c>
      <c r="N131">
        <f t="shared" ref="N131:N194" si="14">EXP(-(((-LN(C131)^$P$2)+(-LN(H131))^$P$2)^(1/$P$2)))</f>
        <v>0.69350827950846916</v>
      </c>
      <c r="Q131" s="55">
        <f t="shared" ref="Q131:Q194" si="15">5.16/(1-N131)</f>
        <v>16.835691325445069</v>
      </c>
      <c r="R131" s="55">
        <f t="shared" ref="R131:R194" si="16">5.16/(1-C131-H131+N131)</f>
        <v>23.605194210870348</v>
      </c>
      <c r="S131" s="55"/>
      <c r="T131" s="55"/>
      <c r="U131" s="55"/>
      <c r="V131" s="55"/>
      <c r="W131" s="55">
        <f t="shared" ref="W131:W194" si="17">5.16/(1-L131)</f>
        <v>15.457512356460002</v>
      </c>
      <c r="X131" s="55">
        <f t="shared" ref="X131:X194" si="18">5.16/(1-C131-H131+L131)</f>
        <v>26.977654350778142</v>
      </c>
      <c r="Y131" s="55"/>
    </row>
    <row r="132" spans="1:25">
      <c r="A132" s="53">
        <v>1703</v>
      </c>
      <c r="B132" s="16">
        <v>7.8360000000000003</v>
      </c>
      <c r="C132" s="54">
        <v>0.75795028511225082</v>
      </c>
      <c r="F132" s="53">
        <v>1703</v>
      </c>
      <c r="G132" s="16">
        <v>3</v>
      </c>
      <c r="H132" s="16">
        <v>0.64426492624102893</v>
      </c>
      <c r="L132" s="4">
        <f t="shared" si="13"/>
        <v>0.61439811865776184</v>
      </c>
      <c r="N132">
        <f t="shared" si="14"/>
        <v>0.63257571360382558</v>
      </c>
      <c r="Q132" s="55">
        <f t="shared" si="15"/>
        <v>14.043709659508576</v>
      </c>
      <c r="R132" s="55">
        <f t="shared" si="16"/>
        <v>22.399673336307696</v>
      </c>
      <c r="S132" s="55"/>
      <c r="T132" s="55"/>
      <c r="U132" s="55"/>
      <c r="V132" s="55"/>
      <c r="W132" s="55">
        <f t="shared" si="17"/>
        <v>13.381677449390553</v>
      </c>
      <c r="X132" s="55">
        <f t="shared" si="18"/>
        <v>24.318641240010013</v>
      </c>
      <c r="Y132" s="55"/>
    </row>
    <row r="133" spans="1:25">
      <c r="A133" s="53">
        <v>1708</v>
      </c>
      <c r="B133" s="16">
        <v>3.5939999999999999</v>
      </c>
      <c r="C133" s="54">
        <v>0.53552341090723876</v>
      </c>
      <c r="F133" s="53">
        <v>1708</v>
      </c>
      <c r="G133" s="16">
        <v>3</v>
      </c>
      <c r="H133" s="16">
        <v>0.64426492624102893</v>
      </c>
      <c r="L133" s="4">
        <f t="shared" si="13"/>
        <v>0.4881052021642171</v>
      </c>
      <c r="N133">
        <f t="shared" si="14"/>
        <v>0.51522209093745985</v>
      </c>
      <c r="Q133" s="55">
        <f t="shared" si="15"/>
        <v>10.64404937505995</v>
      </c>
      <c r="R133" s="55">
        <f t="shared" si="16"/>
        <v>15.383067272481085</v>
      </c>
      <c r="S133" s="55"/>
      <c r="T133" s="55"/>
      <c r="U133" s="55"/>
      <c r="V133" s="55"/>
      <c r="W133" s="55">
        <f t="shared" si="17"/>
        <v>10.080196207923452</v>
      </c>
      <c r="X133" s="55">
        <f t="shared" si="18"/>
        <v>16.736029019149083</v>
      </c>
      <c r="Y133" s="55"/>
    </row>
    <row r="134" spans="1:25">
      <c r="A134" s="53">
        <v>1712</v>
      </c>
      <c r="B134" s="16">
        <v>0.42699999999999999</v>
      </c>
      <c r="C134" s="54">
        <v>0.14854629894994864</v>
      </c>
      <c r="F134" s="53">
        <v>1712</v>
      </c>
      <c r="G134" s="16">
        <v>1</v>
      </c>
      <c r="H134" s="16">
        <v>0.29144174484044927</v>
      </c>
      <c r="L134" s="4">
        <f t="shared" si="13"/>
        <v>0.11891945701882042</v>
      </c>
      <c r="N134">
        <f t="shared" si="14"/>
        <v>0.13616104939516477</v>
      </c>
      <c r="Q134" s="55">
        <f t="shared" si="15"/>
        <v>5.973335650571344</v>
      </c>
      <c r="R134" s="55">
        <f t="shared" si="16"/>
        <v>7.4119507054392297</v>
      </c>
      <c r="S134" s="55"/>
      <c r="T134" s="55"/>
      <c r="U134" s="55"/>
      <c r="V134" s="55"/>
      <c r="W134" s="55">
        <f t="shared" si="17"/>
        <v>5.8564452944799861</v>
      </c>
      <c r="X134" s="55">
        <f t="shared" si="18"/>
        <v>7.6001786034076879</v>
      </c>
      <c r="Y134" s="55"/>
    </row>
    <row r="135" spans="1:25">
      <c r="A135" s="53">
        <v>1714</v>
      </c>
      <c r="B135" s="16">
        <v>7.6539999999999999</v>
      </c>
      <c r="C135" s="54">
        <v>0.75140508982931953</v>
      </c>
      <c r="F135" s="53">
        <v>1714</v>
      </c>
      <c r="G135" s="16">
        <v>4</v>
      </c>
      <c r="H135" s="16">
        <v>0.74794097683828942</v>
      </c>
      <c r="L135" s="4">
        <f t="shared" si="13"/>
        <v>0.68124231772383081</v>
      </c>
      <c r="N135">
        <f t="shared" si="14"/>
        <v>0.7081477711297669</v>
      </c>
      <c r="Q135" s="55">
        <f t="shared" si="15"/>
        <v>17.680180206176537</v>
      </c>
      <c r="R135" s="55">
        <f t="shared" si="16"/>
        <v>24.712441947212024</v>
      </c>
      <c r="S135" s="55"/>
      <c r="T135" s="55"/>
      <c r="U135" s="55"/>
      <c r="V135" s="55"/>
      <c r="W135" s="55">
        <f t="shared" si="17"/>
        <v>16.187845146676075</v>
      </c>
      <c r="X135" s="55">
        <f t="shared" si="18"/>
        <v>28.367819402749035</v>
      </c>
      <c r="Y135" s="55"/>
    </row>
    <row r="136" spans="1:25">
      <c r="A136" s="53">
        <v>1722</v>
      </c>
      <c r="B136" s="16">
        <v>1.649</v>
      </c>
      <c r="C136" s="54">
        <v>0.3467959196987429</v>
      </c>
      <c r="F136" s="53">
        <v>1722</v>
      </c>
      <c r="G136" s="16">
        <v>1</v>
      </c>
      <c r="H136" s="16">
        <v>0.29144174484044927</v>
      </c>
      <c r="L136" s="4">
        <f t="shared" si="13"/>
        <v>0.2165207438017068</v>
      </c>
      <c r="N136">
        <f t="shared" si="14"/>
        <v>0.2506768954311881</v>
      </c>
      <c r="Q136" s="55">
        <f t="shared" si="15"/>
        <v>6.8862149966258599</v>
      </c>
      <c r="R136" s="55">
        <f t="shared" si="16"/>
        <v>8.4253257135155177</v>
      </c>
      <c r="S136" s="55"/>
      <c r="T136" s="55"/>
      <c r="U136" s="55"/>
      <c r="V136" s="55"/>
      <c r="W136" s="55">
        <f t="shared" si="17"/>
        <v>6.5860071714445496</v>
      </c>
      <c r="X136" s="55">
        <f t="shared" si="18"/>
        <v>8.9229655596711499</v>
      </c>
      <c r="Y136" s="55"/>
    </row>
    <row r="137" spans="1:25">
      <c r="A137" s="53">
        <v>1724</v>
      </c>
      <c r="B137" s="16">
        <v>3.3260000000000001</v>
      </c>
      <c r="C137" s="54">
        <v>0.51444902214934307</v>
      </c>
      <c r="F137" s="53">
        <v>1724</v>
      </c>
      <c r="G137" s="16">
        <v>2</v>
      </c>
      <c r="H137" s="16">
        <v>0.49794519904525303</v>
      </c>
      <c r="L137" s="4">
        <f t="shared" si="13"/>
        <v>0.40358647399563907</v>
      </c>
      <c r="N137">
        <f t="shared" si="14"/>
        <v>0.44209731688069021</v>
      </c>
      <c r="Q137" s="55">
        <f t="shared" si="15"/>
        <v>9.248924868311688</v>
      </c>
      <c r="R137" s="55">
        <f t="shared" si="16"/>
        <v>12.008291426807578</v>
      </c>
      <c r="S137" s="55"/>
      <c r="T137" s="55"/>
      <c r="U137" s="55"/>
      <c r="V137" s="55"/>
      <c r="W137" s="55">
        <f t="shared" si="17"/>
        <v>8.6517152529539896</v>
      </c>
      <c r="X137" s="55">
        <f t="shared" si="18"/>
        <v>13.190445268414688</v>
      </c>
      <c r="Y137" s="55"/>
    </row>
    <row r="138" spans="1:25">
      <c r="A138" s="53">
        <v>1727</v>
      </c>
      <c r="B138" s="16">
        <v>11.206000000000001</v>
      </c>
      <c r="C138" s="54">
        <v>0.85055990831014527</v>
      </c>
      <c r="F138" s="53">
        <v>1727</v>
      </c>
      <c r="G138" s="16">
        <v>5</v>
      </c>
      <c r="H138" s="16">
        <v>0.82140149835131759</v>
      </c>
      <c r="L138" s="4">
        <f t="shared" si="13"/>
        <v>0.78682720861417732</v>
      </c>
      <c r="N138">
        <f t="shared" si="14"/>
        <v>0.80446253570510418</v>
      </c>
      <c r="Q138" s="55">
        <f t="shared" si="15"/>
        <v>26.388804920872104</v>
      </c>
      <c r="R138" s="55">
        <f t="shared" si="16"/>
        <v>38.943064389288892</v>
      </c>
      <c r="S138" s="55"/>
      <c r="T138" s="55"/>
      <c r="U138" s="55"/>
      <c r="V138" s="55"/>
      <c r="W138" s="55">
        <f t="shared" si="17"/>
        <v>24.205715778524876</v>
      </c>
      <c r="X138" s="55">
        <f t="shared" si="18"/>
        <v>44.921986459678926</v>
      </c>
      <c r="Y138" s="55"/>
    </row>
    <row r="139" spans="1:25">
      <c r="A139" s="53">
        <v>1734</v>
      </c>
      <c r="B139" s="16">
        <v>0.376</v>
      </c>
      <c r="C139" s="54">
        <v>0.13674455746638381</v>
      </c>
      <c r="F139" s="53">
        <v>1734</v>
      </c>
      <c r="G139" s="16">
        <v>1</v>
      </c>
      <c r="H139" s="16">
        <v>0.29144174484044927</v>
      </c>
      <c r="L139" s="4">
        <f t="shared" si="13"/>
        <v>0.11156145200716142</v>
      </c>
      <c r="N139">
        <f t="shared" si="14"/>
        <v>0.12650115414072277</v>
      </c>
      <c r="Q139" s="55">
        <f t="shared" si="15"/>
        <v>5.9072774102225765</v>
      </c>
      <c r="R139" s="55">
        <f t="shared" si="16"/>
        <v>7.3892170364828855</v>
      </c>
      <c r="S139" s="55"/>
      <c r="T139" s="55"/>
      <c r="U139" s="55"/>
      <c r="V139" s="55"/>
      <c r="W139" s="55">
        <f t="shared" si="17"/>
        <v>5.8079424982824959</v>
      </c>
      <c r="X139" s="55">
        <f t="shared" si="18"/>
        <v>7.5507574459837299</v>
      </c>
      <c r="Y139" s="55"/>
    </row>
    <row r="140" spans="1:25">
      <c r="A140" s="53">
        <v>1736</v>
      </c>
      <c r="B140" s="16">
        <v>6.5690000000000008</v>
      </c>
      <c r="C140" s="54">
        <v>0.7080169018097906</v>
      </c>
      <c r="F140" s="53">
        <v>1736</v>
      </c>
      <c r="G140" s="16">
        <v>3</v>
      </c>
      <c r="H140" s="16">
        <v>0.64426492624102893</v>
      </c>
      <c r="L140" s="4">
        <f t="shared" si="13"/>
        <v>0.59108534340113161</v>
      </c>
      <c r="N140">
        <f t="shared" si="14"/>
        <v>0.61912748458386335</v>
      </c>
      <c r="Q140" s="55">
        <f t="shared" si="15"/>
        <v>13.547840264510153</v>
      </c>
      <c r="R140" s="55">
        <f t="shared" si="16"/>
        <v>19.337020759642872</v>
      </c>
      <c r="S140" s="55"/>
      <c r="T140" s="55"/>
      <c r="U140" s="55"/>
      <c r="V140" s="55"/>
      <c r="W140" s="55">
        <f t="shared" si="17"/>
        <v>12.618769996942877</v>
      </c>
      <c r="X140" s="55">
        <f t="shared" si="18"/>
        <v>21.607722115943538</v>
      </c>
      <c r="Y140" s="55"/>
    </row>
    <row r="141" spans="1:25">
      <c r="A141" s="53">
        <v>1741</v>
      </c>
      <c r="B141" s="16">
        <v>3.8689999999999998</v>
      </c>
      <c r="C141" s="54">
        <v>0.55593684508812058</v>
      </c>
      <c r="F141" s="53">
        <v>1741</v>
      </c>
      <c r="G141" s="16">
        <v>3</v>
      </c>
      <c r="H141" s="16">
        <v>0.64426492624102893</v>
      </c>
      <c r="L141" s="4">
        <f t="shared" si="13"/>
        <v>0.50185913298326601</v>
      </c>
      <c r="N141">
        <f t="shared" si="14"/>
        <v>0.5314153987483794</v>
      </c>
      <c r="Q141" s="55">
        <f t="shared" si="15"/>
        <v>11.011885551119899</v>
      </c>
      <c r="R141" s="55">
        <f t="shared" si="16"/>
        <v>15.579069134944707</v>
      </c>
      <c r="S141" s="55"/>
      <c r="T141" s="55"/>
      <c r="U141" s="55"/>
      <c r="V141" s="55"/>
      <c r="W141" s="55">
        <f t="shared" si="17"/>
        <v>10.358515716452272</v>
      </c>
      <c r="X141" s="55">
        <f t="shared" si="18"/>
        <v>17.105500000747572</v>
      </c>
      <c r="Y141" s="55"/>
    </row>
    <row r="142" spans="1:25">
      <c r="A142" s="53">
        <v>1750</v>
      </c>
      <c r="B142" s="16">
        <v>14.353</v>
      </c>
      <c r="C142" s="54">
        <v>0.90337117044481663</v>
      </c>
      <c r="F142" s="53">
        <v>1750</v>
      </c>
      <c r="G142" s="16">
        <v>8</v>
      </c>
      <c r="H142" s="16">
        <v>0.93646624884276419</v>
      </c>
      <c r="L142" s="4">
        <f t="shared" si="13"/>
        <v>0.89275564985895994</v>
      </c>
      <c r="N142">
        <f t="shared" si="14"/>
        <v>0.89920419477992608</v>
      </c>
      <c r="Q142" s="55">
        <f t="shared" si="15"/>
        <v>51.192606564666484</v>
      </c>
      <c r="R142" s="55">
        <f t="shared" si="16"/>
        <v>86.917302770896313</v>
      </c>
      <c r="S142" s="55"/>
      <c r="T142" s="55"/>
      <c r="U142" s="55"/>
      <c r="V142" s="55"/>
      <c r="W142" s="55">
        <f t="shared" si="17"/>
        <v>48.114422747808526</v>
      </c>
      <c r="X142" s="55">
        <f t="shared" si="18"/>
        <v>97.508929234508301</v>
      </c>
      <c r="Y142" s="55"/>
    </row>
    <row r="143" spans="1:25">
      <c r="A143" s="53">
        <v>1763</v>
      </c>
      <c r="B143" s="16">
        <v>6.87</v>
      </c>
      <c r="C143" s="54">
        <v>0.72085412247414959</v>
      </c>
      <c r="F143" s="53">
        <v>1763</v>
      </c>
      <c r="G143" s="16">
        <v>7</v>
      </c>
      <c r="H143" s="16">
        <v>0.91033376480395467</v>
      </c>
      <c r="L143" s="4">
        <f t="shared" si="13"/>
        <v>0.72903744807530868</v>
      </c>
      <c r="N143">
        <f t="shared" si="14"/>
        <v>0.72034895673208454</v>
      </c>
      <c r="Q143" s="55">
        <f t="shared" si="15"/>
        <v>18.451567137750814</v>
      </c>
      <c r="R143" s="55">
        <f t="shared" si="16"/>
        <v>57.872791697090285</v>
      </c>
      <c r="S143" s="55"/>
      <c r="T143" s="55"/>
      <c r="U143" s="55"/>
      <c r="V143" s="55"/>
      <c r="W143" s="55">
        <f t="shared" si="17"/>
        <v>19.043221889326315</v>
      </c>
      <c r="X143" s="55">
        <f t="shared" si="18"/>
        <v>52.734012886314588</v>
      </c>
      <c r="Y143" s="55"/>
    </row>
    <row r="144" spans="1:25">
      <c r="A144" s="53">
        <v>1772</v>
      </c>
      <c r="B144" s="16">
        <v>14.530999999999999</v>
      </c>
      <c r="C144" s="54">
        <v>0.90569682869851331</v>
      </c>
      <c r="F144" s="53">
        <v>1772</v>
      </c>
      <c r="G144" s="16">
        <v>7</v>
      </c>
      <c r="H144" s="16">
        <v>0.91033376480395467</v>
      </c>
      <c r="L144" s="4">
        <f t="shared" si="13"/>
        <v>0.87933741987202452</v>
      </c>
      <c r="N144">
        <f t="shared" si="14"/>
        <v>0.89075495770801416</v>
      </c>
      <c r="Q144" s="55">
        <f t="shared" si="15"/>
        <v>47.233264702379408</v>
      </c>
      <c r="R144" s="55">
        <f t="shared" si="16"/>
        <v>69.053782589655214</v>
      </c>
      <c r="S144" s="55"/>
      <c r="T144" s="55"/>
      <c r="U144" s="55"/>
      <c r="V144" s="55"/>
      <c r="W144" s="55">
        <f t="shared" si="17"/>
        <v>42.763879195416443</v>
      </c>
      <c r="X144" s="55">
        <f t="shared" si="18"/>
        <v>81.507797751197643</v>
      </c>
      <c r="Y144" s="55"/>
    </row>
    <row r="145" spans="1:25">
      <c r="A145" s="53">
        <v>1780</v>
      </c>
      <c r="B145" s="16">
        <v>1.657</v>
      </c>
      <c r="C145" s="54">
        <v>0.34779368806491029</v>
      </c>
      <c r="F145" s="53">
        <v>1780</v>
      </c>
      <c r="G145" s="16">
        <v>1</v>
      </c>
      <c r="H145" s="16">
        <v>0.29144174484044927</v>
      </c>
      <c r="L145" s="4">
        <f t="shared" si="13"/>
        <v>0.21690963832497037</v>
      </c>
      <c r="N145">
        <f t="shared" si="14"/>
        <v>0.2510130869435549</v>
      </c>
      <c r="Q145" s="55">
        <f t="shared" si="15"/>
        <v>6.8893059545502808</v>
      </c>
      <c r="R145" s="55">
        <f t="shared" si="16"/>
        <v>8.4344368676104722</v>
      </c>
      <c r="S145" s="55"/>
      <c r="T145" s="55"/>
      <c r="U145" s="55"/>
      <c r="V145" s="55"/>
      <c r="W145" s="55">
        <f t="shared" si="17"/>
        <v>6.5892778822647804</v>
      </c>
      <c r="X145" s="55">
        <f t="shared" si="18"/>
        <v>8.9323704461615723</v>
      </c>
      <c r="Y145" s="55"/>
    </row>
    <row r="146" spans="1:25">
      <c r="A146" s="53">
        <v>1785</v>
      </c>
      <c r="B146" s="16">
        <v>7</v>
      </c>
      <c r="C146" s="54">
        <v>0.72619978340017899</v>
      </c>
      <c r="F146" s="53">
        <v>1785</v>
      </c>
      <c r="G146" s="16">
        <v>2</v>
      </c>
      <c r="H146" s="16">
        <v>0.49794519904525303</v>
      </c>
      <c r="L146" s="4">
        <f t="shared" si="13"/>
        <v>0.48929225214051553</v>
      </c>
      <c r="N146">
        <f t="shared" si="14"/>
        <v>0.49352066261642669</v>
      </c>
      <c r="Q146" s="55">
        <f t="shared" si="15"/>
        <v>10.187977315434221</v>
      </c>
      <c r="R146" s="55">
        <f t="shared" si="16"/>
        <v>19.155404068862222</v>
      </c>
      <c r="S146" s="55"/>
      <c r="T146" s="55"/>
      <c r="U146" s="55"/>
      <c r="V146" s="55"/>
      <c r="W146" s="55">
        <f t="shared" si="17"/>
        <v>10.103625843991928</v>
      </c>
      <c r="X146" s="55">
        <f t="shared" si="18"/>
        <v>19.460883025248361</v>
      </c>
      <c r="Y146" s="55"/>
    </row>
    <row r="147" spans="1:25">
      <c r="A147" s="53">
        <v>1789</v>
      </c>
      <c r="B147" s="16">
        <v>8.6590000000000007</v>
      </c>
      <c r="C147" s="54">
        <v>0.78525912974248202</v>
      </c>
      <c r="F147" s="53">
        <v>1789</v>
      </c>
      <c r="G147" s="16">
        <v>3</v>
      </c>
      <c r="H147" s="16">
        <v>0.64426492624102893</v>
      </c>
      <c r="L147" s="4">
        <f t="shared" si="13"/>
        <v>0.62560829129936413</v>
      </c>
      <c r="N147">
        <f t="shared" si="14"/>
        <v>0.63716302433408922</v>
      </c>
      <c r="Q147" s="55">
        <f t="shared" si="15"/>
        <v>14.221262842713061</v>
      </c>
      <c r="R147" s="55">
        <f t="shared" si="16"/>
        <v>24.85082661019506</v>
      </c>
      <c r="S147" s="55"/>
      <c r="T147" s="55"/>
      <c r="U147" s="55"/>
      <c r="V147" s="55"/>
      <c r="W147" s="55">
        <f t="shared" si="17"/>
        <v>13.782356500116682</v>
      </c>
      <c r="X147" s="55">
        <f t="shared" si="18"/>
        <v>26.315221066539358</v>
      </c>
      <c r="Y147" s="55"/>
    </row>
    <row r="148" spans="1:25">
      <c r="A148" s="53">
        <v>1798</v>
      </c>
      <c r="B148" s="16">
        <v>0.80400000000000005</v>
      </c>
      <c r="C148" s="54">
        <v>0.22295314320539006</v>
      </c>
      <c r="F148" s="53">
        <v>1798</v>
      </c>
      <c r="G148" s="16">
        <v>1</v>
      </c>
      <c r="H148" s="16">
        <v>0.29144174484044927</v>
      </c>
      <c r="L148" s="4">
        <f t="shared" si="13"/>
        <v>0.16077697646180589</v>
      </c>
      <c r="N148">
        <f t="shared" si="14"/>
        <v>0.19033344455850121</v>
      </c>
      <c r="Q148" s="55">
        <f t="shared" si="15"/>
        <v>6.3729938767031458</v>
      </c>
      <c r="R148" s="55">
        <f t="shared" si="16"/>
        <v>7.6338299543404453</v>
      </c>
      <c r="S148" s="55"/>
      <c r="T148" s="55"/>
      <c r="U148" s="55"/>
      <c r="V148" s="55"/>
      <c r="W148" s="55">
        <f t="shared" si="17"/>
        <v>6.1485443741107773</v>
      </c>
      <c r="X148" s="55">
        <f t="shared" si="18"/>
        <v>7.9828944713569836</v>
      </c>
      <c r="Y148" s="55"/>
    </row>
    <row r="149" spans="1:25">
      <c r="A149" s="53">
        <v>1800</v>
      </c>
      <c r="B149" s="16">
        <v>4.476</v>
      </c>
      <c r="C149" s="54">
        <v>0.59714545319428991</v>
      </c>
      <c r="F149" s="53">
        <v>1800</v>
      </c>
      <c r="G149" s="16">
        <v>2</v>
      </c>
      <c r="H149" s="16">
        <v>0.49794519904525303</v>
      </c>
      <c r="L149" s="4">
        <f t="shared" si="13"/>
        <v>0.4426469133515567</v>
      </c>
      <c r="N149">
        <f t="shared" si="14"/>
        <v>0.47305625763822734</v>
      </c>
      <c r="Q149" s="55">
        <f t="shared" si="15"/>
        <v>9.7923166842683713</v>
      </c>
      <c r="R149" s="55">
        <f t="shared" si="16"/>
        <v>13.652035863308637</v>
      </c>
      <c r="S149" s="55"/>
      <c r="T149" s="55"/>
      <c r="U149" s="55"/>
      <c r="V149" s="55"/>
      <c r="W149" s="55">
        <f t="shared" si="17"/>
        <v>9.2580450770065053</v>
      </c>
      <c r="X149" s="55">
        <f t="shared" si="18"/>
        <v>14.846517175350169</v>
      </c>
      <c r="Y149" s="55"/>
    </row>
    <row r="150" spans="1:25">
      <c r="A150" s="53">
        <v>1805</v>
      </c>
      <c r="B150" s="16">
        <v>6.6189999999999998</v>
      </c>
      <c r="C150" s="54">
        <v>0.71019505222007528</v>
      </c>
      <c r="F150" s="53">
        <v>1805</v>
      </c>
      <c r="G150" s="16">
        <v>2</v>
      </c>
      <c r="H150" s="16">
        <v>0.49794519904525303</v>
      </c>
      <c r="L150" s="4">
        <f t="shared" si="13"/>
        <v>0.4845415711751786</v>
      </c>
      <c r="N150">
        <f t="shared" si="14"/>
        <v>0.49225115968955091</v>
      </c>
      <c r="Q150" s="55">
        <f t="shared" si="15"/>
        <v>10.162504747120762</v>
      </c>
      <c r="R150" s="55">
        <f t="shared" si="16"/>
        <v>18.161921443351631</v>
      </c>
      <c r="S150" s="55"/>
      <c r="T150" s="55"/>
      <c r="U150" s="55"/>
      <c r="V150" s="55"/>
      <c r="W150" s="55">
        <f t="shared" si="17"/>
        <v>10.010506592673503</v>
      </c>
      <c r="X150" s="55">
        <f t="shared" si="18"/>
        <v>18.668507088471795</v>
      </c>
      <c r="Y150" s="55"/>
    </row>
    <row r="151" spans="1:25">
      <c r="A151" s="53">
        <v>1808</v>
      </c>
      <c r="B151" s="16">
        <v>1.911</v>
      </c>
      <c r="C151" s="54">
        <v>0.37821785844551309</v>
      </c>
      <c r="F151" s="53">
        <v>1808</v>
      </c>
      <c r="G151" s="16">
        <v>1</v>
      </c>
      <c r="H151" s="16">
        <v>0.29144174484044927</v>
      </c>
      <c r="L151" s="4">
        <f t="shared" si="13"/>
        <v>0.22834515204634687</v>
      </c>
      <c r="N151">
        <f t="shared" si="14"/>
        <v>0.26025402776528878</v>
      </c>
      <c r="Q151" s="55">
        <f t="shared" si="15"/>
        <v>6.9753674824508574</v>
      </c>
      <c r="R151" s="55">
        <f t="shared" si="16"/>
        <v>8.7369602321408717</v>
      </c>
      <c r="S151" s="55"/>
      <c r="T151" s="55"/>
      <c r="U151" s="55"/>
      <c r="V151" s="55"/>
      <c r="W151" s="55">
        <f t="shared" si="17"/>
        <v>6.6869274698186283</v>
      </c>
      <c r="X151" s="55">
        <f t="shared" si="18"/>
        <v>9.2359646879162085</v>
      </c>
      <c r="Y151" s="55"/>
    </row>
    <row r="152" spans="1:25">
      <c r="A152" s="53">
        <v>1812</v>
      </c>
      <c r="B152" s="16">
        <v>0.9</v>
      </c>
      <c r="C152" s="54">
        <v>0.23936760589808023</v>
      </c>
      <c r="F152" s="53">
        <v>1812</v>
      </c>
      <c r="G152" s="16">
        <v>1</v>
      </c>
      <c r="H152" s="16">
        <v>0.29144174484044927</v>
      </c>
      <c r="L152" s="4">
        <f t="shared" si="13"/>
        <v>0.16908302954163823</v>
      </c>
      <c r="N152">
        <f t="shared" si="14"/>
        <v>0.20053868205132189</v>
      </c>
      <c r="Q152" s="55">
        <f t="shared" si="15"/>
        <v>6.4543460504630055</v>
      </c>
      <c r="R152" s="55">
        <f t="shared" si="16"/>
        <v>7.7046050676703288</v>
      </c>
      <c r="S152" s="55"/>
      <c r="T152" s="55"/>
      <c r="U152" s="55"/>
      <c r="V152" s="55"/>
      <c r="W152" s="55">
        <f t="shared" si="17"/>
        <v>6.2100067557334526</v>
      </c>
      <c r="X152" s="55">
        <f t="shared" si="18"/>
        <v>8.0843064211515596</v>
      </c>
      <c r="Y152" s="55"/>
    </row>
    <row r="153" spans="1:25">
      <c r="A153" s="53">
        <v>1816</v>
      </c>
      <c r="B153" s="16">
        <v>0.373</v>
      </c>
      <c r="C153" s="54">
        <v>0.13603211585756339</v>
      </c>
      <c r="F153" s="53">
        <v>1816</v>
      </c>
      <c r="G153" s="16">
        <v>1</v>
      </c>
      <c r="H153" s="16">
        <v>0.29144174484044927</v>
      </c>
      <c r="L153" s="4">
        <f t="shared" si="13"/>
        <v>0.11111012869585291</v>
      </c>
      <c r="N153">
        <f t="shared" si="14"/>
        <v>0.12590976178864147</v>
      </c>
      <c r="Q153" s="55">
        <f t="shared" si="15"/>
        <v>5.9032806619129534</v>
      </c>
      <c r="R153" s="55">
        <f t="shared" si="16"/>
        <v>7.3879363760403836</v>
      </c>
      <c r="S153" s="55"/>
      <c r="T153" s="55"/>
      <c r="U153" s="55"/>
      <c r="V153" s="55"/>
      <c r="W153" s="55">
        <f t="shared" si="17"/>
        <v>5.8049935842214451</v>
      </c>
      <c r="X153" s="55">
        <f t="shared" si="18"/>
        <v>7.5478733963486873</v>
      </c>
      <c r="Y153" s="55"/>
    </row>
    <row r="154" spans="1:25">
      <c r="A154" s="53">
        <v>1819</v>
      </c>
      <c r="B154" s="16">
        <v>3.367</v>
      </c>
      <c r="C154" s="54">
        <v>0.51775293799653666</v>
      </c>
      <c r="F154" s="53">
        <v>1819</v>
      </c>
      <c r="G154" s="16">
        <v>2</v>
      </c>
      <c r="H154" s="16">
        <v>0.49794519904525303</v>
      </c>
      <c r="L154" s="4">
        <f t="shared" si="13"/>
        <v>0.4052749828717887</v>
      </c>
      <c r="N154">
        <f t="shared" si="14"/>
        <v>0.44366657032461643</v>
      </c>
      <c r="Q154" s="55">
        <f t="shared" si="15"/>
        <v>9.2750133728451694</v>
      </c>
      <c r="R154" s="55">
        <f t="shared" si="16"/>
        <v>12.056964015824898</v>
      </c>
      <c r="S154" s="55"/>
      <c r="T154" s="55"/>
      <c r="U154" s="55"/>
      <c r="V154" s="55"/>
      <c r="W154" s="55">
        <f t="shared" si="17"/>
        <v>8.6762787025782764</v>
      </c>
      <c r="X154" s="55">
        <f t="shared" si="18"/>
        <v>13.245140349669771</v>
      </c>
      <c r="Y154" s="55"/>
    </row>
    <row r="155" spans="1:25">
      <c r="A155" s="53">
        <v>1822</v>
      </c>
      <c r="B155" s="16">
        <v>3.258</v>
      </c>
      <c r="C155" s="54">
        <v>0.50890323461429843</v>
      </c>
      <c r="F155" s="53">
        <v>1822</v>
      </c>
      <c r="G155" s="16">
        <v>1</v>
      </c>
      <c r="H155" s="16">
        <v>0.29144174484044927</v>
      </c>
      <c r="L155" s="4">
        <f t="shared" si="13"/>
        <v>0.26870557098172521</v>
      </c>
      <c r="N155">
        <f t="shared" si="14"/>
        <v>0.28263794583356028</v>
      </c>
      <c r="Q155" s="55">
        <f t="shared" si="15"/>
        <v>7.1930205536112677</v>
      </c>
      <c r="R155" s="55">
        <f t="shared" si="16"/>
        <v>10.698891254298587</v>
      </c>
      <c r="S155" s="55"/>
      <c r="T155" s="55"/>
      <c r="U155" s="55"/>
      <c r="V155" s="55"/>
      <c r="W155" s="55">
        <f t="shared" si="17"/>
        <v>7.055981551680949</v>
      </c>
      <c r="X155" s="55">
        <f t="shared" si="18"/>
        <v>11.017152367958747</v>
      </c>
      <c r="Y155" s="55"/>
    </row>
    <row r="156" spans="1:25">
      <c r="A156" s="53">
        <v>1824</v>
      </c>
      <c r="B156" s="16">
        <v>3.95</v>
      </c>
      <c r="C156" s="54">
        <v>0.56173101840223882</v>
      </c>
      <c r="F156" s="53">
        <v>1824</v>
      </c>
      <c r="G156" s="16">
        <v>1</v>
      </c>
      <c r="H156" s="16">
        <v>0.29144174484044927</v>
      </c>
      <c r="L156" s="4">
        <f t="shared" si="13"/>
        <v>0.28121213599469114</v>
      </c>
      <c r="N156">
        <f t="shared" si="14"/>
        <v>0.28653659365468537</v>
      </c>
      <c r="Q156" s="55">
        <f t="shared" si="15"/>
        <v>7.2323260788270503</v>
      </c>
      <c r="R156" s="55">
        <f t="shared" si="16"/>
        <v>11.90685432860054</v>
      </c>
      <c r="S156" s="55"/>
      <c r="T156" s="55"/>
      <c r="U156" s="55"/>
      <c r="V156" s="55"/>
      <c r="W156" s="55">
        <f t="shared" si="17"/>
        <v>7.1787522555638041</v>
      </c>
      <c r="X156" s="55">
        <f t="shared" si="18"/>
        <v>12.054965800983908</v>
      </c>
      <c r="Y156" s="55"/>
    </row>
    <row r="157" spans="1:25">
      <c r="A157" s="53">
        <v>1829</v>
      </c>
      <c r="B157" s="16">
        <v>5.176000000000001</v>
      </c>
      <c r="C157" s="54">
        <v>0.63901517178388123</v>
      </c>
      <c r="F157" s="53">
        <v>1829</v>
      </c>
      <c r="G157" s="16">
        <v>4</v>
      </c>
      <c r="H157" s="16">
        <v>0.74794097683828942</v>
      </c>
      <c r="L157" s="4">
        <f t="shared" si="13"/>
        <v>0.60619970772105647</v>
      </c>
      <c r="N157">
        <f t="shared" si="14"/>
        <v>0.62594170890452638</v>
      </c>
      <c r="Q157" s="55">
        <f t="shared" si="15"/>
        <v>13.794641431121162</v>
      </c>
      <c r="R157" s="55">
        <f t="shared" si="16"/>
        <v>21.591262643247497</v>
      </c>
      <c r="S157" s="55"/>
      <c r="T157" s="55"/>
      <c r="U157" s="55"/>
      <c r="V157" s="55"/>
      <c r="W157" s="55">
        <f t="shared" si="17"/>
        <v>13.103088294167589</v>
      </c>
      <c r="X157" s="55">
        <f t="shared" si="18"/>
        <v>23.535469051898925</v>
      </c>
      <c r="Y157" s="55"/>
    </row>
    <row r="158" spans="1:25">
      <c r="A158" s="53">
        <v>1835</v>
      </c>
      <c r="B158" s="16">
        <v>1.5349999999999999</v>
      </c>
      <c r="C158" s="54">
        <v>0.33229215057419287</v>
      </c>
      <c r="F158" s="53">
        <v>1835</v>
      </c>
      <c r="G158" s="16">
        <v>1</v>
      </c>
      <c r="H158" s="16">
        <v>0.29144174484044927</v>
      </c>
      <c r="L158" s="4">
        <f t="shared" si="13"/>
        <v>0.21076604545457381</v>
      </c>
      <c r="N158">
        <f t="shared" si="14"/>
        <v>0.24553905568482248</v>
      </c>
      <c r="Q158" s="55">
        <f t="shared" si="15"/>
        <v>6.8393202310607615</v>
      </c>
      <c r="R158" s="55">
        <f t="shared" si="16"/>
        <v>8.2984193919489684</v>
      </c>
      <c r="S158" s="55"/>
      <c r="T158" s="55"/>
      <c r="U158" s="55"/>
      <c r="V158" s="55"/>
      <c r="W158" s="55">
        <f t="shared" si="17"/>
        <v>6.537985308769434</v>
      </c>
      <c r="X158" s="55">
        <f t="shared" si="18"/>
        <v>8.789978538056225</v>
      </c>
      <c r="Y158" s="55"/>
    </row>
    <row r="159" spans="1:25">
      <c r="A159" s="53">
        <v>1837</v>
      </c>
      <c r="B159" s="16">
        <v>2.8179999999999996</v>
      </c>
      <c r="C159" s="54">
        <v>0.47088357872126624</v>
      </c>
      <c r="F159" s="53">
        <v>1837</v>
      </c>
      <c r="G159" s="16">
        <v>3</v>
      </c>
      <c r="H159" s="16">
        <v>0.64426492624102893</v>
      </c>
      <c r="L159" s="4">
        <f t="shared" si="13"/>
        <v>0.44211173225861711</v>
      </c>
      <c r="N159">
        <f t="shared" si="14"/>
        <v>0.4598614949709402</v>
      </c>
      <c r="Q159" s="55">
        <f t="shared" si="15"/>
        <v>9.5531052719938732</v>
      </c>
      <c r="R159" s="55">
        <f t="shared" si="16"/>
        <v>14.968974623992533</v>
      </c>
      <c r="S159" s="55"/>
      <c r="T159" s="55"/>
      <c r="U159" s="55"/>
      <c r="V159" s="55"/>
      <c r="W159" s="55">
        <f t="shared" si="17"/>
        <v>9.2491638529885556</v>
      </c>
      <c r="X159" s="55">
        <f t="shared" si="18"/>
        <v>15.781591228678348</v>
      </c>
      <c r="Y159" s="55"/>
    </row>
    <row r="160" spans="1:25">
      <c r="A160" s="53">
        <v>1841</v>
      </c>
      <c r="B160" s="16">
        <v>6.6619999999999999</v>
      </c>
      <c r="C160" s="54">
        <v>0.71205347953656284</v>
      </c>
      <c r="F160" s="53">
        <v>1841</v>
      </c>
      <c r="G160" s="16">
        <v>2</v>
      </c>
      <c r="H160" s="16">
        <v>0.49794519904525303</v>
      </c>
      <c r="L160" s="4">
        <f t="shared" si="13"/>
        <v>0.48510925537595684</v>
      </c>
      <c r="N160">
        <f t="shared" si="14"/>
        <v>0.4924118858094354</v>
      </c>
      <c r="Q160" s="55">
        <f t="shared" si="15"/>
        <v>10.165722671084401</v>
      </c>
      <c r="R160" s="55">
        <f t="shared" si="16"/>
        <v>18.271100175004001</v>
      </c>
      <c r="S160" s="55"/>
      <c r="T160" s="55"/>
      <c r="U160" s="55"/>
      <c r="V160" s="55"/>
      <c r="W160" s="55">
        <f t="shared" si="17"/>
        <v>10.021543509716158</v>
      </c>
      <c r="X160" s="55">
        <f t="shared" si="18"/>
        <v>18.756094586145672</v>
      </c>
      <c r="Y160" s="55"/>
    </row>
    <row r="161" spans="1:25">
      <c r="A161" s="53">
        <v>1845</v>
      </c>
      <c r="B161" s="16">
        <v>4.2450000000000001</v>
      </c>
      <c r="C161" s="54">
        <v>0.58204745070246133</v>
      </c>
      <c r="F161" s="53">
        <v>1845</v>
      </c>
      <c r="G161" s="16">
        <v>4</v>
      </c>
      <c r="H161" s="16">
        <v>0.74794097683828942</v>
      </c>
      <c r="L161" s="4">
        <f t="shared" si="13"/>
        <v>0.56331510378463734</v>
      </c>
      <c r="N161">
        <f t="shared" si="14"/>
        <v>0.57483700403146998</v>
      </c>
      <c r="Q161" s="55">
        <f t="shared" si="15"/>
        <v>12.136521872618323</v>
      </c>
      <c r="R161" s="55">
        <f t="shared" si="16"/>
        <v>21.074249538042896</v>
      </c>
      <c r="S161" s="55"/>
      <c r="T161" s="55"/>
      <c r="U161" s="55"/>
      <c r="V161" s="55"/>
      <c r="W161" s="55">
        <f t="shared" si="17"/>
        <v>11.816300597342414</v>
      </c>
      <c r="X161" s="55">
        <f t="shared" si="18"/>
        <v>22.114916661335666</v>
      </c>
      <c r="Y161" s="55"/>
    </row>
    <row r="162" spans="1:25">
      <c r="A162" s="53">
        <v>1852</v>
      </c>
      <c r="B162" s="16">
        <v>0.441</v>
      </c>
      <c r="C162" s="54">
        <v>0.15169056038890782</v>
      </c>
      <c r="F162" s="53">
        <v>1852</v>
      </c>
      <c r="G162" s="16">
        <v>1</v>
      </c>
      <c r="H162" s="16">
        <v>0.29144174484044927</v>
      </c>
      <c r="L162" s="4">
        <f t="shared" si="13"/>
        <v>0.12084314409391238</v>
      </c>
      <c r="N162">
        <f t="shared" si="14"/>
        <v>0.1386900581945357</v>
      </c>
      <c r="Q162" s="55">
        <f t="shared" si="15"/>
        <v>5.9908747705659708</v>
      </c>
      <c r="R162" s="55">
        <f t="shared" si="16"/>
        <v>7.4185069147785381</v>
      </c>
      <c r="S162" s="55"/>
      <c r="T162" s="55"/>
      <c r="U162" s="55"/>
      <c r="V162" s="55"/>
      <c r="W162" s="55">
        <f t="shared" si="17"/>
        <v>5.8692598087993488</v>
      </c>
      <c r="X162" s="55">
        <f t="shared" si="18"/>
        <v>7.6138667173231651</v>
      </c>
      <c r="Y162" s="55"/>
    </row>
    <row r="163" spans="1:25">
      <c r="A163" s="53">
        <v>1854</v>
      </c>
      <c r="B163" s="16">
        <v>10.876999999999999</v>
      </c>
      <c r="C163" s="54">
        <v>0.84348425648343084</v>
      </c>
      <c r="F163" s="53">
        <v>1854</v>
      </c>
      <c r="G163" s="16">
        <v>4</v>
      </c>
      <c r="H163" s="16">
        <v>0.74794097683828942</v>
      </c>
      <c r="L163" s="4">
        <f t="shared" si="13"/>
        <v>0.72972485246617025</v>
      </c>
      <c r="N163">
        <f t="shared" si="14"/>
        <v>0.74104079531084477</v>
      </c>
      <c r="Q163" s="55">
        <f t="shared" si="15"/>
        <v>19.925918471188801</v>
      </c>
      <c r="R163" s="55">
        <f t="shared" si="16"/>
        <v>34.488390989535425</v>
      </c>
      <c r="S163" s="55"/>
      <c r="T163" s="55"/>
      <c r="U163" s="55"/>
      <c r="V163" s="55"/>
      <c r="W163" s="55">
        <f t="shared" si="17"/>
        <v>19.091655474368519</v>
      </c>
      <c r="X163" s="55">
        <f t="shared" si="18"/>
        <v>37.310297974215878</v>
      </c>
      <c r="Y163" s="55"/>
    </row>
    <row r="164" spans="1:25">
      <c r="A164" s="53">
        <v>1859</v>
      </c>
      <c r="B164" s="16">
        <v>17.239000000000001</v>
      </c>
      <c r="C164" s="54">
        <v>0.93469889028199304</v>
      </c>
      <c r="F164" s="53">
        <v>1859</v>
      </c>
      <c r="G164" s="16">
        <v>6</v>
      </c>
      <c r="H164" s="16">
        <v>0.87345255729769944</v>
      </c>
      <c r="L164" s="4">
        <f t="shared" si="13"/>
        <v>0.86839786856766621</v>
      </c>
      <c r="N164">
        <f t="shared" si="14"/>
        <v>0.87137885589297448</v>
      </c>
      <c r="Q164" s="55">
        <f t="shared" si="15"/>
        <v>40.117820719324108</v>
      </c>
      <c r="R164" s="55">
        <f t="shared" si="16"/>
        <v>81.610177257827829</v>
      </c>
      <c r="S164" s="55"/>
      <c r="T164" s="55"/>
      <c r="U164" s="55"/>
      <c r="V164" s="55"/>
      <c r="W164" s="55">
        <f t="shared" si="17"/>
        <v>39.209091401784256</v>
      </c>
      <c r="X164" s="55">
        <f t="shared" si="18"/>
        <v>85.648241262830027</v>
      </c>
      <c r="Y164" s="55"/>
    </row>
    <row r="165" spans="1:25">
      <c r="A165" s="53">
        <v>1874</v>
      </c>
      <c r="B165" s="16">
        <v>2.2650000000000001</v>
      </c>
      <c r="C165" s="54">
        <v>0.4170372560076529</v>
      </c>
      <c r="F165" s="53">
        <v>1874</v>
      </c>
      <c r="G165" s="16">
        <v>1</v>
      </c>
      <c r="H165" s="16">
        <v>0.29144174484044927</v>
      </c>
      <c r="L165" s="4">
        <f t="shared" si="13"/>
        <v>0.2417827882622571</v>
      </c>
      <c r="N165">
        <f t="shared" si="14"/>
        <v>0.2694724013633692</v>
      </c>
      <c r="Q165" s="55">
        <f t="shared" si="15"/>
        <v>7.0633881726439984</v>
      </c>
      <c r="R165" s="55">
        <f t="shared" si="16"/>
        <v>9.1979691655206466</v>
      </c>
      <c r="S165" s="55"/>
      <c r="T165" s="55"/>
      <c r="U165" s="55"/>
      <c r="V165" s="55"/>
      <c r="W165" s="55">
        <f t="shared" si="17"/>
        <v>6.8054377032326911</v>
      </c>
      <c r="X165" s="55">
        <f t="shared" si="18"/>
        <v>9.6755360111343638</v>
      </c>
      <c r="Y165" s="55"/>
    </row>
    <row r="166" spans="1:25">
      <c r="A166" s="53">
        <v>1879</v>
      </c>
      <c r="B166" s="16">
        <v>2.8530000000000002</v>
      </c>
      <c r="C166" s="54">
        <v>0.47405167268870918</v>
      </c>
      <c r="F166" s="53">
        <v>1879</v>
      </c>
      <c r="G166" s="16">
        <v>2</v>
      </c>
      <c r="H166" s="16">
        <v>0.49794519904525303</v>
      </c>
      <c r="L166" s="4">
        <f t="shared" si="13"/>
        <v>0.38210102802363788</v>
      </c>
      <c r="N166">
        <f t="shared" si="14"/>
        <v>0.42064902026412099</v>
      </c>
      <c r="Q166" s="55">
        <f t="shared" si="15"/>
        <v>8.9065181219722778</v>
      </c>
      <c r="R166" s="55">
        <f t="shared" si="16"/>
        <v>11.501115099760055</v>
      </c>
      <c r="S166" s="55"/>
      <c r="T166" s="55"/>
      <c r="U166" s="55"/>
      <c r="V166" s="55"/>
      <c r="W166" s="55">
        <f t="shared" si="17"/>
        <v>8.3508797295707389</v>
      </c>
      <c r="X166" s="55">
        <f t="shared" si="18"/>
        <v>12.582169482708807</v>
      </c>
      <c r="Y166" s="55"/>
    </row>
    <row r="167" spans="1:25">
      <c r="A167" s="53">
        <v>1886</v>
      </c>
      <c r="B167" s="16">
        <v>7.5780000000000003</v>
      </c>
      <c r="C167" s="54">
        <v>0.74861379190969801</v>
      </c>
      <c r="F167" s="53">
        <v>1886</v>
      </c>
      <c r="G167" s="16">
        <v>2</v>
      </c>
      <c r="H167" s="16">
        <v>0.49794519904525303</v>
      </c>
      <c r="L167" s="4">
        <f t="shared" si="13"/>
        <v>0.49540590797716311</v>
      </c>
      <c r="N167">
        <f t="shared" si="14"/>
        <v>0.49490895963265213</v>
      </c>
      <c r="Q167" s="55">
        <f t="shared" si="15"/>
        <v>10.215980066182093</v>
      </c>
      <c r="R167" s="55">
        <f t="shared" si="16"/>
        <v>20.777131672186545</v>
      </c>
      <c r="S167" s="55"/>
      <c r="T167" s="55"/>
      <c r="U167" s="55"/>
      <c r="V167" s="55"/>
      <c r="W167" s="55">
        <f t="shared" si="17"/>
        <v>10.226041250927823</v>
      </c>
      <c r="X167" s="55">
        <f t="shared" si="18"/>
        <v>20.735639652467217</v>
      </c>
      <c r="Y167" s="55"/>
    </row>
    <row r="168" spans="1:25">
      <c r="A168" s="53">
        <v>1889</v>
      </c>
      <c r="B168" s="16">
        <v>0.9</v>
      </c>
      <c r="C168" s="54">
        <v>0.23936760589808023</v>
      </c>
      <c r="F168" s="53">
        <v>1889</v>
      </c>
      <c r="G168" s="16">
        <v>1</v>
      </c>
      <c r="H168" s="16">
        <v>0.29144174484044927</v>
      </c>
      <c r="L168" s="4">
        <f t="shared" si="13"/>
        <v>0.16908302954163823</v>
      </c>
      <c r="N168">
        <f t="shared" si="14"/>
        <v>0.20053868205132189</v>
      </c>
      <c r="Q168" s="55">
        <f t="shared" si="15"/>
        <v>6.4543460504630055</v>
      </c>
      <c r="R168" s="55">
        <f t="shared" si="16"/>
        <v>7.7046050676703288</v>
      </c>
      <c r="S168" s="55"/>
      <c r="T168" s="55"/>
      <c r="U168" s="55"/>
      <c r="V168" s="55"/>
      <c r="W168" s="55">
        <f t="shared" si="17"/>
        <v>6.2100067557334526</v>
      </c>
      <c r="X168" s="55">
        <f t="shared" si="18"/>
        <v>8.0843064211515596</v>
      </c>
      <c r="Y168" s="55"/>
    </row>
    <row r="169" spans="1:25">
      <c r="A169" s="53">
        <v>1893</v>
      </c>
      <c r="B169" s="16">
        <v>7.8369999999999997</v>
      </c>
      <c r="C169" s="54">
        <v>0.75798571427868722</v>
      </c>
      <c r="F169" s="53">
        <v>1893</v>
      </c>
      <c r="G169" s="16">
        <v>5</v>
      </c>
      <c r="H169" s="16">
        <v>0.82140149835131759</v>
      </c>
      <c r="L169" s="4">
        <f t="shared" si="13"/>
        <v>0.72674532400803249</v>
      </c>
      <c r="N169">
        <f t="shared" si="14"/>
        <v>0.74470740326703122</v>
      </c>
      <c r="Q169" s="55">
        <f t="shared" si="15"/>
        <v>20.212101980369066</v>
      </c>
      <c r="R169" s="55">
        <f t="shared" si="16"/>
        <v>31.212158539843383</v>
      </c>
      <c r="S169" s="55"/>
      <c r="T169" s="55"/>
      <c r="U169" s="55"/>
      <c r="V169" s="55"/>
      <c r="W169" s="55">
        <f t="shared" si="17"/>
        <v>18.883482894732538</v>
      </c>
      <c r="X169" s="55">
        <f t="shared" si="18"/>
        <v>35.016735432790021</v>
      </c>
      <c r="Y169" s="55"/>
    </row>
    <row r="170" spans="1:25">
      <c r="A170" s="53">
        <v>1899</v>
      </c>
      <c r="B170" s="16">
        <v>0.28499999999999998</v>
      </c>
      <c r="C170" s="54">
        <v>0.11407055304496924</v>
      </c>
      <c r="F170" s="53">
        <v>1899</v>
      </c>
      <c r="G170" s="16">
        <v>1</v>
      </c>
      <c r="H170" s="16">
        <v>0.29144174484044927</v>
      </c>
      <c r="L170" s="4">
        <f t="shared" si="13"/>
        <v>9.6773184925405792E-2</v>
      </c>
      <c r="N170">
        <f t="shared" si="14"/>
        <v>0.10724590348748016</v>
      </c>
      <c r="Q170" s="55">
        <f t="shared" si="15"/>
        <v>5.7798670654743249</v>
      </c>
      <c r="R170" s="55">
        <f t="shared" si="16"/>
        <v>7.3532177436092852</v>
      </c>
      <c r="S170" s="55"/>
      <c r="T170" s="55"/>
      <c r="U170" s="55"/>
      <c r="V170" s="55"/>
      <c r="W170" s="55">
        <f t="shared" si="17"/>
        <v>5.7128507633753705</v>
      </c>
      <c r="X170" s="55">
        <f t="shared" si="18"/>
        <v>7.4646202276760825</v>
      </c>
      <c r="Y170" s="55"/>
    </row>
    <row r="171" spans="1:25">
      <c r="A171" s="53">
        <v>1901</v>
      </c>
      <c r="B171" s="16">
        <v>5.0419999999999998</v>
      </c>
      <c r="C171" s="54">
        <v>0.63142057481116065</v>
      </c>
      <c r="F171" s="53">
        <v>1901</v>
      </c>
      <c r="G171" s="16">
        <v>2</v>
      </c>
      <c r="H171" s="16">
        <v>0.49794519904525303</v>
      </c>
      <c r="L171" s="4">
        <f t="shared" si="13"/>
        <v>0.45681669123579793</v>
      </c>
      <c r="N171">
        <f t="shared" si="14"/>
        <v>0.48121726120382141</v>
      </c>
      <c r="Q171" s="55">
        <f t="shared" si="15"/>
        <v>9.9463602277393459</v>
      </c>
      <c r="R171" s="55">
        <f t="shared" si="16"/>
        <v>14.665278350536484</v>
      </c>
      <c r="S171" s="55"/>
      <c r="T171" s="55"/>
      <c r="U171" s="55"/>
      <c r="V171" s="55"/>
      <c r="W171" s="55">
        <f t="shared" si="17"/>
        <v>9.4995555215780314</v>
      </c>
      <c r="X171" s="55">
        <f t="shared" si="18"/>
        <v>15.758086864730418</v>
      </c>
      <c r="Y171" s="55"/>
    </row>
    <row r="172" spans="1:25">
      <c r="A172" s="53">
        <v>1904</v>
      </c>
      <c r="B172" s="16">
        <v>1.6459999999999999</v>
      </c>
      <c r="C172" s="54">
        <v>0.34642109671457294</v>
      </c>
      <c r="F172" s="53">
        <v>1904</v>
      </c>
      <c r="G172" s="16">
        <v>1</v>
      </c>
      <c r="H172" s="16">
        <v>0.29144174484044927</v>
      </c>
      <c r="L172" s="4">
        <f t="shared" si="13"/>
        <v>0.21637442022606751</v>
      </c>
      <c r="N172">
        <f t="shared" si="14"/>
        <v>0.25055003602873022</v>
      </c>
      <c r="Q172" s="55">
        <f t="shared" si="15"/>
        <v>6.8850493669485449</v>
      </c>
      <c r="R172" s="55">
        <f t="shared" si="16"/>
        <v>8.4219158594172789</v>
      </c>
      <c r="S172" s="55"/>
      <c r="T172" s="55"/>
      <c r="U172" s="55"/>
      <c r="V172" s="55"/>
      <c r="W172" s="55">
        <f t="shared" si="17"/>
        <v>6.5847773901007729</v>
      </c>
      <c r="X172" s="55">
        <f t="shared" si="18"/>
        <v>8.9194411836207905</v>
      </c>
      <c r="Y172" s="55"/>
    </row>
    <row r="173" spans="1:25">
      <c r="A173" s="53">
        <v>1906</v>
      </c>
      <c r="B173" s="16">
        <v>0.51800000000000002</v>
      </c>
      <c r="C173" s="54">
        <v>0.16834107332606718</v>
      </c>
      <c r="F173" s="53">
        <v>1906</v>
      </c>
      <c r="G173" s="16">
        <v>1</v>
      </c>
      <c r="H173" s="16">
        <v>0.29144174484044927</v>
      </c>
      <c r="L173" s="4">
        <f t="shared" si="13"/>
        <v>0.13078538166809039</v>
      </c>
      <c r="N173">
        <f t="shared" si="14"/>
        <v>0.15175389870909875</v>
      </c>
      <c r="Q173" s="55">
        <f t="shared" si="15"/>
        <v>6.083140249212188</v>
      </c>
      <c r="R173" s="55">
        <f t="shared" si="16"/>
        <v>7.4569590335393592</v>
      </c>
      <c r="S173" s="55"/>
      <c r="T173" s="55"/>
      <c r="U173" s="55"/>
      <c r="V173" s="55"/>
      <c r="W173" s="55">
        <f t="shared" si="17"/>
        <v>5.936393488069081</v>
      </c>
      <c r="X173" s="55">
        <f t="shared" si="18"/>
        <v>7.6899855241579811</v>
      </c>
      <c r="Y173" s="55"/>
    </row>
    <row r="174" spans="1:25">
      <c r="A174" s="53">
        <v>1909</v>
      </c>
      <c r="B174" s="16">
        <v>4.4160000000000004</v>
      </c>
      <c r="C174" s="54">
        <v>0.59328932294855319</v>
      </c>
      <c r="F174" s="53">
        <v>1909</v>
      </c>
      <c r="G174" s="16">
        <v>3</v>
      </c>
      <c r="H174" s="16">
        <v>0.64426492624102893</v>
      </c>
      <c r="L174" s="4">
        <f t="shared" si="13"/>
        <v>0.5260120961309126</v>
      </c>
      <c r="N174">
        <f t="shared" si="14"/>
        <v>0.55887015918522986</v>
      </c>
      <c r="Q174" s="55">
        <f t="shared" si="15"/>
        <v>11.697236329488481</v>
      </c>
      <c r="R174" s="55">
        <f t="shared" si="16"/>
        <v>16.058962035430778</v>
      </c>
      <c r="S174" s="55"/>
      <c r="T174" s="55"/>
      <c r="U174" s="55"/>
      <c r="V174" s="55"/>
      <c r="W174" s="55">
        <f t="shared" si="17"/>
        <v>10.886353761097585</v>
      </c>
      <c r="X174" s="55">
        <f t="shared" si="18"/>
        <v>17.888228920496289</v>
      </c>
      <c r="Y174" s="55"/>
    </row>
    <row r="175" spans="1:25">
      <c r="A175" s="53">
        <v>1913</v>
      </c>
      <c r="B175" s="16">
        <v>1.569</v>
      </c>
      <c r="C175" s="54">
        <v>0.33667487489517006</v>
      </c>
      <c r="F175" s="53">
        <v>1913</v>
      </c>
      <c r="G175" s="16">
        <v>1</v>
      </c>
      <c r="H175" s="16">
        <v>0.29144174484044927</v>
      </c>
      <c r="L175" s="4">
        <f t="shared" si="13"/>
        <v>0.21252515865640503</v>
      </c>
      <c r="N175">
        <f t="shared" si="14"/>
        <v>0.24714168715775608</v>
      </c>
      <c r="Q175" s="55">
        <f t="shared" si="15"/>
        <v>6.8538792917349927</v>
      </c>
      <c r="R175" s="55">
        <f t="shared" si="16"/>
        <v>8.3356882807480872</v>
      </c>
      <c r="S175" s="55"/>
      <c r="T175" s="55"/>
      <c r="U175" s="55"/>
      <c r="V175" s="55"/>
      <c r="W175" s="55">
        <f t="shared" si="17"/>
        <v>6.5525902912605725</v>
      </c>
      <c r="X175" s="55">
        <f t="shared" si="18"/>
        <v>8.8294397777432501</v>
      </c>
      <c r="Y175" s="55"/>
    </row>
    <row r="176" spans="1:25">
      <c r="A176" s="53">
        <v>1916</v>
      </c>
      <c r="B176" s="16">
        <v>7.9190000000000005</v>
      </c>
      <c r="C176" s="54">
        <v>0.76087140749720705</v>
      </c>
      <c r="F176" s="53">
        <v>1916</v>
      </c>
      <c r="G176" s="16">
        <v>3</v>
      </c>
      <c r="H176" s="16">
        <v>0.64426492624102893</v>
      </c>
      <c r="L176" s="4">
        <f t="shared" si="13"/>
        <v>0.61565237327516509</v>
      </c>
      <c r="N176">
        <f t="shared" si="14"/>
        <v>0.6331497078782482</v>
      </c>
      <c r="Q176" s="55">
        <f t="shared" si="15"/>
        <v>14.065683225045595</v>
      </c>
      <c r="R176" s="55">
        <f t="shared" si="16"/>
        <v>22.630251490561641</v>
      </c>
      <c r="S176" s="55"/>
      <c r="T176" s="55"/>
      <c r="U176" s="55"/>
      <c r="V176" s="55"/>
      <c r="W176" s="55">
        <f t="shared" si="17"/>
        <v>13.425346330274564</v>
      </c>
      <c r="X176" s="55">
        <f t="shared" si="18"/>
        <v>24.511196445413006</v>
      </c>
      <c r="Y176" s="55"/>
    </row>
    <row r="177" spans="1:25">
      <c r="A177" s="53">
        <v>1925</v>
      </c>
      <c r="B177" s="16">
        <v>6.444</v>
      </c>
      <c r="C177" s="54">
        <v>0.70248938836418229</v>
      </c>
      <c r="F177" s="53">
        <v>1925</v>
      </c>
      <c r="G177" s="16">
        <v>1</v>
      </c>
      <c r="H177" s="16">
        <v>0.29144174484044927</v>
      </c>
      <c r="L177" s="4">
        <f t="shared" si="13"/>
        <v>0.30415722366327047</v>
      </c>
      <c r="N177">
        <f t="shared" si="14"/>
        <v>0.29067927218565481</v>
      </c>
      <c r="Q177" s="55">
        <f t="shared" si="15"/>
        <v>7.2745653660787397</v>
      </c>
      <c r="R177" s="55">
        <f t="shared" si="16"/>
        <v>17.388483101253676</v>
      </c>
      <c r="S177" s="55"/>
      <c r="T177" s="55"/>
      <c r="U177" s="55"/>
      <c r="V177" s="55"/>
      <c r="W177" s="55">
        <f t="shared" si="17"/>
        <v>7.4154682285628741</v>
      </c>
      <c r="X177" s="55">
        <f t="shared" si="18"/>
        <v>16.633030421043713</v>
      </c>
      <c r="Y177" s="55"/>
    </row>
    <row r="178" spans="1:25">
      <c r="A178" s="53">
        <v>1931</v>
      </c>
      <c r="B178" s="16">
        <v>0.20899999999999999</v>
      </c>
      <c r="C178" s="54">
        <v>9.3005857965230962E-2</v>
      </c>
      <c r="F178" s="53">
        <v>1931</v>
      </c>
      <c r="G178" s="16">
        <v>1</v>
      </c>
      <c r="H178" s="16">
        <v>0.29144174484044927</v>
      </c>
      <c r="L178" s="4">
        <f t="shared" si="13"/>
        <v>8.2175179216838895E-2</v>
      </c>
      <c r="N178">
        <f t="shared" si="14"/>
        <v>8.8617710855264681E-2</v>
      </c>
      <c r="Q178" s="55">
        <f t="shared" si="15"/>
        <v>5.6617295085274018</v>
      </c>
      <c r="R178" s="55">
        <f t="shared" si="16"/>
        <v>7.327774838798832</v>
      </c>
      <c r="S178" s="55"/>
      <c r="T178" s="55"/>
      <c r="U178" s="55"/>
      <c r="V178" s="55"/>
      <c r="W178" s="55">
        <f t="shared" si="17"/>
        <v>5.6219878599459516</v>
      </c>
      <c r="X178" s="55">
        <f t="shared" si="18"/>
        <v>7.3954365205701746</v>
      </c>
      <c r="Y178" s="55"/>
    </row>
    <row r="179" spans="1:25">
      <c r="A179" s="53">
        <v>1934</v>
      </c>
      <c r="B179" s="16">
        <v>2.673</v>
      </c>
      <c r="C179" s="54">
        <v>0.45747241430709512</v>
      </c>
      <c r="F179" s="53">
        <v>1934</v>
      </c>
      <c r="G179" s="16">
        <v>1</v>
      </c>
      <c r="H179" s="16">
        <v>0.29144174484044927</v>
      </c>
      <c r="L179" s="4">
        <f t="shared" si="13"/>
        <v>0.25445893554620513</v>
      </c>
      <c r="N179">
        <f t="shared" si="14"/>
        <v>0.27653025832105038</v>
      </c>
      <c r="Q179" s="55">
        <f t="shared" si="15"/>
        <v>7.1322955235491055</v>
      </c>
      <c r="R179" s="55">
        <f t="shared" si="16"/>
        <v>9.7798380452813678</v>
      </c>
      <c r="S179" s="55"/>
      <c r="T179" s="55"/>
      <c r="U179" s="55"/>
      <c r="V179" s="55"/>
      <c r="W179" s="55">
        <f t="shared" si="17"/>
        <v>6.9211479367409048</v>
      </c>
      <c r="X179" s="55">
        <f t="shared" si="18"/>
        <v>10.206811030188444</v>
      </c>
      <c r="Y179" s="55"/>
    </row>
    <row r="180" spans="1:25">
      <c r="A180" s="53">
        <v>1936</v>
      </c>
      <c r="B180" s="16">
        <v>6.4749999999999996</v>
      </c>
      <c r="C180" s="54">
        <v>0.70387126740956452</v>
      </c>
      <c r="F180" s="53">
        <v>1936</v>
      </c>
      <c r="G180" s="16">
        <v>5</v>
      </c>
      <c r="H180" s="16">
        <v>0.82140149835131759</v>
      </c>
      <c r="L180" s="4">
        <f t="shared" si="13"/>
        <v>0.68630971489913861</v>
      </c>
      <c r="N180">
        <f t="shared" si="14"/>
        <v>0.69722249008829906</v>
      </c>
      <c r="Q180" s="55">
        <f t="shared" si="15"/>
        <v>17.042216912031584</v>
      </c>
      <c r="R180" s="55">
        <f t="shared" si="16"/>
        <v>30.008771576595375</v>
      </c>
      <c r="S180" s="55"/>
      <c r="T180" s="55"/>
      <c r="U180" s="55"/>
      <c r="V180" s="55"/>
      <c r="W180" s="55">
        <f t="shared" si="17"/>
        <v>16.449345883762057</v>
      </c>
      <c r="X180" s="55">
        <f t="shared" si="18"/>
        <v>32.042335796922849</v>
      </c>
      <c r="Y180" s="55"/>
    </row>
    <row r="181" spans="1:25">
      <c r="A181" s="53">
        <v>1943</v>
      </c>
      <c r="B181" s="16">
        <v>0.10199999999999999</v>
      </c>
      <c r="C181" s="54">
        <v>5.7811092720693714E-2</v>
      </c>
      <c r="F181" s="53">
        <v>1943</v>
      </c>
      <c r="G181" s="16">
        <v>1</v>
      </c>
      <c r="H181" s="16">
        <v>0.29144174484044927</v>
      </c>
      <c r="L181" s="4">
        <f t="shared" si="13"/>
        <v>5.5517268238293845E-2</v>
      </c>
      <c r="N181">
        <f t="shared" si="14"/>
        <v>5.614833080269787E-2</v>
      </c>
      <c r="Q181" s="55">
        <f t="shared" si="15"/>
        <v>5.4669607189319462</v>
      </c>
      <c r="R181" s="55">
        <f t="shared" si="16"/>
        <v>7.2995231251768145</v>
      </c>
      <c r="S181" s="55"/>
      <c r="T181" s="55"/>
      <c r="U181" s="55"/>
      <c r="V181" s="55"/>
      <c r="W181" s="55">
        <f t="shared" si="17"/>
        <v>5.4633079319250832</v>
      </c>
      <c r="X181" s="55">
        <f t="shared" si="18"/>
        <v>7.3060454071751924</v>
      </c>
      <c r="Y181" s="55"/>
    </row>
    <row r="182" spans="1:25">
      <c r="A182" s="53">
        <v>1948</v>
      </c>
      <c r="B182" s="16">
        <v>0.246</v>
      </c>
      <c r="C182" s="54">
        <v>0.10355399491432316</v>
      </c>
      <c r="F182" s="53">
        <v>1948</v>
      </c>
      <c r="G182" s="16">
        <v>1</v>
      </c>
      <c r="H182" s="16">
        <v>0.29144174484044927</v>
      </c>
      <c r="L182" s="4">
        <f t="shared" si="13"/>
        <v>8.9596395000112281E-2</v>
      </c>
      <c r="N182">
        <f t="shared" si="14"/>
        <v>9.802898022979907E-2</v>
      </c>
      <c r="Q182" s="55">
        <f t="shared" si="15"/>
        <v>5.7208046454914214</v>
      </c>
      <c r="R182" s="55">
        <f t="shared" si="16"/>
        <v>7.3396245055404243</v>
      </c>
      <c r="S182" s="55"/>
      <c r="T182" s="55"/>
      <c r="U182" s="55"/>
      <c r="V182" s="55"/>
      <c r="W182" s="55">
        <f t="shared" si="17"/>
        <v>5.6678158694248983</v>
      </c>
      <c r="X182" s="55">
        <f t="shared" si="18"/>
        <v>7.4287289553123683</v>
      </c>
      <c r="Y182" s="55"/>
    </row>
    <row r="183" spans="1:25" s="62" customFormat="1">
      <c r="A183" s="60">
        <v>1951</v>
      </c>
      <c r="B183" s="61">
        <v>18.978000000000002</v>
      </c>
      <c r="C183" s="54">
        <v>0.94828977404304537</v>
      </c>
      <c r="F183" s="60">
        <v>1951</v>
      </c>
      <c r="G183" s="61">
        <v>6</v>
      </c>
      <c r="H183" s="16">
        <v>0.87345255729769944</v>
      </c>
      <c r="L183" s="4">
        <f t="shared" si="13"/>
        <v>0.87361128770663199</v>
      </c>
      <c r="N183">
        <f t="shared" si="14"/>
        <v>0.87261669679670617</v>
      </c>
      <c r="Q183" s="55">
        <f t="shared" si="15"/>
        <v>40.507663643837546</v>
      </c>
      <c r="R183" s="55">
        <f t="shared" si="16"/>
        <v>101.42632647608505</v>
      </c>
      <c r="S183" s="55"/>
      <c r="T183" s="55"/>
      <c r="U183" s="55"/>
      <c r="V183" s="55"/>
      <c r="W183" s="55">
        <f t="shared" si="17"/>
        <v>40.826430670666468</v>
      </c>
      <c r="X183" s="55">
        <f t="shared" si="18"/>
        <v>99.481469486314822</v>
      </c>
      <c r="Y183" s="63"/>
    </row>
    <row r="184" spans="1:25">
      <c r="A184" s="53">
        <v>1959</v>
      </c>
      <c r="B184" s="16">
        <v>0.41699999999999998</v>
      </c>
      <c r="C184" s="54">
        <v>0.14627626228127658</v>
      </c>
      <c r="F184" s="53">
        <v>1959</v>
      </c>
      <c r="G184" s="16">
        <v>1</v>
      </c>
      <c r="H184" s="16">
        <v>0.29144174484044927</v>
      </c>
      <c r="L184" s="4">
        <f t="shared" si="13"/>
        <v>0.11752119033190292</v>
      </c>
      <c r="N184">
        <f t="shared" si="14"/>
        <v>0.13432335368718343</v>
      </c>
      <c r="Q184" s="55">
        <f t="shared" si="15"/>
        <v>5.9606551961151188</v>
      </c>
      <c r="R184" s="55">
        <f t="shared" si="16"/>
        <v>7.4073505542856655</v>
      </c>
      <c r="S184" s="55"/>
      <c r="T184" s="55"/>
      <c r="U184" s="55"/>
      <c r="V184" s="55"/>
      <c r="W184" s="55">
        <f t="shared" si="17"/>
        <v>5.8471658961881374</v>
      </c>
      <c r="X184" s="55">
        <f t="shared" si="18"/>
        <v>7.5904322419223877</v>
      </c>
      <c r="Y184" s="55"/>
    </row>
    <row r="185" spans="1:25">
      <c r="A185" s="53">
        <v>1961</v>
      </c>
      <c r="B185" s="16">
        <v>0.36299999999999999</v>
      </c>
      <c r="C185" s="54">
        <v>0.13364164646115193</v>
      </c>
      <c r="F185" s="53">
        <v>1961</v>
      </c>
      <c r="G185" s="16">
        <v>1</v>
      </c>
      <c r="H185" s="16">
        <v>0.29144174484044927</v>
      </c>
      <c r="L185" s="4">
        <f t="shared" si="13"/>
        <v>0.10958970050579092</v>
      </c>
      <c r="N185">
        <f t="shared" si="14"/>
        <v>0.12391876126447607</v>
      </c>
      <c r="Q185" s="55">
        <f t="shared" si="15"/>
        <v>5.8898647429633275</v>
      </c>
      <c r="R185" s="55">
        <f t="shared" si="16"/>
        <v>7.3837132775264669</v>
      </c>
      <c r="S185" s="55"/>
      <c r="T185" s="55"/>
      <c r="U185" s="55"/>
      <c r="V185" s="55"/>
      <c r="W185" s="55">
        <f t="shared" si="17"/>
        <v>5.7950812147288717</v>
      </c>
      <c r="X185" s="55">
        <f t="shared" si="18"/>
        <v>7.5382796778002543</v>
      </c>
      <c r="Y185" s="55"/>
    </row>
    <row r="186" spans="1:25">
      <c r="A186" s="53">
        <v>1963</v>
      </c>
      <c r="B186" s="16">
        <v>4.609</v>
      </c>
      <c r="C186" s="54">
        <v>0.60553500671789662</v>
      </c>
      <c r="F186" s="53">
        <v>1963</v>
      </c>
      <c r="G186" s="16">
        <v>2</v>
      </c>
      <c r="H186" s="16">
        <v>0.49794519904525303</v>
      </c>
      <c r="L186" s="4">
        <f t="shared" si="13"/>
        <v>0.44622794315273456</v>
      </c>
      <c r="N186">
        <f t="shared" si="14"/>
        <v>0.47528159186590824</v>
      </c>
      <c r="Q186" s="55">
        <f t="shared" si="15"/>
        <v>9.8338459638743263</v>
      </c>
      <c r="R186" s="55">
        <f t="shared" si="16"/>
        <v>13.878377523245375</v>
      </c>
      <c r="S186" s="55"/>
      <c r="T186" s="55"/>
      <c r="U186" s="55"/>
      <c r="V186" s="55"/>
      <c r="W186" s="55">
        <f t="shared" si="17"/>
        <v>9.3179132753228959</v>
      </c>
      <c r="X186" s="55">
        <f t="shared" si="18"/>
        <v>15.05480397711532</v>
      </c>
      <c r="Y186" s="55"/>
    </row>
    <row r="187" spans="1:25">
      <c r="A187" s="53">
        <v>1966</v>
      </c>
      <c r="B187" s="16">
        <v>3.3540000000000001</v>
      </c>
      <c r="C187" s="64">
        <v>0.5167085653395842</v>
      </c>
      <c r="F187" s="53">
        <v>1966</v>
      </c>
      <c r="G187" s="16">
        <v>2</v>
      </c>
      <c r="H187" s="16">
        <v>0.49794519904525303</v>
      </c>
      <c r="L187" s="4">
        <f t="shared" si="13"/>
        <v>0.40474237322572454</v>
      </c>
      <c r="N187">
        <f t="shared" si="14"/>
        <v>0.44317358108754557</v>
      </c>
      <c r="Q187" s="55">
        <f t="shared" si="15"/>
        <v>9.2668016903329935</v>
      </c>
      <c r="R187" s="55">
        <f t="shared" si="16"/>
        <v>12.041450124067012</v>
      </c>
      <c r="S187" s="55"/>
      <c r="T187" s="55"/>
      <c r="U187" s="55"/>
      <c r="V187" s="55"/>
      <c r="W187" s="55">
        <f t="shared" si="17"/>
        <v>8.6685155601655079</v>
      </c>
      <c r="X187" s="55">
        <f t="shared" si="18"/>
        <v>13.227763854300871</v>
      </c>
      <c r="Y187" s="55"/>
    </row>
    <row r="188" spans="1:25">
      <c r="A188" s="53">
        <v>1971</v>
      </c>
      <c r="B188" s="16">
        <v>5.399</v>
      </c>
      <c r="C188" s="54">
        <v>0.65124635703071199</v>
      </c>
      <c r="F188" s="53">
        <v>1971</v>
      </c>
      <c r="G188" s="16">
        <v>2</v>
      </c>
      <c r="H188" s="16">
        <v>0.49794519904525303</v>
      </c>
      <c r="L188" s="4">
        <f t="shared" si="13"/>
        <v>0.46444600447067463</v>
      </c>
      <c r="N188">
        <f t="shared" si="14"/>
        <v>0.48489556224082458</v>
      </c>
      <c r="Q188" s="55">
        <f t="shared" si="15"/>
        <v>10.017386032330077</v>
      </c>
      <c r="R188" s="55">
        <f t="shared" si="16"/>
        <v>15.370683415276241</v>
      </c>
      <c r="S188" s="55"/>
      <c r="T188" s="55"/>
      <c r="U188" s="55"/>
      <c r="V188" s="55"/>
      <c r="W188" s="55">
        <f t="shared" si="17"/>
        <v>9.6348828373505313</v>
      </c>
      <c r="X188" s="55">
        <f t="shared" si="18"/>
        <v>16.367730975010698</v>
      </c>
      <c r="Y188" s="55"/>
    </row>
    <row r="189" spans="1:25">
      <c r="A189" s="53">
        <v>1974</v>
      </c>
      <c r="B189" s="16">
        <v>0.34200000000000003</v>
      </c>
      <c r="C189" s="54">
        <v>0.12854006746890342</v>
      </c>
      <c r="F189" s="53">
        <v>1974</v>
      </c>
      <c r="G189" s="16">
        <v>1</v>
      </c>
      <c r="H189" s="16">
        <v>0.29144174484044927</v>
      </c>
      <c r="L189" s="4">
        <f t="shared" si="13"/>
        <v>0.1063130317886628</v>
      </c>
      <c r="N189">
        <f t="shared" si="14"/>
        <v>0.11963572188850609</v>
      </c>
      <c r="Q189" s="55">
        <f t="shared" si="15"/>
        <v>5.8612101016512517</v>
      </c>
      <c r="R189" s="55">
        <f t="shared" si="16"/>
        <v>7.3750749182603368</v>
      </c>
      <c r="S189" s="55"/>
      <c r="T189" s="55"/>
      <c r="U189" s="55"/>
      <c r="V189" s="55"/>
      <c r="W189" s="55">
        <f t="shared" si="17"/>
        <v>5.7738337735051033</v>
      </c>
      <c r="X189" s="55">
        <f t="shared" si="18"/>
        <v>7.5182358802134486</v>
      </c>
      <c r="Y189" s="55"/>
    </row>
    <row r="190" spans="1:25">
      <c r="A190" s="53">
        <v>1978</v>
      </c>
      <c r="B190" s="16">
        <v>2.4350000000000001</v>
      </c>
      <c r="C190" s="54">
        <v>0.43439777187385442</v>
      </c>
      <c r="F190" s="53">
        <v>1978</v>
      </c>
      <c r="G190" s="16">
        <v>1</v>
      </c>
      <c r="H190" s="16">
        <v>0.29144174484044927</v>
      </c>
      <c r="L190" s="4">
        <f t="shared" si="13"/>
        <v>0.24738733309178201</v>
      </c>
      <c r="N190">
        <f t="shared" si="14"/>
        <v>0.27278718157271103</v>
      </c>
      <c r="Q190" s="55">
        <f t="shared" si="15"/>
        <v>7.0955844963779704</v>
      </c>
      <c r="R190" s="55">
        <f t="shared" si="16"/>
        <v>9.4341750253853096</v>
      </c>
      <c r="S190" s="55"/>
      <c r="T190" s="55"/>
      <c r="U190" s="55"/>
      <c r="V190" s="55"/>
      <c r="W190" s="55">
        <f t="shared" si="17"/>
        <v>6.8561163356413024</v>
      </c>
      <c r="X190" s="55">
        <f t="shared" si="18"/>
        <v>9.8936278476629091</v>
      </c>
      <c r="Y190" s="55"/>
    </row>
    <row r="191" spans="1:25">
      <c r="A191" s="53">
        <v>1980</v>
      </c>
      <c r="B191" s="16">
        <v>1.617</v>
      </c>
      <c r="C191" s="54">
        <v>0.34277907743097891</v>
      </c>
      <c r="F191" s="53">
        <v>1980</v>
      </c>
      <c r="G191" s="16">
        <v>1</v>
      </c>
      <c r="H191" s="16">
        <v>0.29144174484044927</v>
      </c>
      <c r="L191" s="4">
        <f t="shared" si="13"/>
        <v>0.21494606361712332</v>
      </c>
      <c r="N191">
        <f t="shared" si="14"/>
        <v>0.24930122462220103</v>
      </c>
      <c r="Q191" s="55">
        <f t="shared" si="15"/>
        <v>6.8735958672680173</v>
      </c>
      <c r="R191" s="55">
        <f t="shared" si="16"/>
        <v>8.3891471428434734</v>
      </c>
      <c r="S191" s="55"/>
      <c r="T191" s="55"/>
      <c r="U191" s="55"/>
      <c r="V191" s="55"/>
      <c r="W191" s="55">
        <f t="shared" si="17"/>
        <v>6.5727967988729752</v>
      </c>
      <c r="X191" s="55">
        <f t="shared" si="18"/>
        <v>8.885441225256379</v>
      </c>
      <c r="Y191" s="55"/>
    </row>
    <row r="192" spans="1:25">
      <c r="A192" s="53">
        <v>1984</v>
      </c>
      <c r="B192" s="16">
        <v>2.0619999999999998</v>
      </c>
      <c r="C192" s="54">
        <v>0.39524710355730153</v>
      </c>
      <c r="F192" s="53">
        <v>1984</v>
      </c>
      <c r="G192" s="16">
        <v>1</v>
      </c>
      <c r="H192" s="16">
        <v>0.29144174484044927</v>
      </c>
      <c r="L192" s="4">
        <f t="shared" si="13"/>
        <v>0.23439615747680831</v>
      </c>
      <c r="N192">
        <f t="shared" si="14"/>
        <v>0.26462714927914854</v>
      </c>
      <c r="Q192" s="55">
        <f t="shared" si="15"/>
        <v>7.0168486570341759</v>
      </c>
      <c r="R192" s="55">
        <f t="shared" si="16"/>
        <v>8.928288698171805</v>
      </c>
      <c r="S192" s="55"/>
      <c r="T192" s="55"/>
      <c r="U192" s="55"/>
      <c r="V192" s="55"/>
      <c r="W192" s="55">
        <f t="shared" si="17"/>
        <v>6.7397780854838034</v>
      </c>
      <c r="X192" s="55">
        <f t="shared" si="18"/>
        <v>9.4210902693197252</v>
      </c>
      <c r="Y192" s="55"/>
    </row>
    <row r="193" spans="1:25">
      <c r="A193" s="53">
        <v>1988</v>
      </c>
      <c r="B193" s="16">
        <v>1.306</v>
      </c>
      <c r="C193" s="54">
        <v>0.30139355349940306</v>
      </c>
      <c r="F193" s="53">
        <v>1988</v>
      </c>
      <c r="G193" s="16">
        <v>1</v>
      </c>
      <c r="H193" s="16">
        <v>0.29144174484044927</v>
      </c>
      <c r="L193" s="4">
        <f t="shared" si="13"/>
        <v>0.19785607243810452</v>
      </c>
      <c r="N193">
        <f t="shared" si="14"/>
        <v>0.23295693839900519</v>
      </c>
      <c r="Q193" s="55">
        <f t="shared" si="15"/>
        <v>6.7271320976815785</v>
      </c>
      <c r="R193" s="55">
        <f t="shared" si="16"/>
        <v>8.0609679115412654</v>
      </c>
      <c r="S193" s="55"/>
      <c r="T193" s="55"/>
      <c r="U193" s="55"/>
      <c r="V193" s="55"/>
      <c r="W193" s="55">
        <f t="shared" si="17"/>
        <v>6.4327607835712772</v>
      </c>
      <c r="X193" s="55">
        <f t="shared" si="18"/>
        <v>8.5286327691651174</v>
      </c>
      <c r="Y193" s="55"/>
    </row>
    <row r="194" spans="1:25">
      <c r="A194" s="53">
        <v>1996</v>
      </c>
      <c r="B194" s="16">
        <v>1.619</v>
      </c>
      <c r="C194" s="54">
        <v>0.34303134881578407</v>
      </c>
      <c r="F194" s="53">
        <v>1996</v>
      </c>
      <c r="G194" s="16">
        <v>1</v>
      </c>
      <c r="H194" s="16">
        <v>0.29144174484044927</v>
      </c>
      <c r="L194" s="4">
        <f t="shared" si="13"/>
        <v>0.21504538699543807</v>
      </c>
      <c r="N194">
        <f t="shared" si="14"/>
        <v>0.24938867475255883</v>
      </c>
      <c r="Q194" s="55">
        <f t="shared" si="15"/>
        <v>6.8743966770005658</v>
      </c>
      <c r="R194" s="55">
        <f t="shared" si="16"/>
        <v>8.391395760049372</v>
      </c>
      <c r="S194" s="55"/>
      <c r="T194" s="55"/>
      <c r="U194" s="55"/>
      <c r="V194" s="55"/>
      <c r="W194" s="55">
        <f t="shared" si="17"/>
        <v>6.5736284805679732</v>
      </c>
      <c r="X194" s="55">
        <f t="shared" si="18"/>
        <v>8.8877820371376615</v>
      </c>
      <c r="Y194" s="55"/>
    </row>
    <row r="195" spans="1:25">
      <c r="A195" s="53">
        <v>1998</v>
      </c>
      <c r="B195" s="16">
        <v>4.101</v>
      </c>
      <c r="C195" s="54">
        <v>0.57228073904992427</v>
      </c>
      <c r="F195" s="53">
        <v>1998</v>
      </c>
      <c r="G195" s="16">
        <v>3</v>
      </c>
      <c r="H195" s="16">
        <v>0.64426492624102893</v>
      </c>
      <c r="L195" s="4">
        <f>C195*H195*(10^(((-LN(C195)^-$K$2)+(-LN(H195)^-$K$2))^-(1/$K$2)))</f>
        <v>0.51259191094271095</v>
      </c>
      <c r="N195">
        <f t="shared" ref="N195:N196" si="19">EXP(-(((-LN(C195)^$P$2)+(-LN(H195))^$P$2)^(1/$P$2)))</f>
        <v>0.54380469201134607</v>
      </c>
      <c r="Q195" s="55">
        <f t="shared" ref="Q195:Q196" si="20">5.16/(1-N195)</f>
        <v>11.310944916882693</v>
      </c>
      <c r="R195" s="55">
        <f t="shared" ref="R195:R196" si="21">5.16/(1-C195-H195+N195)</f>
        <v>15.767326731093219</v>
      </c>
      <c r="S195" s="55"/>
      <c r="T195" s="55"/>
      <c r="U195" s="55"/>
      <c r="V195" s="55"/>
      <c r="W195" s="55">
        <f>5.16/(1-L195)</f>
        <v>10.586611334210957</v>
      </c>
      <c r="X195" s="55">
        <f>5.16/(1-C195-H195+L195)</f>
        <v>17.429709296397434</v>
      </c>
      <c r="Y195" s="55"/>
    </row>
    <row r="196" spans="1:25">
      <c r="A196" s="53">
        <v>2003</v>
      </c>
      <c r="B196" s="16">
        <v>0.72599999999999998</v>
      </c>
      <c r="C196" s="54">
        <v>0.2089889507378116</v>
      </c>
      <c r="F196" s="53">
        <v>2003</v>
      </c>
      <c r="G196" s="16">
        <v>1</v>
      </c>
      <c r="H196" s="16">
        <v>0.29144174484044927</v>
      </c>
      <c r="L196" s="4">
        <f>C196*H196*(10^(((-LN(C196)^-$K$2)+(-LN(H196)^-$K$2))^-(1/$K$2)))</f>
        <v>0.15346411405246563</v>
      </c>
      <c r="N196">
        <f t="shared" si="19"/>
        <v>0.18113002388908356</v>
      </c>
      <c r="Q196" s="55">
        <f t="shared" si="20"/>
        <v>6.3013667011050307</v>
      </c>
      <c r="R196" s="55">
        <f t="shared" si="21"/>
        <v>7.580439388422354</v>
      </c>
      <c r="S196" s="55"/>
      <c r="T196" s="55"/>
      <c r="U196" s="55"/>
      <c r="V196" s="55"/>
      <c r="W196" s="55">
        <f>5.16/(1-L196)</f>
        <v>6.0954297220659122</v>
      </c>
      <c r="X196" s="55">
        <f>5.16/(1-C196-H196+L196)</f>
        <v>7.9015864334419552</v>
      </c>
      <c r="Y196" s="55"/>
    </row>
    <row r="197" spans="1:25">
      <c r="H197" s="67"/>
      <c r="W197" s="55"/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>
  <dimension ref="B1:P195"/>
  <sheetViews>
    <sheetView workbookViewId="0">
      <selection activeCell="B1" sqref="B1:C1048576"/>
    </sheetView>
  </sheetViews>
  <sheetFormatPr defaultRowHeight="12.75"/>
  <cols>
    <col min="6" max="6" width="9.42578125" style="70" customWidth="1"/>
    <col min="12" max="12" width="19.85546875" customWidth="1"/>
    <col min="13" max="13" width="20.85546875" customWidth="1"/>
    <col min="14" max="14" width="24.140625" bestFit="1" customWidth="1"/>
  </cols>
  <sheetData>
    <row r="1" spans="2:16">
      <c r="B1" s="16">
        <v>3</v>
      </c>
      <c r="C1" s="16">
        <v>7.5449999999999999</v>
      </c>
      <c r="F1" s="70">
        <v>13.957968149492043</v>
      </c>
      <c r="K1" s="32"/>
      <c r="L1" s="32"/>
      <c r="M1" s="32"/>
      <c r="N1" s="32"/>
      <c r="O1" s="32"/>
      <c r="P1" s="32"/>
    </row>
    <row r="2" spans="2:16">
      <c r="B2" s="16">
        <v>14</v>
      </c>
      <c r="C2" s="16">
        <v>28.51</v>
      </c>
      <c r="F2" s="70">
        <v>341.57353672366321</v>
      </c>
      <c r="K2" s="32"/>
      <c r="L2" s="32"/>
      <c r="M2" s="32"/>
      <c r="N2" s="32"/>
      <c r="O2" s="32"/>
      <c r="P2" s="32"/>
    </row>
    <row r="3" spans="2:16">
      <c r="B3" s="16">
        <v>6</v>
      </c>
      <c r="C3" s="16">
        <v>8.3949999999999996</v>
      </c>
      <c r="F3" s="70">
        <v>22.671936267494015</v>
      </c>
      <c r="K3" s="32"/>
      <c r="L3" s="32"/>
      <c r="M3" s="32"/>
      <c r="N3" s="32"/>
      <c r="O3" s="32"/>
      <c r="P3" s="32"/>
    </row>
    <row r="4" spans="2:16">
      <c r="B4" s="16">
        <v>2</v>
      </c>
      <c r="C4" s="16">
        <v>1.9140000000000001</v>
      </c>
      <c r="F4" s="70">
        <v>7.9994971573582943</v>
      </c>
      <c r="K4" s="32"/>
      <c r="L4" s="71"/>
      <c r="M4" s="71"/>
      <c r="N4" s="71"/>
      <c r="O4" s="32"/>
      <c r="P4" s="32"/>
    </row>
    <row r="5" spans="2:16">
      <c r="B5" s="16">
        <v>5</v>
      </c>
      <c r="C5" s="16">
        <v>5.3760000000000003</v>
      </c>
      <c r="F5" s="70">
        <v>14.596680970988901</v>
      </c>
      <c r="K5" s="32"/>
      <c r="L5" s="32"/>
      <c r="M5" s="32"/>
      <c r="N5" s="32"/>
      <c r="O5" s="32"/>
      <c r="P5" s="32"/>
    </row>
    <row r="6" spans="2:16">
      <c r="B6" s="16">
        <v>8</v>
      </c>
      <c r="C6" s="16">
        <v>15.449</v>
      </c>
      <c r="F6" s="70">
        <v>57.655956728274049</v>
      </c>
      <c r="K6" s="32"/>
      <c r="L6" s="32"/>
      <c r="M6" s="32"/>
      <c r="N6" s="32"/>
      <c r="O6" s="32"/>
      <c r="P6" s="32"/>
    </row>
    <row r="7" spans="2:16">
      <c r="B7" s="16">
        <v>5</v>
      </c>
      <c r="C7" s="16">
        <v>7.4139999999999997</v>
      </c>
      <c r="F7" s="70">
        <v>19.227751986984725</v>
      </c>
      <c r="K7" s="32"/>
      <c r="L7" s="32"/>
      <c r="M7" s="32"/>
      <c r="N7" s="32"/>
      <c r="O7" s="32"/>
      <c r="P7" s="32"/>
    </row>
    <row r="8" spans="2:16">
      <c r="B8" s="16">
        <v>1</v>
      </c>
      <c r="C8" s="16">
        <v>0.74</v>
      </c>
      <c r="F8" s="70">
        <v>6.3146044989954699</v>
      </c>
      <c r="K8" s="32"/>
      <c r="L8" s="32"/>
      <c r="M8" s="32"/>
      <c r="N8" s="32"/>
      <c r="O8" s="32"/>
      <c r="P8" s="32"/>
    </row>
    <row r="9" spans="2:16">
      <c r="B9" s="16">
        <v>3</v>
      </c>
      <c r="C9" s="16">
        <v>9.1349999999999998</v>
      </c>
      <c r="F9" s="70">
        <v>14.290941913959266</v>
      </c>
      <c r="K9" s="32"/>
      <c r="L9" s="32"/>
      <c r="M9" s="32"/>
      <c r="N9" s="32"/>
      <c r="O9" s="32"/>
      <c r="P9" s="32"/>
    </row>
    <row r="10" spans="2:16">
      <c r="B10" s="16">
        <v>1</v>
      </c>
      <c r="C10" s="16">
        <v>0.13200000000000001</v>
      </c>
      <c r="F10" s="70">
        <v>5.5262503219744676</v>
      </c>
      <c r="K10" s="32"/>
      <c r="L10" s="32"/>
      <c r="M10" s="32"/>
      <c r="N10" s="32"/>
      <c r="O10" s="32"/>
      <c r="P10" s="32"/>
    </row>
    <row r="11" spans="2:16">
      <c r="B11" s="16">
        <v>14</v>
      </c>
      <c r="C11" s="16">
        <v>25.858999999999998</v>
      </c>
      <c r="F11" s="70">
        <v>246.01197879765417</v>
      </c>
      <c r="K11" s="32"/>
      <c r="L11" s="32"/>
      <c r="M11" s="32"/>
      <c r="N11" s="32"/>
      <c r="O11" s="32"/>
      <c r="P11" s="32"/>
    </row>
    <row r="12" spans="2:16">
      <c r="B12" s="16">
        <v>2</v>
      </c>
      <c r="C12" s="16">
        <v>4.4809999999999999</v>
      </c>
      <c r="F12" s="70">
        <v>9.7939437191842451</v>
      </c>
      <c r="K12" s="32"/>
      <c r="L12" s="32"/>
      <c r="M12" s="32"/>
      <c r="N12" s="32"/>
      <c r="O12" s="32"/>
      <c r="P12" s="32"/>
    </row>
    <row r="13" spans="2:16">
      <c r="B13" s="16">
        <v>4</v>
      </c>
      <c r="C13" s="16">
        <v>6.7920000000000007</v>
      </c>
      <c r="F13" s="70">
        <v>16.50185820093062</v>
      </c>
      <c r="K13" s="32"/>
      <c r="L13" s="32"/>
      <c r="M13" s="32"/>
      <c r="N13" s="32"/>
      <c r="O13" s="32"/>
      <c r="P13" s="32"/>
    </row>
    <row r="14" spans="2:16">
      <c r="B14" s="16">
        <v>3</v>
      </c>
      <c r="C14" s="16">
        <v>4.9400000000000004</v>
      </c>
      <c r="F14" s="70">
        <v>12.280221381389323</v>
      </c>
      <c r="K14" s="32"/>
      <c r="L14" s="32"/>
      <c r="M14" s="32"/>
      <c r="N14" s="32"/>
      <c r="O14" s="32"/>
      <c r="P14" s="32"/>
    </row>
    <row r="15" spans="2:16">
      <c r="B15" s="16">
        <v>2</v>
      </c>
      <c r="C15" s="16">
        <v>6.0030000000000001</v>
      </c>
      <c r="F15" s="70">
        <v>10.104265261057018</v>
      </c>
      <c r="K15" s="32"/>
      <c r="L15" s="32"/>
      <c r="M15" s="32"/>
      <c r="N15" s="32"/>
      <c r="O15" s="32"/>
      <c r="P15" s="32"/>
    </row>
    <row r="16" spans="2:16">
      <c r="B16" s="16">
        <v>6</v>
      </c>
      <c r="C16" s="16">
        <v>12.244</v>
      </c>
      <c r="F16" s="70">
        <v>34.125161106233598</v>
      </c>
    </row>
    <row r="17" spans="2:6">
      <c r="B17" s="16">
        <v>5</v>
      </c>
      <c r="C17" s="16">
        <v>9.0009999999999994</v>
      </c>
      <c r="F17" s="70">
        <v>22.786502883426234</v>
      </c>
    </row>
    <row r="18" spans="2:6">
      <c r="B18" s="16">
        <v>14</v>
      </c>
      <c r="C18" s="16">
        <v>36.018000000000001</v>
      </c>
      <c r="F18" s="70">
        <v>605.9566684228372</v>
      </c>
    </row>
    <row r="19" spans="2:6">
      <c r="B19" s="16">
        <v>10</v>
      </c>
      <c r="C19" s="16">
        <v>16.382999999999999</v>
      </c>
      <c r="F19" s="70">
        <v>69.746164973482138</v>
      </c>
    </row>
    <row r="20" spans="2:6">
      <c r="B20" s="16">
        <v>17</v>
      </c>
      <c r="C20" s="16">
        <v>34.043000000000006</v>
      </c>
      <c r="F20" s="70">
        <v>709.71959112666252</v>
      </c>
    </row>
    <row r="21" spans="2:6">
      <c r="B21" s="16">
        <v>1</v>
      </c>
      <c r="C21" s="16">
        <v>0.755</v>
      </c>
      <c r="F21" s="70">
        <v>6.3285999431781628</v>
      </c>
    </row>
    <row r="22" spans="2:6">
      <c r="B22" s="16">
        <v>1</v>
      </c>
      <c r="C22" s="16">
        <v>0.67600000000000005</v>
      </c>
      <c r="F22" s="70">
        <v>6.2526732579519386</v>
      </c>
    </row>
    <row r="23" spans="2:6">
      <c r="B23" s="16">
        <v>5</v>
      </c>
      <c r="C23" s="16">
        <v>7.6520000000000001</v>
      </c>
      <c r="F23" s="70">
        <v>19.782980292808428</v>
      </c>
    </row>
    <row r="24" spans="2:6">
      <c r="B24" s="16">
        <v>4</v>
      </c>
      <c r="C24" s="16">
        <v>4.5460000000000003</v>
      </c>
      <c r="F24" s="70">
        <v>12.670689866078785</v>
      </c>
    </row>
    <row r="25" spans="2:6">
      <c r="B25" s="16">
        <v>7</v>
      </c>
      <c r="C25" s="16">
        <v>16.47</v>
      </c>
      <c r="F25" s="70">
        <v>52.712601047195115</v>
      </c>
    </row>
    <row r="26" spans="2:6">
      <c r="B26" s="16">
        <v>11</v>
      </c>
      <c r="C26" s="16">
        <v>27.78</v>
      </c>
      <c r="F26" s="70">
        <v>214.42832519085891</v>
      </c>
    </row>
    <row r="27" spans="2:6">
      <c r="B27" s="16">
        <v>6</v>
      </c>
      <c r="C27" s="16">
        <v>13.637</v>
      </c>
      <c r="F27" s="70">
        <v>36.987157703155646</v>
      </c>
    </row>
    <row r="28" spans="2:6">
      <c r="B28" s="16">
        <v>6</v>
      </c>
      <c r="C28" s="16">
        <v>17.312000000000001</v>
      </c>
      <c r="F28" s="70">
        <v>40.142022395291278</v>
      </c>
    </row>
    <row r="29" spans="2:6">
      <c r="B29" s="16">
        <v>7</v>
      </c>
      <c r="C29" s="16">
        <v>19.756999999999998</v>
      </c>
      <c r="F29" s="70">
        <v>56.535476436949367</v>
      </c>
    </row>
    <row r="30" spans="2:6">
      <c r="B30" s="16">
        <v>8</v>
      </c>
      <c r="C30" s="16">
        <v>12.442000000000002</v>
      </c>
      <c r="F30" s="70">
        <v>40.420823924960764</v>
      </c>
    </row>
    <row r="31" spans="2:6">
      <c r="B31" s="16">
        <v>3</v>
      </c>
      <c r="C31" s="16">
        <v>10.241</v>
      </c>
      <c r="F31" s="70">
        <v>14.393456618813577</v>
      </c>
    </row>
    <row r="32" spans="2:6">
      <c r="B32" s="16">
        <v>1</v>
      </c>
      <c r="C32" s="16">
        <v>0.753</v>
      </c>
      <c r="F32" s="70">
        <v>6.3267450267303742</v>
      </c>
    </row>
    <row r="33" spans="2:6">
      <c r="B33" s="16">
        <v>2</v>
      </c>
      <c r="C33" s="16">
        <v>1.3220000000000001</v>
      </c>
      <c r="F33" s="70">
        <v>7.2920353839729284</v>
      </c>
    </row>
    <row r="34" spans="2:6">
      <c r="B34" s="16">
        <v>2</v>
      </c>
      <c r="C34" s="16">
        <v>3.234</v>
      </c>
      <c r="F34" s="70">
        <v>9.1883412753149276</v>
      </c>
    </row>
    <row r="35" spans="2:6">
      <c r="B35" s="16">
        <v>1</v>
      </c>
      <c r="C35" s="16">
        <v>0.192</v>
      </c>
      <c r="F35" s="70">
        <v>5.6334362064034256</v>
      </c>
    </row>
    <row r="36" spans="2:6">
      <c r="B36" s="16">
        <v>4</v>
      </c>
      <c r="C36" s="16">
        <v>8.6339999999999986</v>
      </c>
      <c r="F36" s="70">
        <v>18.701077834969574</v>
      </c>
    </row>
    <row r="37" spans="2:6">
      <c r="B37" s="16">
        <v>1</v>
      </c>
      <c r="C37" s="16">
        <v>1.7250000000000001</v>
      </c>
      <c r="F37" s="70">
        <v>6.9145836612852856</v>
      </c>
    </row>
    <row r="38" spans="2:6">
      <c r="B38" s="16">
        <v>1</v>
      </c>
      <c r="C38" s="16">
        <v>0.68600000000000005</v>
      </c>
      <c r="F38" s="70">
        <v>6.2625918486693841</v>
      </c>
    </row>
    <row r="39" spans="2:6">
      <c r="B39" s="16">
        <v>1</v>
      </c>
      <c r="C39" s="16">
        <v>1.583</v>
      </c>
      <c r="F39" s="70">
        <v>6.8597296945818069</v>
      </c>
    </row>
    <row r="40" spans="2:6">
      <c r="B40" s="16">
        <v>3</v>
      </c>
      <c r="C40" s="16">
        <v>4.7089999999999996</v>
      </c>
      <c r="F40" s="70">
        <v>12.033075257158425</v>
      </c>
    </row>
    <row r="41" spans="2:6">
      <c r="B41" s="16">
        <v>4</v>
      </c>
      <c r="C41" s="16">
        <v>11.071</v>
      </c>
      <c r="F41" s="70">
        <v>19.980923640117162</v>
      </c>
    </row>
    <row r="42" spans="2:6">
      <c r="B42" s="16">
        <v>2</v>
      </c>
      <c r="C42" s="16">
        <v>3.64</v>
      </c>
      <c r="F42" s="70">
        <v>9.4348586452971528</v>
      </c>
    </row>
    <row r="43" spans="2:6">
      <c r="B43" s="16">
        <v>5</v>
      </c>
      <c r="C43" s="16">
        <v>7.2539999999999996</v>
      </c>
      <c r="F43" s="70">
        <v>18.853538266195102</v>
      </c>
    </row>
    <row r="44" spans="2:6">
      <c r="B44" s="16">
        <v>4</v>
      </c>
      <c r="C44" s="16">
        <v>8.8840000000000003</v>
      </c>
      <c r="F44" s="70">
        <v>18.907128681639438</v>
      </c>
    </row>
    <row r="45" spans="2:6">
      <c r="B45" s="16">
        <v>1</v>
      </c>
      <c r="C45" s="16">
        <v>1.5640000000000001</v>
      </c>
      <c r="F45" s="70">
        <v>6.8517696204087217</v>
      </c>
    </row>
    <row r="46" spans="2:6">
      <c r="B46" s="16">
        <v>3</v>
      </c>
      <c r="C46" s="16">
        <v>8.1109999999999989</v>
      </c>
      <c r="F46" s="70">
        <v>14.112678201415157</v>
      </c>
    </row>
    <row r="47" spans="2:6">
      <c r="B47" s="16">
        <v>2</v>
      </c>
      <c r="C47" s="16">
        <v>4.0609999999999999</v>
      </c>
      <c r="F47" s="70">
        <v>9.6375209209607089</v>
      </c>
    </row>
    <row r="48" spans="2:6">
      <c r="B48" s="16">
        <v>1</v>
      </c>
      <c r="C48" s="16">
        <v>1.32</v>
      </c>
      <c r="F48" s="70">
        <v>6.7347518757954514</v>
      </c>
    </row>
    <row r="49" spans="2:6">
      <c r="B49" s="16">
        <v>1</v>
      </c>
      <c r="C49" s="16">
        <v>0.13800000000000001</v>
      </c>
      <c r="F49" s="70">
        <v>5.5375783242760921</v>
      </c>
    </row>
    <row r="50" spans="2:6">
      <c r="B50" s="16">
        <v>3</v>
      </c>
      <c r="C50" s="16">
        <v>2.992</v>
      </c>
      <c r="F50" s="70">
        <v>9.8024021575933276</v>
      </c>
    </row>
    <row r="51" spans="2:6">
      <c r="B51" s="16">
        <v>1</v>
      </c>
      <c r="C51" s="16">
        <v>1.8660000000000001</v>
      </c>
      <c r="F51" s="70">
        <v>6.9617080731668208</v>
      </c>
    </row>
    <row r="52" spans="2:6">
      <c r="B52" s="16">
        <v>3</v>
      </c>
      <c r="C52" s="16">
        <v>7.1280000000000001</v>
      </c>
      <c r="F52" s="70">
        <v>13.808262327478625</v>
      </c>
    </row>
    <row r="53" spans="2:6">
      <c r="B53" s="16">
        <v>7</v>
      </c>
      <c r="C53" s="16">
        <v>10.96</v>
      </c>
      <c r="F53" s="70">
        <v>32.555987976507545</v>
      </c>
    </row>
    <row r="54" spans="2:6">
      <c r="B54" s="16">
        <v>1</v>
      </c>
      <c r="C54" s="16">
        <v>2.3149999999999999</v>
      </c>
      <c r="F54" s="70">
        <v>7.0734426793847538</v>
      </c>
    </row>
    <row r="55" spans="2:6">
      <c r="B55" s="16">
        <v>2</v>
      </c>
      <c r="C55" s="16">
        <v>4.8079999999999998</v>
      </c>
      <c r="F55" s="70">
        <v>9.8895927195710396</v>
      </c>
    </row>
    <row r="56" spans="2:6">
      <c r="B56" s="16">
        <v>4</v>
      </c>
      <c r="C56" s="16">
        <v>8.4130000000000003</v>
      </c>
      <c r="F56" s="70">
        <v>18.501024823882073</v>
      </c>
    </row>
    <row r="57" spans="2:6">
      <c r="B57" s="16">
        <v>4</v>
      </c>
      <c r="C57" s="16">
        <v>11.102</v>
      </c>
      <c r="F57" s="70">
        <v>19.98919854994676</v>
      </c>
    </row>
    <row r="58" spans="2:6">
      <c r="B58" s="16">
        <v>3</v>
      </c>
      <c r="C58" s="16">
        <v>6.3220000000000001</v>
      </c>
      <c r="F58" s="70">
        <v>13.407376481683078</v>
      </c>
    </row>
    <row r="59" spans="2:6">
      <c r="B59" s="16">
        <v>2</v>
      </c>
      <c r="C59" s="16">
        <v>1.1870000000000001</v>
      </c>
      <c r="F59" s="70">
        <v>7.1186153769577203</v>
      </c>
    </row>
    <row r="60" spans="2:6">
      <c r="B60" s="16">
        <v>4</v>
      </c>
      <c r="C60" s="16">
        <v>6.8009999999999993</v>
      </c>
      <c r="F60" s="70">
        <v>16.515386959159827</v>
      </c>
    </row>
    <row r="61" spans="2:6">
      <c r="B61" s="16">
        <v>2</v>
      </c>
      <c r="C61" s="16">
        <v>5.9559999999999995</v>
      </c>
      <c r="F61" s="70">
        <v>10.098723773123307</v>
      </c>
    </row>
    <row r="62" spans="2:6">
      <c r="B62" s="16">
        <v>1</v>
      </c>
      <c r="C62" s="16">
        <v>1.0029999999999999</v>
      </c>
      <c r="F62" s="70">
        <v>6.5338839400875042</v>
      </c>
    </row>
    <row r="63" spans="2:6">
      <c r="B63" s="16">
        <v>2</v>
      </c>
      <c r="C63" s="16">
        <v>1.5489999999999999</v>
      </c>
      <c r="F63" s="70">
        <v>7.5738954565083594</v>
      </c>
    </row>
    <row r="64" spans="2:6">
      <c r="B64" s="16">
        <v>1</v>
      </c>
      <c r="C64" s="16">
        <v>1.018</v>
      </c>
      <c r="F64" s="70">
        <v>6.5448353630949736</v>
      </c>
    </row>
    <row r="65" spans="2:6">
      <c r="B65" s="16">
        <v>3</v>
      </c>
      <c r="C65" s="16">
        <v>2.246</v>
      </c>
      <c r="F65" s="70">
        <v>8.725729599808659</v>
      </c>
    </row>
    <row r="66" spans="2:6">
      <c r="B66" s="16">
        <v>2</v>
      </c>
      <c r="C66" s="16">
        <v>1.6</v>
      </c>
      <c r="F66" s="70">
        <v>7.6354795115780414</v>
      </c>
    </row>
    <row r="67" spans="2:6">
      <c r="B67" s="16">
        <v>3</v>
      </c>
      <c r="C67" s="16">
        <v>6.4770000000000003</v>
      </c>
      <c r="F67" s="70">
        <v>13.497472263910845</v>
      </c>
    </row>
    <row r="68" spans="2:6">
      <c r="B68" s="16">
        <v>1</v>
      </c>
      <c r="C68" s="16">
        <v>2.2959999999999998</v>
      </c>
      <c r="F68" s="70">
        <v>7.0696822541490469</v>
      </c>
    </row>
    <row r="69" spans="2:6">
      <c r="B69" s="16">
        <v>2</v>
      </c>
      <c r="C69" s="16">
        <v>1.544</v>
      </c>
      <c r="F69" s="70">
        <v>7.5678225617127666</v>
      </c>
    </row>
    <row r="70" spans="2:6">
      <c r="B70" s="16">
        <v>2</v>
      </c>
      <c r="C70" s="16">
        <v>7.1870000000000003</v>
      </c>
      <c r="F70" s="70">
        <v>10.198258730658914</v>
      </c>
    </row>
    <row r="71" spans="2:6">
      <c r="B71" s="16">
        <v>2</v>
      </c>
      <c r="C71" s="16">
        <v>3.948</v>
      </c>
      <c r="F71" s="70">
        <v>9.5879901073292082</v>
      </c>
    </row>
    <row r="72" spans="2:6">
      <c r="B72" s="16">
        <v>1</v>
      </c>
      <c r="C72" s="16">
        <v>2.5219999999999998</v>
      </c>
      <c r="F72" s="70">
        <v>7.1100340700839846</v>
      </c>
    </row>
    <row r="73" spans="2:6">
      <c r="B73" s="16">
        <v>2</v>
      </c>
      <c r="C73" s="16">
        <v>2.8970000000000002</v>
      </c>
      <c r="F73" s="70">
        <v>8.941649041169649</v>
      </c>
    </row>
    <row r="74" spans="2:6">
      <c r="B74" s="16">
        <v>1</v>
      </c>
      <c r="C74" s="16">
        <v>0.371</v>
      </c>
      <c r="F74" s="70">
        <v>5.9006090224958232</v>
      </c>
    </row>
    <row r="75" spans="2:6">
      <c r="B75" s="16">
        <v>2</v>
      </c>
      <c r="C75" s="16">
        <v>4.04</v>
      </c>
      <c r="F75" s="70">
        <v>9.6285715494693349</v>
      </c>
    </row>
    <row r="76" spans="2:6">
      <c r="B76" s="16">
        <v>1</v>
      </c>
      <c r="C76" s="16">
        <v>0.88600000000000001</v>
      </c>
      <c r="F76" s="70">
        <v>6.4429296291509193</v>
      </c>
    </row>
    <row r="77" spans="2:6">
      <c r="B77" s="16">
        <v>1</v>
      </c>
      <c r="C77" s="16">
        <v>0.32400000000000001</v>
      </c>
      <c r="F77" s="70">
        <v>5.8361072924434581</v>
      </c>
    </row>
    <row r="78" spans="2:6">
      <c r="B78" s="16">
        <v>4</v>
      </c>
      <c r="C78" s="16">
        <v>11.140999999999998</v>
      </c>
      <c r="F78" s="70">
        <v>19.999415993072013</v>
      </c>
    </row>
    <row r="79" spans="2:6">
      <c r="B79" s="16">
        <v>2</v>
      </c>
      <c r="C79" s="16">
        <v>4.3209999999999997</v>
      </c>
      <c r="F79" s="70">
        <v>9.7391934700649418</v>
      </c>
    </row>
    <row r="80" spans="2:6">
      <c r="B80" s="16">
        <v>11</v>
      </c>
      <c r="C80" s="16">
        <v>29.376999999999999</v>
      </c>
      <c r="F80" s="70">
        <v>221.55879034117157</v>
      </c>
    </row>
    <row r="81" spans="2:6">
      <c r="B81" s="16">
        <v>6</v>
      </c>
      <c r="C81" s="16">
        <v>11.721</v>
      </c>
      <c r="F81" s="70">
        <v>32.778041815893026</v>
      </c>
    </row>
    <row r="82" spans="2:6">
      <c r="B82" s="16">
        <v>1</v>
      </c>
      <c r="C82" s="16">
        <v>2.089</v>
      </c>
      <c r="F82" s="70">
        <v>7.023611109350254</v>
      </c>
    </row>
    <row r="83" spans="2:6">
      <c r="B83" s="16">
        <v>1</v>
      </c>
      <c r="C83" s="16">
        <v>7.0000000000000001E-3</v>
      </c>
      <c r="F83" s="70">
        <v>5.209897114404848</v>
      </c>
    </row>
    <row r="84" spans="2:6">
      <c r="B84" s="16">
        <v>3</v>
      </c>
      <c r="C84" s="16">
        <v>3.6629999999999998</v>
      </c>
      <c r="F84" s="70">
        <v>10.737553466679225</v>
      </c>
    </row>
    <row r="85" spans="2:6">
      <c r="B85" s="16">
        <v>1</v>
      </c>
      <c r="C85" s="16">
        <v>8.9999999999999993E-3</v>
      </c>
      <c r="F85" s="70">
        <v>5.2190979493763896</v>
      </c>
    </row>
    <row r="86" spans="2:6">
      <c r="B86" s="16">
        <v>2</v>
      </c>
      <c r="C86" s="16">
        <v>8.7859999999999996</v>
      </c>
      <c r="F86" s="70">
        <v>10.248908736755386</v>
      </c>
    </row>
    <row r="87" spans="2:6">
      <c r="B87" s="16">
        <v>7</v>
      </c>
      <c r="C87" s="16">
        <v>12.855</v>
      </c>
      <c r="F87" s="70">
        <v>40.613057479186779</v>
      </c>
    </row>
    <row r="88" spans="2:6">
      <c r="B88" s="16">
        <v>3</v>
      </c>
      <c r="C88" s="16">
        <v>6.7930000000000001</v>
      </c>
      <c r="F88" s="70">
        <v>13.661255188221697</v>
      </c>
    </row>
    <row r="89" spans="2:6">
      <c r="B89" s="16">
        <v>3</v>
      </c>
      <c r="C89" s="16">
        <v>1.2210000000000001</v>
      </c>
      <c r="F89" s="70">
        <v>7.2424543920652233</v>
      </c>
    </row>
    <row r="90" spans="2:6">
      <c r="B90" s="16">
        <v>1</v>
      </c>
      <c r="C90" s="16">
        <v>0.78500000000000003</v>
      </c>
      <c r="F90" s="70">
        <v>6.3560175686336136</v>
      </c>
    </row>
    <row r="91" spans="2:6">
      <c r="B91" s="16">
        <v>1</v>
      </c>
      <c r="C91" s="16">
        <v>0.42</v>
      </c>
      <c r="F91" s="70">
        <v>5.9644728567736882</v>
      </c>
    </row>
    <row r="92" spans="2:6">
      <c r="B92" s="16">
        <v>2</v>
      </c>
      <c r="C92" s="16">
        <v>5.7210000000000001</v>
      </c>
      <c r="F92" s="70">
        <v>10.06815757201797</v>
      </c>
    </row>
    <row r="93" spans="2:6">
      <c r="B93" s="16">
        <v>4</v>
      </c>
      <c r="C93" s="16">
        <v>7.4380000000000006</v>
      </c>
      <c r="F93" s="70">
        <v>17.408493190673187</v>
      </c>
    </row>
    <row r="94" spans="2:6">
      <c r="B94" s="16">
        <v>2</v>
      </c>
      <c r="C94" s="16">
        <v>3.9689999999999999</v>
      </c>
      <c r="F94" s="70">
        <v>9.5974530682228369</v>
      </c>
    </row>
    <row r="95" spans="2:6">
      <c r="B95" s="16">
        <v>1</v>
      </c>
      <c r="C95" s="16">
        <v>1.7729999999999999</v>
      </c>
      <c r="F95" s="70">
        <v>6.9313967361019726</v>
      </c>
    </row>
    <row r="96" spans="2:6">
      <c r="B96" s="16">
        <v>3</v>
      </c>
      <c r="C96" s="16">
        <v>8.8390000000000004</v>
      </c>
      <c r="F96" s="70">
        <v>14.249948243029758</v>
      </c>
    </row>
    <row r="97" spans="2:6">
      <c r="B97" s="16">
        <v>1</v>
      </c>
      <c r="C97" s="16">
        <v>0.375</v>
      </c>
      <c r="F97" s="70">
        <v>5.905946584390219</v>
      </c>
    </row>
    <row r="98" spans="2:6">
      <c r="B98" s="16">
        <v>2</v>
      </c>
      <c r="C98" s="16">
        <v>1.752</v>
      </c>
      <c r="F98" s="70">
        <v>7.8150349621441677</v>
      </c>
    </row>
    <row r="99" spans="2:6">
      <c r="B99" s="16">
        <v>2</v>
      </c>
      <c r="C99" s="16">
        <v>4.6189999999999998</v>
      </c>
      <c r="F99" s="70">
        <v>9.8368251790338359</v>
      </c>
    </row>
    <row r="100" spans="2:6">
      <c r="B100" s="16">
        <v>1</v>
      </c>
      <c r="C100" s="16">
        <v>0.56100000000000005</v>
      </c>
      <c r="F100" s="70">
        <v>6.1317790474023095</v>
      </c>
    </row>
    <row r="101" spans="2:6">
      <c r="B101" s="16">
        <v>9</v>
      </c>
      <c r="C101" s="16">
        <v>15.484999999999999</v>
      </c>
      <c r="F101" s="70">
        <v>61.010316015018276</v>
      </c>
    </row>
    <row r="102" spans="2:6">
      <c r="B102" s="16">
        <v>1</v>
      </c>
      <c r="C102" s="16">
        <v>3.2069999999999999</v>
      </c>
      <c r="F102" s="70">
        <v>7.1889892734248839</v>
      </c>
    </row>
    <row r="103" spans="2:6">
      <c r="B103" s="16">
        <v>2</v>
      </c>
      <c r="C103" s="16">
        <v>1.4239999999999999</v>
      </c>
      <c r="F103" s="70">
        <v>7.4202234935031068</v>
      </c>
    </row>
    <row r="104" spans="2:6">
      <c r="B104" s="16">
        <v>1</v>
      </c>
      <c r="C104" s="16">
        <v>0.36</v>
      </c>
      <c r="F104" s="70">
        <v>5.8858115746548698</v>
      </c>
    </row>
    <row r="105" spans="2:6">
      <c r="B105" s="16">
        <v>3</v>
      </c>
      <c r="C105" s="16">
        <v>2.6970000000000001</v>
      </c>
      <c r="F105" s="70">
        <v>9.3788176248116173</v>
      </c>
    </row>
    <row r="106" spans="2:6">
      <c r="B106" s="16">
        <v>1</v>
      </c>
      <c r="C106" s="16">
        <v>1.6839999999999999</v>
      </c>
      <c r="F106" s="70">
        <v>6.8995534933428067</v>
      </c>
    </row>
    <row r="107" spans="2:6">
      <c r="B107" s="16">
        <v>5</v>
      </c>
      <c r="C107" s="16">
        <v>9.7409999999999997</v>
      </c>
      <c r="F107" s="70">
        <v>24.22251747062062</v>
      </c>
    </row>
    <row r="108" spans="2:6">
      <c r="B108" s="16">
        <v>1</v>
      </c>
      <c r="C108" s="16">
        <v>3.556</v>
      </c>
      <c r="F108" s="70">
        <v>7.213054822072265</v>
      </c>
    </row>
    <row r="109" spans="2:6">
      <c r="B109" s="16">
        <v>1</v>
      </c>
      <c r="C109" s="16">
        <v>0.61199999999999999</v>
      </c>
      <c r="F109" s="70">
        <v>6.1869842382551035</v>
      </c>
    </row>
    <row r="110" spans="2:6">
      <c r="B110" s="16">
        <v>2</v>
      </c>
      <c r="C110" s="16">
        <v>3.09</v>
      </c>
      <c r="F110" s="70">
        <v>9.0877421014922231</v>
      </c>
    </row>
    <row r="111" spans="2:6">
      <c r="B111" s="16">
        <v>1</v>
      </c>
      <c r="C111" s="16">
        <v>1.859</v>
      </c>
      <c r="F111" s="70">
        <v>6.9595259376714687</v>
      </c>
    </row>
    <row r="112" spans="2:6">
      <c r="B112" s="16">
        <v>3</v>
      </c>
      <c r="C112" s="16">
        <v>8.8049999999999997</v>
      </c>
      <c r="F112" s="70">
        <v>14.244761388542392</v>
      </c>
    </row>
    <row r="113" spans="2:6">
      <c r="B113" s="16">
        <v>3</v>
      </c>
      <c r="C113" s="16">
        <v>6.2509999999999994</v>
      </c>
      <c r="F113" s="70">
        <v>13.363844426621162</v>
      </c>
    </row>
    <row r="114" spans="2:6">
      <c r="B114" s="16">
        <v>1</v>
      </c>
      <c r="C114" s="16">
        <v>1.4259999999999999</v>
      </c>
      <c r="F114" s="70">
        <v>6.7891242474708431</v>
      </c>
    </row>
    <row r="115" spans="2:6">
      <c r="B115" s="16">
        <v>8</v>
      </c>
      <c r="C115" s="16">
        <v>14.693999999999999</v>
      </c>
      <c r="F115" s="70">
        <v>53.207886604838997</v>
      </c>
    </row>
    <row r="116" spans="2:6">
      <c r="B116" s="57">
        <v>1</v>
      </c>
      <c r="C116" s="57">
        <v>0.91900000000000004</v>
      </c>
      <c r="F116" s="70">
        <v>6.4696028372836407</v>
      </c>
    </row>
    <row r="117" spans="2:6">
      <c r="B117" s="16">
        <v>1</v>
      </c>
      <c r="C117" s="16">
        <v>4.0890000000000004</v>
      </c>
      <c r="F117" s="70">
        <v>7.2376459519327145</v>
      </c>
    </row>
    <row r="118" spans="2:6">
      <c r="B118" s="16">
        <v>1</v>
      </c>
      <c r="C118" s="16">
        <v>0.74299999999999999</v>
      </c>
      <c r="F118" s="70">
        <v>6.3174190613781436</v>
      </c>
    </row>
    <row r="119" spans="2:6">
      <c r="B119" s="16">
        <v>2</v>
      </c>
      <c r="C119" s="16">
        <v>2.1860000000000004</v>
      </c>
      <c r="F119" s="70">
        <v>8.2919047498160428</v>
      </c>
    </row>
    <row r="120" spans="2:6">
      <c r="B120" s="16">
        <v>1</v>
      </c>
      <c r="C120" s="16">
        <v>0.312</v>
      </c>
      <c r="F120" s="70">
        <v>5.8190807140433334</v>
      </c>
    </row>
    <row r="121" spans="2:6">
      <c r="B121" s="16">
        <v>1</v>
      </c>
      <c r="C121" s="16">
        <v>1.623</v>
      </c>
      <c r="F121" s="70">
        <v>6.8759934103151492</v>
      </c>
    </row>
    <row r="122" spans="2:6">
      <c r="B122" s="16">
        <v>1</v>
      </c>
      <c r="C122" s="16">
        <v>0.629</v>
      </c>
      <c r="F122" s="70">
        <v>6.2048129389191677</v>
      </c>
    </row>
    <row r="123" spans="2:6">
      <c r="B123" s="16">
        <v>1</v>
      </c>
      <c r="C123" s="16">
        <v>3.613</v>
      </c>
      <c r="F123" s="70">
        <v>7.2162908057803925</v>
      </c>
    </row>
    <row r="124" spans="2:6">
      <c r="B124" s="16">
        <v>1</v>
      </c>
      <c r="C124" s="16">
        <v>0.59799999999999998</v>
      </c>
      <c r="F124" s="70">
        <v>6.1720896234993194</v>
      </c>
    </row>
    <row r="125" spans="2:6">
      <c r="B125" s="16">
        <v>2</v>
      </c>
      <c r="C125" s="16">
        <v>5.8360000000000003</v>
      </c>
      <c r="F125" s="70">
        <v>10.083733720491846</v>
      </c>
    </row>
    <row r="126" spans="2:6">
      <c r="B126" s="16">
        <v>2</v>
      </c>
      <c r="C126" s="16">
        <v>5.76</v>
      </c>
      <c r="F126" s="70">
        <v>10.073578698961375</v>
      </c>
    </row>
    <row r="127" spans="2:6">
      <c r="B127" s="16">
        <v>2</v>
      </c>
      <c r="C127" s="16">
        <v>4.5780000000000003</v>
      </c>
      <c r="F127" s="70">
        <v>9.8244854572941023</v>
      </c>
    </row>
    <row r="128" spans="2:6">
      <c r="B128" s="16">
        <v>5</v>
      </c>
      <c r="C128" s="16">
        <v>5.6079999999999997</v>
      </c>
      <c r="F128" s="70">
        <v>15.097558786720418</v>
      </c>
    </row>
    <row r="129" spans="2:6">
      <c r="B129" s="16">
        <v>1</v>
      </c>
      <c r="C129" s="16">
        <v>0.14599999999999999</v>
      </c>
      <c r="F129" s="70">
        <v>5.552444922282965</v>
      </c>
    </row>
    <row r="130" spans="2:6">
      <c r="B130" s="16">
        <v>4</v>
      </c>
      <c r="C130" s="16">
        <v>7.0190000000000001</v>
      </c>
      <c r="F130" s="70">
        <v>16.835691325445069</v>
      </c>
    </row>
    <row r="131" spans="2:6">
      <c r="B131" s="16">
        <v>3</v>
      </c>
      <c r="C131" s="16">
        <v>7.8360000000000003</v>
      </c>
      <c r="F131" s="70">
        <v>14.043709659508576</v>
      </c>
    </row>
    <row r="132" spans="2:6">
      <c r="B132" s="16">
        <v>3</v>
      </c>
      <c r="C132" s="16">
        <v>3.5939999999999999</v>
      </c>
      <c r="F132" s="70">
        <v>10.64404937505995</v>
      </c>
    </row>
    <row r="133" spans="2:6">
      <c r="B133" s="16">
        <v>1</v>
      </c>
      <c r="C133" s="16">
        <v>0.42699999999999999</v>
      </c>
      <c r="F133" s="70">
        <v>5.973335650571344</v>
      </c>
    </row>
    <row r="134" spans="2:6">
      <c r="B134" s="16">
        <v>4</v>
      </c>
      <c r="C134" s="16">
        <v>7.6539999999999999</v>
      </c>
      <c r="F134" s="70">
        <v>17.680180206176537</v>
      </c>
    </row>
    <row r="135" spans="2:6">
      <c r="B135" s="16">
        <v>1</v>
      </c>
      <c r="C135" s="16">
        <v>1.649</v>
      </c>
      <c r="F135" s="70">
        <v>6.8862149966258599</v>
      </c>
    </row>
    <row r="136" spans="2:6">
      <c r="B136" s="16">
        <v>2</v>
      </c>
      <c r="C136" s="16">
        <v>3.3260000000000001</v>
      </c>
      <c r="F136" s="70">
        <v>9.248924868311688</v>
      </c>
    </row>
    <row r="137" spans="2:6">
      <c r="B137" s="16">
        <v>5</v>
      </c>
      <c r="C137" s="16">
        <v>11.206000000000001</v>
      </c>
      <c r="F137" s="70">
        <v>26.388804920872104</v>
      </c>
    </row>
    <row r="138" spans="2:6">
      <c r="B138" s="16">
        <v>1</v>
      </c>
      <c r="C138" s="16">
        <v>0.376</v>
      </c>
      <c r="F138" s="70">
        <v>5.9072774102225765</v>
      </c>
    </row>
    <row r="139" spans="2:6">
      <c r="B139" s="16">
        <v>3</v>
      </c>
      <c r="C139" s="16">
        <v>6.5690000000000008</v>
      </c>
      <c r="F139" s="70">
        <v>13.547840264510153</v>
      </c>
    </row>
    <row r="140" spans="2:6">
      <c r="B140" s="16">
        <v>3</v>
      </c>
      <c r="C140" s="16">
        <v>3.8689999999999998</v>
      </c>
      <c r="F140" s="70">
        <v>11.011885551119899</v>
      </c>
    </row>
    <row r="141" spans="2:6">
      <c r="B141" s="16">
        <v>8</v>
      </c>
      <c r="C141" s="16">
        <v>14.353</v>
      </c>
      <c r="F141" s="70">
        <v>51.192606564666484</v>
      </c>
    </row>
    <row r="142" spans="2:6">
      <c r="B142" s="16">
        <v>7</v>
      </c>
      <c r="C142" s="16">
        <v>6.87</v>
      </c>
      <c r="F142" s="70">
        <v>18.451567137750814</v>
      </c>
    </row>
    <row r="143" spans="2:6">
      <c r="B143" s="16">
        <v>7</v>
      </c>
      <c r="C143" s="16">
        <v>14.530999999999999</v>
      </c>
      <c r="F143" s="70">
        <v>47.233264702379408</v>
      </c>
    </row>
    <row r="144" spans="2:6">
      <c r="B144" s="16">
        <v>1</v>
      </c>
      <c r="C144" s="16">
        <v>1.657</v>
      </c>
      <c r="F144" s="70">
        <v>6.8893059545502808</v>
      </c>
    </row>
    <row r="145" spans="2:6">
      <c r="B145" s="16">
        <v>2</v>
      </c>
      <c r="C145" s="16">
        <v>7</v>
      </c>
      <c r="F145" s="70">
        <v>10.187977315434221</v>
      </c>
    </row>
    <row r="146" spans="2:6">
      <c r="B146" s="16">
        <v>3</v>
      </c>
      <c r="C146" s="16">
        <v>8.6590000000000007</v>
      </c>
      <c r="F146" s="70">
        <v>14.221262842713061</v>
      </c>
    </row>
    <row r="147" spans="2:6">
      <c r="B147" s="16">
        <v>1</v>
      </c>
      <c r="C147" s="16">
        <v>0.80400000000000005</v>
      </c>
      <c r="F147" s="70">
        <v>6.3729938767031458</v>
      </c>
    </row>
    <row r="148" spans="2:6">
      <c r="B148" s="16">
        <v>2</v>
      </c>
      <c r="C148" s="16">
        <v>4.476</v>
      </c>
      <c r="F148" s="70">
        <v>9.7923166842683713</v>
      </c>
    </row>
    <row r="149" spans="2:6">
      <c r="B149" s="16">
        <v>2</v>
      </c>
      <c r="C149" s="16">
        <v>6.6189999999999998</v>
      </c>
      <c r="F149" s="70">
        <v>10.162504747120762</v>
      </c>
    </row>
    <row r="150" spans="2:6">
      <c r="B150" s="16">
        <v>1</v>
      </c>
      <c r="C150" s="16">
        <v>1.911</v>
      </c>
      <c r="F150" s="70">
        <v>6.9753674824508574</v>
      </c>
    </row>
    <row r="151" spans="2:6">
      <c r="B151" s="16">
        <v>1</v>
      </c>
      <c r="C151" s="16">
        <v>0.9</v>
      </c>
      <c r="F151" s="70">
        <v>6.4543460504630055</v>
      </c>
    </row>
    <row r="152" spans="2:6">
      <c r="B152" s="16">
        <v>1</v>
      </c>
      <c r="C152" s="16">
        <v>0.373</v>
      </c>
      <c r="F152" s="70">
        <v>5.9032806619129534</v>
      </c>
    </row>
    <row r="153" spans="2:6">
      <c r="B153" s="16">
        <v>2</v>
      </c>
      <c r="C153" s="16">
        <v>3.367</v>
      </c>
      <c r="F153" s="70">
        <v>9.2750133728451694</v>
      </c>
    </row>
    <row r="154" spans="2:6">
      <c r="B154" s="16">
        <v>1</v>
      </c>
      <c r="C154" s="16">
        <v>3.258</v>
      </c>
      <c r="F154" s="70">
        <v>7.1930205536112677</v>
      </c>
    </row>
    <row r="155" spans="2:6">
      <c r="B155" s="16">
        <v>1</v>
      </c>
      <c r="C155" s="16">
        <v>3.95</v>
      </c>
      <c r="F155" s="70">
        <v>7.2323260788270503</v>
      </c>
    </row>
    <row r="156" spans="2:6">
      <c r="B156" s="16">
        <v>4</v>
      </c>
      <c r="C156" s="16">
        <v>5.176000000000001</v>
      </c>
      <c r="F156" s="70">
        <v>13.794641431121162</v>
      </c>
    </row>
    <row r="157" spans="2:6">
      <c r="B157" s="16">
        <v>1</v>
      </c>
      <c r="C157" s="16">
        <v>1.5349999999999999</v>
      </c>
      <c r="F157" s="70">
        <v>6.8393202310607615</v>
      </c>
    </row>
    <row r="158" spans="2:6">
      <c r="B158" s="16">
        <v>3</v>
      </c>
      <c r="C158" s="16">
        <v>2.8179999999999996</v>
      </c>
      <c r="F158" s="70">
        <v>9.5531052719938732</v>
      </c>
    </row>
    <row r="159" spans="2:6">
      <c r="B159" s="16">
        <v>2</v>
      </c>
      <c r="C159" s="16">
        <v>6.6619999999999999</v>
      </c>
      <c r="F159" s="70">
        <v>10.165722671084401</v>
      </c>
    </row>
    <row r="160" spans="2:6">
      <c r="B160" s="16">
        <v>4</v>
      </c>
      <c r="C160" s="16">
        <v>4.2450000000000001</v>
      </c>
      <c r="F160" s="70">
        <v>12.136521872618323</v>
      </c>
    </row>
    <row r="161" spans="2:6">
      <c r="B161" s="16">
        <v>1</v>
      </c>
      <c r="C161" s="16">
        <v>0.441</v>
      </c>
      <c r="F161" s="70">
        <v>5.9908747705659708</v>
      </c>
    </row>
    <row r="162" spans="2:6">
      <c r="B162" s="16">
        <v>4</v>
      </c>
      <c r="C162" s="16">
        <v>10.876999999999999</v>
      </c>
      <c r="F162" s="70">
        <v>19.925918471188801</v>
      </c>
    </row>
    <row r="163" spans="2:6">
      <c r="B163" s="16">
        <v>6</v>
      </c>
      <c r="C163" s="16">
        <v>17.239000000000001</v>
      </c>
      <c r="F163" s="70">
        <v>40.117820719324108</v>
      </c>
    </row>
    <row r="164" spans="2:6">
      <c r="B164" s="16">
        <v>1</v>
      </c>
      <c r="C164" s="16">
        <v>2.2650000000000001</v>
      </c>
      <c r="F164" s="70">
        <v>7.0633881726439984</v>
      </c>
    </row>
    <row r="165" spans="2:6">
      <c r="B165" s="16">
        <v>2</v>
      </c>
      <c r="C165" s="16">
        <v>2.8530000000000002</v>
      </c>
      <c r="F165" s="70">
        <v>8.9065181219722778</v>
      </c>
    </row>
    <row r="166" spans="2:6">
      <c r="B166" s="16">
        <v>2</v>
      </c>
      <c r="C166" s="16">
        <v>7.5780000000000003</v>
      </c>
      <c r="F166" s="70">
        <v>10.215980066182093</v>
      </c>
    </row>
    <row r="167" spans="2:6">
      <c r="B167" s="16">
        <v>1</v>
      </c>
      <c r="C167" s="16">
        <v>0.9</v>
      </c>
      <c r="F167" s="70">
        <v>6.4543460504630055</v>
      </c>
    </row>
    <row r="168" spans="2:6">
      <c r="B168" s="16">
        <v>5</v>
      </c>
      <c r="C168" s="16">
        <v>7.8369999999999997</v>
      </c>
      <c r="F168" s="70">
        <v>20.212101980369066</v>
      </c>
    </row>
    <row r="169" spans="2:6">
      <c r="B169" s="16">
        <v>1</v>
      </c>
      <c r="C169" s="16">
        <v>0.28499999999999998</v>
      </c>
      <c r="F169" s="70">
        <v>5.7798670654743249</v>
      </c>
    </row>
    <row r="170" spans="2:6">
      <c r="B170" s="16">
        <v>2</v>
      </c>
      <c r="C170" s="16">
        <v>5.0419999999999998</v>
      </c>
      <c r="F170" s="70">
        <v>9.9463602277393459</v>
      </c>
    </row>
    <row r="171" spans="2:6">
      <c r="B171" s="16">
        <v>1</v>
      </c>
      <c r="C171" s="16">
        <v>1.6459999999999999</v>
      </c>
      <c r="F171" s="70">
        <v>6.8850493669485449</v>
      </c>
    </row>
    <row r="172" spans="2:6">
      <c r="B172" s="16">
        <v>1</v>
      </c>
      <c r="C172" s="16">
        <v>0.51800000000000002</v>
      </c>
      <c r="F172" s="70">
        <v>6.083140249212188</v>
      </c>
    </row>
    <row r="173" spans="2:6">
      <c r="B173" s="16">
        <v>3</v>
      </c>
      <c r="C173" s="16">
        <v>4.4160000000000004</v>
      </c>
      <c r="F173" s="70">
        <v>11.697236329488481</v>
      </c>
    </row>
    <row r="174" spans="2:6">
      <c r="B174" s="16">
        <v>1</v>
      </c>
      <c r="C174" s="16">
        <v>1.569</v>
      </c>
      <c r="F174" s="70">
        <v>6.8538792917349927</v>
      </c>
    </row>
    <row r="175" spans="2:6">
      <c r="B175" s="16">
        <v>3</v>
      </c>
      <c r="C175" s="16">
        <v>7.9190000000000005</v>
      </c>
      <c r="F175" s="70">
        <v>14.065683225045595</v>
      </c>
    </row>
    <row r="176" spans="2:6">
      <c r="B176" s="16">
        <v>1</v>
      </c>
      <c r="C176" s="16">
        <v>6.444</v>
      </c>
      <c r="F176" s="70">
        <v>7.2745653660787397</v>
      </c>
    </row>
    <row r="177" spans="2:6">
      <c r="B177" s="16">
        <v>1</v>
      </c>
      <c r="C177" s="16">
        <v>0.20899999999999999</v>
      </c>
      <c r="F177" s="70">
        <v>5.6617295085274018</v>
      </c>
    </row>
    <row r="178" spans="2:6">
      <c r="B178" s="16">
        <v>1</v>
      </c>
      <c r="C178" s="16">
        <v>2.673</v>
      </c>
      <c r="F178" s="70">
        <v>7.1322955235491055</v>
      </c>
    </row>
    <row r="179" spans="2:6">
      <c r="B179" s="16">
        <v>5</v>
      </c>
      <c r="C179" s="16">
        <v>6.4749999999999996</v>
      </c>
      <c r="F179" s="70">
        <v>17.042216912031584</v>
      </c>
    </row>
    <row r="180" spans="2:6">
      <c r="B180" s="16">
        <v>1</v>
      </c>
      <c r="C180" s="16">
        <v>0.10199999999999999</v>
      </c>
      <c r="F180" s="70">
        <v>5.4669607189319462</v>
      </c>
    </row>
    <row r="181" spans="2:6">
      <c r="B181" s="16">
        <v>1</v>
      </c>
      <c r="C181" s="16">
        <v>0.246</v>
      </c>
      <c r="F181" s="70">
        <v>5.7208046454914214</v>
      </c>
    </row>
    <row r="182" spans="2:6">
      <c r="B182" s="61">
        <v>6</v>
      </c>
      <c r="C182" s="61">
        <v>18.978000000000002</v>
      </c>
      <c r="F182" s="70">
        <v>40.507663643837546</v>
      </c>
    </row>
    <row r="183" spans="2:6">
      <c r="B183" s="16">
        <v>1</v>
      </c>
      <c r="C183" s="16">
        <v>0.41699999999999998</v>
      </c>
      <c r="F183" s="70">
        <v>5.9606551961151188</v>
      </c>
    </row>
    <row r="184" spans="2:6">
      <c r="B184" s="16">
        <v>1</v>
      </c>
      <c r="C184" s="16">
        <v>0.36299999999999999</v>
      </c>
      <c r="F184" s="70">
        <v>5.8898647429633275</v>
      </c>
    </row>
    <row r="185" spans="2:6">
      <c r="B185" s="16">
        <v>2</v>
      </c>
      <c r="C185" s="16">
        <v>4.609</v>
      </c>
      <c r="F185" s="70">
        <v>9.8338459638743263</v>
      </c>
    </row>
    <row r="186" spans="2:6">
      <c r="B186" s="16">
        <v>2</v>
      </c>
      <c r="C186" s="16">
        <v>3.3540000000000001</v>
      </c>
      <c r="F186" s="70">
        <v>9.2668016903329935</v>
      </c>
    </row>
    <row r="187" spans="2:6">
      <c r="B187" s="16">
        <v>2</v>
      </c>
      <c r="C187" s="16">
        <v>5.399</v>
      </c>
      <c r="F187" s="70">
        <v>10.017386032330077</v>
      </c>
    </row>
    <row r="188" spans="2:6">
      <c r="B188" s="16">
        <v>1</v>
      </c>
      <c r="C188" s="16">
        <v>0.34200000000000003</v>
      </c>
      <c r="F188" s="70">
        <v>5.8612101016512517</v>
      </c>
    </row>
    <row r="189" spans="2:6">
      <c r="B189" s="16">
        <v>1</v>
      </c>
      <c r="C189" s="16">
        <v>2.4350000000000001</v>
      </c>
      <c r="F189" s="70">
        <v>7.0955844963779704</v>
      </c>
    </row>
    <row r="190" spans="2:6">
      <c r="B190" s="16">
        <v>1</v>
      </c>
      <c r="C190" s="16">
        <v>1.617</v>
      </c>
      <c r="F190" s="70">
        <v>6.8735958672680173</v>
      </c>
    </row>
    <row r="191" spans="2:6">
      <c r="B191" s="16">
        <v>1</v>
      </c>
      <c r="C191" s="16">
        <v>2.0619999999999998</v>
      </c>
      <c r="F191" s="70">
        <v>7.0168486570341759</v>
      </c>
    </row>
    <row r="192" spans="2:6">
      <c r="B192" s="16">
        <v>1</v>
      </c>
      <c r="C192" s="16">
        <v>1.306</v>
      </c>
      <c r="F192" s="70">
        <v>6.7271320976815785</v>
      </c>
    </row>
    <row r="193" spans="2:6">
      <c r="B193" s="16">
        <v>1</v>
      </c>
      <c r="C193" s="16">
        <v>1.619</v>
      </c>
      <c r="F193" s="70">
        <v>6.8743966770005658</v>
      </c>
    </row>
    <row r="194" spans="2:6">
      <c r="B194" s="16">
        <v>3</v>
      </c>
      <c r="C194" s="16">
        <v>4.101</v>
      </c>
      <c r="F194" s="70">
        <v>11.310944916882693</v>
      </c>
    </row>
    <row r="195" spans="2:6">
      <c r="B195" s="16">
        <v>1</v>
      </c>
      <c r="C195" s="16">
        <v>0.72599999999999998</v>
      </c>
      <c r="F195" s="70">
        <v>6.3013667011050307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>
  <dimension ref="A1:U2000"/>
  <sheetViews>
    <sheetView topLeftCell="D1" workbookViewId="0">
      <selection activeCell="K14" sqref="K14"/>
    </sheetView>
  </sheetViews>
  <sheetFormatPr defaultRowHeight="12.75"/>
  <cols>
    <col min="18" max="18" width="24.28515625" bestFit="1" customWidth="1"/>
    <col min="19" max="19" width="19.28515625" bestFit="1" customWidth="1"/>
    <col min="20" max="20" width="11" customWidth="1"/>
    <col min="21" max="21" width="17.42578125" bestFit="1" customWidth="1"/>
  </cols>
  <sheetData>
    <row r="1" spans="1:21">
      <c r="A1" t="s">
        <v>51</v>
      </c>
      <c r="D1">
        <f ca="1">GAMMAINV(RAND(),$A$2,$B$2)</f>
        <v>0.73448825928743933</v>
      </c>
      <c r="G1" t="s">
        <v>69</v>
      </c>
      <c r="H1" t="s">
        <v>73</v>
      </c>
      <c r="I1" s="72" t="s">
        <v>55</v>
      </c>
      <c r="K1">
        <f ca="1">GAMMAINV(RAND(),$H$2,$I$2)</f>
        <v>0.65620857600759086</v>
      </c>
      <c r="O1">
        <v>3.843</v>
      </c>
      <c r="R1" s="69" t="s">
        <v>75</v>
      </c>
      <c r="S1" s="69" t="s">
        <v>74</v>
      </c>
      <c r="T1" s="69" t="s">
        <v>76</v>
      </c>
      <c r="U1" s="69" t="s">
        <v>77</v>
      </c>
    </row>
    <row r="2" spans="1:21">
      <c r="A2">
        <v>0.86</v>
      </c>
      <c r="B2">
        <v>6.3</v>
      </c>
      <c r="D2">
        <f t="shared" ref="D2:D65" ca="1" si="0">GAMMAINV(RAND(),$A$2,$B$2)</f>
        <v>0.27460509831180779</v>
      </c>
      <c r="G2">
        <v>0.4</v>
      </c>
      <c r="H2">
        <v>0.81981162974598909</v>
      </c>
      <c r="I2">
        <v>2.8164655037285544</v>
      </c>
      <c r="K2">
        <f t="shared" ref="K2:K65" ca="1" si="1">GAMMAINV(RAND(),$H$2,$I$2)</f>
        <v>0.78540094023072826</v>
      </c>
      <c r="R2">
        <f ca="1">EXP(-(((-LN(D1)^$O$1)+(-LN(K1))^$O$1)^(1/$O$1)))</f>
        <v>0.6368320995440313</v>
      </c>
      <c r="S2" t="e">
        <f ca="1">CORREL(F2:F196,K2:K196)</f>
        <v>#DIV/0!</v>
      </c>
      <c r="T2" t="e">
        <f ca="1">1/(SQRT(1-S2))</f>
        <v>#DIV/0!</v>
      </c>
      <c r="U2" s="55">
        <f ca="1">5.16/(1-R2)</f>
        <v>14.208304185258275</v>
      </c>
    </row>
    <row r="3" spans="1:21">
      <c r="D3">
        <f t="shared" ca="1" si="0"/>
        <v>7.1376502121203149</v>
      </c>
      <c r="K3">
        <f t="shared" ca="1" si="1"/>
        <v>1.9382256874437491</v>
      </c>
      <c r="R3" t="e">
        <f t="shared" ref="R3:R66" si="2">EXP(-(((-LN(G3)^$P$2)+(-LN(L3))^$P$2)^(1/$P$2)))</f>
        <v>#NUM!</v>
      </c>
      <c r="U3" s="55" t="e">
        <f t="shared" ref="U3:U66" si="3">5.16/(1-R3)</f>
        <v>#NUM!</v>
      </c>
    </row>
    <row r="4" spans="1:21">
      <c r="D4">
        <f t="shared" ca="1" si="0"/>
        <v>4.2550511852425572</v>
      </c>
      <c r="K4">
        <f t="shared" ca="1" si="1"/>
        <v>9.4018066395213644</v>
      </c>
      <c r="R4" t="e">
        <f t="shared" si="2"/>
        <v>#NUM!</v>
      </c>
      <c r="U4" s="55" t="e">
        <f t="shared" si="3"/>
        <v>#NUM!</v>
      </c>
    </row>
    <row r="5" spans="1:21">
      <c r="D5">
        <f t="shared" ca="1" si="0"/>
        <v>3.5146115717107627</v>
      </c>
      <c r="K5">
        <f t="shared" ca="1" si="1"/>
        <v>4.1270190597478962</v>
      </c>
      <c r="R5" t="e">
        <f t="shared" si="2"/>
        <v>#NUM!</v>
      </c>
      <c r="U5" s="55" t="e">
        <f t="shared" si="3"/>
        <v>#NUM!</v>
      </c>
    </row>
    <row r="6" spans="1:21">
      <c r="D6">
        <f t="shared" ca="1" si="0"/>
        <v>10.971146251172293</v>
      </c>
      <c r="K6">
        <f t="shared" ca="1" si="1"/>
        <v>0.92044740401636393</v>
      </c>
      <c r="R6" t="e">
        <f t="shared" si="2"/>
        <v>#NUM!</v>
      </c>
      <c r="U6" s="55" t="e">
        <f t="shared" si="3"/>
        <v>#NUM!</v>
      </c>
    </row>
    <row r="7" spans="1:21">
      <c r="D7">
        <f t="shared" ca="1" si="0"/>
        <v>10.584433041066646</v>
      </c>
      <c r="K7">
        <f t="shared" ca="1" si="1"/>
        <v>3.6281215338853414</v>
      </c>
      <c r="R7" t="e">
        <f t="shared" si="2"/>
        <v>#NUM!</v>
      </c>
      <c r="U7" s="55" t="e">
        <f t="shared" si="3"/>
        <v>#NUM!</v>
      </c>
    </row>
    <row r="8" spans="1:21">
      <c r="D8">
        <f t="shared" ca="1" si="0"/>
        <v>1.8697438578618164</v>
      </c>
      <c r="K8">
        <f t="shared" ca="1" si="1"/>
        <v>5.2367892561845195E-2</v>
      </c>
      <c r="R8" t="e">
        <f t="shared" si="2"/>
        <v>#NUM!</v>
      </c>
      <c r="U8" s="55" t="e">
        <f t="shared" si="3"/>
        <v>#NUM!</v>
      </c>
    </row>
    <row r="9" spans="1:21">
      <c r="D9">
        <f t="shared" ca="1" si="0"/>
        <v>5.7131128887374665</v>
      </c>
      <c r="K9">
        <f t="shared" ca="1" si="1"/>
        <v>4.2976104706942415</v>
      </c>
      <c r="R9" t="e">
        <f t="shared" si="2"/>
        <v>#NUM!</v>
      </c>
      <c r="U9" s="55" t="e">
        <f t="shared" si="3"/>
        <v>#NUM!</v>
      </c>
    </row>
    <row r="10" spans="1:21">
      <c r="D10">
        <f t="shared" ca="1" si="0"/>
        <v>4.394590702625301</v>
      </c>
      <c r="K10">
        <f t="shared" ca="1" si="1"/>
        <v>1.0208656168779457</v>
      </c>
      <c r="R10" t="e">
        <f t="shared" si="2"/>
        <v>#NUM!</v>
      </c>
      <c r="U10" s="55" t="e">
        <f t="shared" si="3"/>
        <v>#NUM!</v>
      </c>
    </row>
    <row r="11" spans="1:21">
      <c r="D11">
        <f t="shared" ca="1" si="0"/>
        <v>1.7445323524258214</v>
      </c>
      <c r="K11">
        <f t="shared" ca="1" si="1"/>
        <v>0.33498210822058749</v>
      </c>
      <c r="R11" t="e">
        <f t="shared" si="2"/>
        <v>#NUM!</v>
      </c>
      <c r="U11" s="55" t="e">
        <f t="shared" si="3"/>
        <v>#NUM!</v>
      </c>
    </row>
    <row r="12" spans="1:21">
      <c r="D12">
        <f t="shared" ca="1" si="0"/>
        <v>1.5575258857760197</v>
      </c>
      <c r="K12">
        <f t="shared" ca="1" si="1"/>
        <v>0.78108271384643047</v>
      </c>
      <c r="R12" t="e">
        <f t="shared" si="2"/>
        <v>#NUM!</v>
      </c>
      <c r="U12" s="55" t="e">
        <f t="shared" si="3"/>
        <v>#NUM!</v>
      </c>
    </row>
    <row r="13" spans="1:21">
      <c r="D13">
        <f t="shared" ca="1" si="0"/>
        <v>18.03970269447661</v>
      </c>
      <c r="K13">
        <f t="shared" ca="1" si="1"/>
        <v>4.3433558893609963</v>
      </c>
      <c r="R13" t="e">
        <f t="shared" si="2"/>
        <v>#NUM!</v>
      </c>
      <c r="U13" s="55" t="e">
        <f t="shared" si="3"/>
        <v>#NUM!</v>
      </c>
    </row>
    <row r="14" spans="1:21">
      <c r="D14">
        <f t="shared" ca="1" si="0"/>
        <v>2.0013044455478797</v>
      </c>
      <c r="K14">
        <f t="shared" ca="1" si="1"/>
        <v>6.9520139009143911</v>
      </c>
      <c r="R14" t="e">
        <f t="shared" si="2"/>
        <v>#NUM!</v>
      </c>
      <c r="U14" s="55" t="e">
        <f t="shared" si="3"/>
        <v>#NUM!</v>
      </c>
    </row>
    <row r="15" spans="1:21">
      <c r="D15">
        <f t="shared" ca="1" si="0"/>
        <v>1.1454037026932138</v>
      </c>
      <c r="K15">
        <f t="shared" ca="1" si="1"/>
        <v>0.50560702405001479</v>
      </c>
      <c r="R15" t="e">
        <f t="shared" si="2"/>
        <v>#NUM!</v>
      </c>
      <c r="U15" s="55" t="e">
        <f t="shared" si="3"/>
        <v>#NUM!</v>
      </c>
    </row>
    <row r="16" spans="1:21">
      <c r="D16">
        <f t="shared" ca="1" si="0"/>
        <v>3.1415407901217538</v>
      </c>
      <c r="K16">
        <f t="shared" ca="1" si="1"/>
        <v>1.5032324841398861</v>
      </c>
      <c r="R16" t="e">
        <f t="shared" si="2"/>
        <v>#NUM!</v>
      </c>
      <c r="U16" s="55" t="e">
        <f t="shared" si="3"/>
        <v>#NUM!</v>
      </c>
    </row>
    <row r="17" spans="4:21">
      <c r="D17">
        <f t="shared" ca="1" si="0"/>
        <v>9.1245376901912145</v>
      </c>
      <c r="K17">
        <f t="shared" ca="1" si="1"/>
        <v>9.9945454703003533E-2</v>
      </c>
      <c r="R17" t="e">
        <f t="shared" si="2"/>
        <v>#NUM!</v>
      </c>
      <c r="U17" s="55" t="e">
        <f t="shared" si="3"/>
        <v>#NUM!</v>
      </c>
    </row>
    <row r="18" spans="4:21">
      <c r="D18">
        <f t="shared" ca="1" si="0"/>
        <v>2.3533471646395405</v>
      </c>
      <c r="K18">
        <f t="shared" ca="1" si="1"/>
        <v>5.0661526217755259</v>
      </c>
      <c r="R18" t="e">
        <f t="shared" si="2"/>
        <v>#NUM!</v>
      </c>
      <c r="U18" s="55" t="e">
        <f t="shared" si="3"/>
        <v>#NUM!</v>
      </c>
    </row>
    <row r="19" spans="4:21">
      <c r="D19">
        <f t="shared" ca="1" si="0"/>
        <v>0.98392623795180834</v>
      </c>
      <c r="K19">
        <f t="shared" ca="1" si="1"/>
        <v>1.5252044594568566</v>
      </c>
      <c r="R19" t="e">
        <f t="shared" si="2"/>
        <v>#NUM!</v>
      </c>
      <c r="U19" s="55" t="e">
        <f t="shared" si="3"/>
        <v>#NUM!</v>
      </c>
    </row>
    <row r="20" spans="4:21">
      <c r="D20">
        <f t="shared" ca="1" si="0"/>
        <v>2.7972928448291414</v>
      </c>
      <c r="K20">
        <f t="shared" ca="1" si="1"/>
        <v>5.9493627564100713</v>
      </c>
      <c r="R20" t="e">
        <f t="shared" si="2"/>
        <v>#NUM!</v>
      </c>
      <c r="U20" s="55" t="e">
        <f t="shared" si="3"/>
        <v>#NUM!</v>
      </c>
    </row>
    <row r="21" spans="4:21">
      <c r="D21">
        <f t="shared" ca="1" si="0"/>
        <v>0.91193698529403089</v>
      </c>
      <c r="K21">
        <f t="shared" ca="1" si="1"/>
        <v>0.11842257107275031</v>
      </c>
      <c r="R21" t="e">
        <f t="shared" si="2"/>
        <v>#NUM!</v>
      </c>
      <c r="U21" s="55" t="e">
        <f t="shared" si="3"/>
        <v>#NUM!</v>
      </c>
    </row>
    <row r="22" spans="4:21">
      <c r="D22">
        <f t="shared" ca="1" si="0"/>
        <v>9.1296309971004987</v>
      </c>
      <c r="K22">
        <f t="shared" ca="1" si="1"/>
        <v>0.35513840543567976</v>
      </c>
      <c r="R22" t="e">
        <f t="shared" si="2"/>
        <v>#NUM!</v>
      </c>
      <c r="U22" s="55" t="e">
        <f t="shared" si="3"/>
        <v>#NUM!</v>
      </c>
    </row>
    <row r="23" spans="4:21">
      <c r="D23">
        <f t="shared" ca="1" si="0"/>
        <v>3.1308275801421093E-2</v>
      </c>
      <c r="K23">
        <f t="shared" ca="1" si="1"/>
        <v>3.1874692879085513</v>
      </c>
      <c r="R23" t="e">
        <f t="shared" si="2"/>
        <v>#NUM!</v>
      </c>
      <c r="U23" s="55" t="e">
        <f t="shared" si="3"/>
        <v>#NUM!</v>
      </c>
    </row>
    <row r="24" spans="4:21">
      <c r="D24">
        <f t="shared" ca="1" si="0"/>
        <v>0.57338757449903421</v>
      </c>
      <c r="K24">
        <f t="shared" ca="1" si="1"/>
        <v>2.9567775924592707</v>
      </c>
      <c r="R24" t="e">
        <f t="shared" si="2"/>
        <v>#NUM!</v>
      </c>
      <c r="U24" s="55" t="e">
        <f t="shared" si="3"/>
        <v>#NUM!</v>
      </c>
    </row>
    <row r="25" spans="4:21">
      <c r="D25">
        <f t="shared" ca="1" si="0"/>
        <v>1.27545270819809</v>
      </c>
      <c r="K25">
        <f t="shared" ca="1" si="1"/>
        <v>3.262527883394311</v>
      </c>
      <c r="R25" t="e">
        <f t="shared" si="2"/>
        <v>#NUM!</v>
      </c>
      <c r="U25" s="55" t="e">
        <f t="shared" si="3"/>
        <v>#NUM!</v>
      </c>
    </row>
    <row r="26" spans="4:21">
      <c r="D26">
        <f t="shared" ca="1" si="0"/>
        <v>1.6791702140588707</v>
      </c>
      <c r="K26">
        <f t="shared" ca="1" si="1"/>
        <v>1.955394431991634E-2</v>
      </c>
      <c r="R26" t="e">
        <f t="shared" si="2"/>
        <v>#NUM!</v>
      </c>
      <c r="U26" s="55" t="e">
        <f t="shared" si="3"/>
        <v>#NUM!</v>
      </c>
    </row>
    <row r="27" spans="4:21">
      <c r="D27">
        <f t="shared" ca="1" si="0"/>
        <v>6.1711195234739975</v>
      </c>
      <c r="K27">
        <f t="shared" ca="1" si="1"/>
        <v>0.21496871474921447</v>
      </c>
      <c r="R27" t="e">
        <f t="shared" si="2"/>
        <v>#NUM!</v>
      </c>
      <c r="U27" s="55" t="e">
        <f t="shared" si="3"/>
        <v>#NUM!</v>
      </c>
    </row>
    <row r="28" spans="4:21">
      <c r="D28">
        <f t="shared" ca="1" si="0"/>
        <v>1.7146641886616432</v>
      </c>
      <c r="K28">
        <f t="shared" ca="1" si="1"/>
        <v>12.590120349907501</v>
      </c>
      <c r="R28" t="e">
        <f t="shared" si="2"/>
        <v>#NUM!</v>
      </c>
      <c r="U28" s="55" t="e">
        <f t="shared" si="3"/>
        <v>#NUM!</v>
      </c>
    </row>
    <row r="29" spans="4:21">
      <c r="D29">
        <f t="shared" ca="1" si="0"/>
        <v>7.3896830860575715</v>
      </c>
      <c r="K29">
        <f t="shared" ca="1" si="1"/>
        <v>2.8276779624443042</v>
      </c>
      <c r="R29" t="e">
        <f t="shared" si="2"/>
        <v>#NUM!</v>
      </c>
      <c r="U29" s="55" t="e">
        <f t="shared" si="3"/>
        <v>#NUM!</v>
      </c>
    </row>
    <row r="30" spans="4:21">
      <c r="D30">
        <f t="shared" ca="1" si="0"/>
        <v>18.896270317427309</v>
      </c>
      <c r="K30">
        <f t="shared" ca="1" si="1"/>
        <v>0.15425996496835259</v>
      </c>
      <c r="R30" t="e">
        <f t="shared" si="2"/>
        <v>#NUM!</v>
      </c>
      <c r="U30" s="55" t="e">
        <f t="shared" si="3"/>
        <v>#NUM!</v>
      </c>
    </row>
    <row r="31" spans="4:21">
      <c r="D31">
        <f t="shared" ca="1" si="0"/>
        <v>0.79181948924013956</v>
      </c>
      <c r="K31">
        <f t="shared" ca="1" si="1"/>
        <v>14.128192942872943</v>
      </c>
      <c r="R31" t="e">
        <f t="shared" si="2"/>
        <v>#NUM!</v>
      </c>
      <c r="U31" s="55" t="e">
        <f t="shared" si="3"/>
        <v>#NUM!</v>
      </c>
    </row>
    <row r="32" spans="4:21">
      <c r="D32">
        <f t="shared" ca="1" si="0"/>
        <v>7.5046487823214587</v>
      </c>
      <c r="K32">
        <f t="shared" ca="1" si="1"/>
        <v>3.6233498248566712E-2</v>
      </c>
      <c r="R32" t="e">
        <f t="shared" si="2"/>
        <v>#NUM!</v>
      </c>
      <c r="U32" s="55" t="e">
        <f t="shared" si="3"/>
        <v>#NUM!</v>
      </c>
    </row>
    <row r="33" spans="4:21">
      <c r="D33">
        <f t="shared" ca="1" si="0"/>
        <v>1.3241201464398644</v>
      </c>
      <c r="K33">
        <f t="shared" ca="1" si="1"/>
        <v>3.3315157150404513</v>
      </c>
      <c r="R33" t="e">
        <f t="shared" si="2"/>
        <v>#NUM!</v>
      </c>
      <c r="U33" s="55" t="e">
        <f t="shared" si="3"/>
        <v>#NUM!</v>
      </c>
    </row>
    <row r="34" spans="4:21">
      <c r="D34">
        <f t="shared" ca="1" si="0"/>
        <v>1.6414061237122541</v>
      </c>
      <c r="K34">
        <f t="shared" ca="1" si="1"/>
        <v>6.3234571389774459</v>
      </c>
      <c r="R34" t="e">
        <f t="shared" si="2"/>
        <v>#NUM!</v>
      </c>
      <c r="U34" s="55" t="e">
        <f t="shared" si="3"/>
        <v>#NUM!</v>
      </c>
    </row>
    <row r="35" spans="4:21">
      <c r="D35">
        <f t="shared" ca="1" si="0"/>
        <v>0.83147540526859931</v>
      </c>
      <c r="K35">
        <f t="shared" ca="1" si="1"/>
        <v>0.60252729367562896</v>
      </c>
      <c r="R35" t="e">
        <f t="shared" si="2"/>
        <v>#NUM!</v>
      </c>
      <c r="U35" s="55" t="e">
        <f t="shared" si="3"/>
        <v>#NUM!</v>
      </c>
    </row>
    <row r="36" spans="4:21">
      <c r="D36">
        <f t="shared" ca="1" si="0"/>
        <v>5.9514853219160386</v>
      </c>
      <c r="K36">
        <f t="shared" ca="1" si="1"/>
        <v>8.5531879411788339</v>
      </c>
      <c r="R36" t="e">
        <f t="shared" si="2"/>
        <v>#NUM!</v>
      </c>
      <c r="U36" s="55" t="e">
        <f t="shared" si="3"/>
        <v>#NUM!</v>
      </c>
    </row>
    <row r="37" spans="4:21">
      <c r="D37">
        <f t="shared" ca="1" si="0"/>
        <v>0.22942136786947559</v>
      </c>
      <c r="K37">
        <f t="shared" ca="1" si="1"/>
        <v>1.9081232223170734</v>
      </c>
      <c r="R37" t="e">
        <f t="shared" si="2"/>
        <v>#NUM!</v>
      </c>
      <c r="U37" s="55" t="e">
        <f t="shared" si="3"/>
        <v>#NUM!</v>
      </c>
    </row>
    <row r="38" spans="4:21">
      <c r="D38">
        <f t="shared" ca="1" si="0"/>
        <v>3.3569844796477328</v>
      </c>
      <c r="K38">
        <f t="shared" ca="1" si="1"/>
        <v>8.6361353694114449</v>
      </c>
      <c r="R38" t="e">
        <f t="shared" si="2"/>
        <v>#NUM!</v>
      </c>
      <c r="U38" s="55" t="e">
        <f t="shared" si="3"/>
        <v>#NUM!</v>
      </c>
    </row>
    <row r="39" spans="4:21">
      <c r="D39">
        <f t="shared" ca="1" si="0"/>
        <v>1.4858302447278584</v>
      </c>
      <c r="K39">
        <f t="shared" ca="1" si="1"/>
        <v>3.4382633378420513</v>
      </c>
      <c r="R39" t="e">
        <f t="shared" si="2"/>
        <v>#NUM!</v>
      </c>
      <c r="U39" s="55" t="e">
        <f t="shared" si="3"/>
        <v>#NUM!</v>
      </c>
    </row>
    <row r="40" spans="4:21">
      <c r="D40">
        <f t="shared" ca="1" si="0"/>
        <v>6.8441378027177198</v>
      </c>
      <c r="K40">
        <f t="shared" ca="1" si="1"/>
        <v>11.725101389548357</v>
      </c>
      <c r="R40" t="e">
        <f t="shared" si="2"/>
        <v>#NUM!</v>
      </c>
      <c r="U40" s="55" t="e">
        <f t="shared" si="3"/>
        <v>#NUM!</v>
      </c>
    </row>
    <row r="41" spans="4:21">
      <c r="D41">
        <f t="shared" ca="1" si="0"/>
        <v>4.0938834922080787</v>
      </c>
      <c r="K41">
        <f t="shared" ca="1" si="1"/>
        <v>7.7780473786541453</v>
      </c>
      <c r="R41" t="e">
        <f t="shared" si="2"/>
        <v>#NUM!</v>
      </c>
      <c r="U41" s="55" t="e">
        <f t="shared" si="3"/>
        <v>#NUM!</v>
      </c>
    </row>
    <row r="42" spans="4:21">
      <c r="D42">
        <f t="shared" ca="1" si="0"/>
        <v>6.600924412832164</v>
      </c>
      <c r="K42">
        <f t="shared" ca="1" si="1"/>
        <v>2.8754617008995202</v>
      </c>
      <c r="R42" t="e">
        <f t="shared" si="2"/>
        <v>#NUM!</v>
      </c>
      <c r="U42" s="55" t="e">
        <f t="shared" si="3"/>
        <v>#NUM!</v>
      </c>
    </row>
    <row r="43" spans="4:21">
      <c r="D43">
        <f t="shared" ca="1" si="0"/>
        <v>0.90675034995172998</v>
      </c>
      <c r="K43">
        <f t="shared" ca="1" si="1"/>
        <v>0.5246895943094847</v>
      </c>
      <c r="R43" t="e">
        <f t="shared" si="2"/>
        <v>#NUM!</v>
      </c>
      <c r="U43" s="55" t="e">
        <f t="shared" si="3"/>
        <v>#NUM!</v>
      </c>
    </row>
    <row r="44" spans="4:21">
      <c r="D44">
        <f t="shared" ca="1" si="0"/>
        <v>1.9747843256223603</v>
      </c>
      <c r="K44">
        <f t="shared" ca="1" si="1"/>
        <v>0.1200395241086836</v>
      </c>
      <c r="R44" t="e">
        <f t="shared" si="2"/>
        <v>#NUM!</v>
      </c>
      <c r="U44" s="55" t="e">
        <f t="shared" si="3"/>
        <v>#NUM!</v>
      </c>
    </row>
    <row r="45" spans="4:21">
      <c r="D45">
        <f t="shared" ca="1" si="0"/>
        <v>4.6453171719892552</v>
      </c>
      <c r="K45">
        <f t="shared" ca="1" si="1"/>
        <v>3.1846811636250445</v>
      </c>
      <c r="R45" t="e">
        <f t="shared" si="2"/>
        <v>#NUM!</v>
      </c>
      <c r="U45" s="55" t="e">
        <f t="shared" si="3"/>
        <v>#NUM!</v>
      </c>
    </row>
    <row r="46" spans="4:21">
      <c r="D46">
        <f t="shared" ca="1" si="0"/>
        <v>7.505533617143298</v>
      </c>
      <c r="K46">
        <f t="shared" ca="1" si="1"/>
        <v>0.74204456386460005</v>
      </c>
      <c r="R46" t="e">
        <f t="shared" si="2"/>
        <v>#NUM!</v>
      </c>
      <c r="U46" s="55" t="e">
        <f t="shared" si="3"/>
        <v>#NUM!</v>
      </c>
    </row>
    <row r="47" spans="4:21">
      <c r="D47">
        <f t="shared" ca="1" si="0"/>
        <v>1.2666640799656519</v>
      </c>
      <c r="K47">
        <f t="shared" ca="1" si="1"/>
        <v>0.26257625772304416</v>
      </c>
      <c r="R47" t="e">
        <f t="shared" si="2"/>
        <v>#NUM!</v>
      </c>
      <c r="U47" s="55" t="e">
        <f t="shared" si="3"/>
        <v>#NUM!</v>
      </c>
    </row>
    <row r="48" spans="4:21">
      <c r="D48">
        <f t="shared" ca="1" si="0"/>
        <v>0.65286466356765849</v>
      </c>
      <c r="K48">
        <f t="shared" ca="1" si="1"/>
        <v>1.2754752028662582</v>
      </c>
      <c r="R48" t="e">
        <f t="shared" si="2"/>
        <v>#NUM!</v>
      </c>
      <c r="U48" s="55" t="e">
        <f t="shared" si="3"/>
        <v>#NUM!</v>
      </c>
    </row>
    <row r="49" spans="4:21">
      <c r="D49">
        <f t="shared" ca="1" si="0"/>
        <v>0.28822250084607703</v>
      </c>
      <c r="K49">
        <f t="shared" ca="1" si="1"/>
        <v>6.8206815011212338</v>
      </c>
      <c r="R49" t="e">
        <f t="shared" si="2"/>
        <v>#NUM!</v>
      </c>
      <c r="U49" s="55" t="e">
        <f t="shared" si="3"/>
        <v>#NUM!</v>
      </c>
    </row>
    <row r="50" spans="4:21">
      <c r="D50">
        <f t="shared" ca="1" si="0"/>
        <v>4.9571214563438293</v>
      </c>
      <c r="K50">
        <f t="shared" ca="1" si="1"/>
        <v>0.13403228113489996</v>
      </c>
      <c r="R50" t="e">
        <f t="shared" si="2"/>
        <v>#NUM!</v>
      </c>
      <c r="U50" s="55" t="e">
        <f t="shared" si="3"/>
        <v>#NUM!</v>
      </c>
    </row>
    <row r="51" spans="4:21">
      <c r="D51">
        <f t="shared" ca="1" si="0"/>
        <v>0.56310048704925042</v>
      </c>
      <c r="K51">
        <f t="shared" ca="1" si="1"/>
        <v>0.66728464955812217</v>
      </c>
      <c r="R51" t="e">
        <f t="shared" si="2"/>
        <v>#NUM!</v>
      </c>
      <c r="U51" s="55" t="e">
        <f t="shared" si="3"/>
        <v>#NUM!</v>
      </c>
    </row>
    <row r="52" spans="4:21">
      <c r="D52">
        <f t="shared" ca="1" si="0"/>
        <v>1.2010029920538834</v>
      </c>
      <c r="K52">
        <f t="shared" ca="1" si="1"/>
        <v>1.1950708787800366</v>
      </c>
      <c r="R52" t="e">
        <f t="shared" si="2"/>
        <v>#NUM!</v>
      </c>
      <c r="U52" s="55" t="e">
        <f t="shared" si="3"/>
        <v>#NUM!</v>
      </c>
    </row>
    <row r="53" spans="4:21">
      <c r="D53">
        <f t="shared" ca="1" si="0"/>
        <v>8.2583683586889158</v>
      </c>
      <c r="K53">
        <f t="shared" ca="1" si="1"/>
        <v>0.97156265877375847</v>
      </c>
      <c r="R53" t="e">
        <f t="shared" si="2"/>
        <v>#NUM!</v>
      </c>
      <c r="U53" s="55" t="e">
        <f t="shared" si="3"/>
        <v>#NUM!</v>
      </c>
    </row>
    <row r="54" spans="4:21">
      <c r="D54">
        <f t="shared" ca="1" si="0"/>
        <v>5.6992721163270446</v>
      </c>
      <c r="K54">
        <f t="shared" ca="1" si="1"/>
        <v>4.9437860437851455</v>
      </c>
      <c r="R54" t="e">
        <f t="shared" si="2"/>
        <v>#NUM!</v>
      </c>
      <c r="U54" s="55" t="e">
        <f t="shared" si="3"/>
        <v>#NUM!</v>
      </c>
    </row>
    <row r="55" spans="4:21">
      <c r="D55">
        <f t="shared" ca="1" si="0"/>
        <v>0.64433985406098104</v>
      </c>
      <c r="K55">
        <f t="shared" ca="1" si="1"/>
        <v>2.8636527951981714</v>
      </c>
      <c r="R55" t="e">
        <f t="shared" si="2"/>
        <v>#NUM!</v>
      </c>
      <c r="U55" s="55" t="e">
        <f t="shared" si="3"/>
        <v>#NUM!</v>
      </c>
    </row>
    <row r="56" spans="4:21">
      <c r="D56">
        <f t="shared" ca="1" si="0"/>
        <v>2.6879900997726365</v>
      </c>
      <c r="K56">
        <f t="shared" ca="1" si="1"/>
        <v>0.43702803542866264</v>
      </c>
      <c r="R56" t="e">
        <f t="shared" si="2"/>
        <v>#NUM!</v>
      </c>
      <c r="U56" s="55" t="e">
        <f t="shared" si="3"/>
        <v>#NUM!</v>
      </c>
    </row>
    <row r="57" spans="4:21">
      <c r="D57">
        <f t="shared" ca="1" si="0"/>
        <v>7.1874819992786936</v>
      </c>
      <c r="K57">
        <f t="shared" ca="1" si="1"/>
        <v>0.16515234714851479</v>
      </c>
      <c r="R57" t="e">
        <f t="shared" si="2"/>
        <v>#NUM!</v>
      </c>
      <c r="U57" s="55" t="e">
        <f t="shared" si="3"/>
        <v>#NUM!</v>
      </c>
    </row>
    <row r="58" spans="4:21">
      <c r="D58">
        <f t="shared" ca="1" si="0"/>
        <v>5.5637965961544058</v>
      </c>
      <c r="K58">
        <f t="shared" ca="1" si="1"/>
        <v>2.6112103975127585</v>
      </c>
      <c r="R58" t="e">
        <f t="shared" si="2"/>
        <v>#NUM!</v>
      </c>
      <c r="U58" s="55" t="e">
        <f t="shared" si="3"/>
        <v>#NUM!</v>
      </c>
    </row>
    <row r="59" spans="4:21">
      <c r="D59">
        <f t="shared" ca="1" si="0"/>
        <v>3.3585390523075205</v>
      </c>
      <c r="K59">
        <f t="shared" ca="1" si="1"/>
        <v>3.5521960669166779</v>
      </c>
      <c r="R59" t="e">
        <f t="shared" si="2"/>
        <v>#NUM!</v>
      </c>
      <c r="U59" s="55" t="e">
        <f t="shared" si="3"/>
        <v>#NUM!</v>
      </c>
    </row>
    <row r="60" spans="4:21">
      <c r="D60">
        <f t="shared" ca="1" si="0"/>
        <v>1.2122247586773054</v>
      </c>
      <c r="K60">
        <f t="shared" ca="1" si="1"/>
        <v>0.64771169553236252</v>
      </c>
      <c r="R60" t="e">
        <f t="shared" si="2"/>
        <v>#NUM!</v>
      </c>
      <c r="U60" s="55" t="e">
        <f t="shared" si="3"/>
        <v>#NUM!</v>
      </c>
    </row>
    <row r="61" spans="4:21">
      <c r="D61">
        <f t="shared" ca="1" si="0"/>
        <v>1.0925923496648493</v>
      </c>
      <c r="K61">
        <f t="shared" ca="1" si="1"/>
        <v>3.9517137050321844</v>
      </c>
      <c r="R61" t="e">
        <f t="shared" si="2"/>
        <v>#NUM!</v>
      </c>
      <c r="U61" s="55" t="e">
        <f t="shared" si="3"/>
        <v>#NUM!</v>
      </c>
    </row>
    <row r="62" spans="4:21">
      <c r="D62">
        <f t="shared" ca="1" si="0"/>
        <v>3.5806600136328592</v>
      </c>
      <c r="K62">
        <f t="shared" ca="1" si="1"/>
        <v>3.7936162313940551</v>
      </c>
      <c r="R62" t="e">
        <f t="shared" si="2"/>
        <v>#NUM!</v>
      </c>
      <c r="U62" s="55" t="e">
        <f t="shared" si="3"/>
        <v>#NUM!</v>
      </c>
    </row>
    <row r="63" spans="4:21">
      <c r="D63">
        <f t="shared" ca="1" si="0"/>
        <v>4.3774175602142051</v>
      </c>
      <c r="K63">
        <f t="shared" ca="1" si="1"/>
        <v>1.4799044220420599</v>
      </c>
      <c r="R63" t="e">
        <f t="shared" si="2"/>
        <v>#NUM!</v>
      </c>
      <c r="U63" s="55" t="e">
        <f t="shared" si="3"/>
        <v>#NUM!</v>
      </c>
    </row>
    <row r="64" spans="4:21">
      <c r="D64">
        <f t="shared" ca="1" si="0"/>
        <v>5.8312721725016203</v>
      </c>
      <c r="K64">
        <f t="shared" ca="1" si="1"/>
        <v>5.3863843102647815E-2</v>
      </c>
      <c r="R64" t="e">
        <f t="shared" si="2"/>
        <v>#NUM!</v>
      </c>
      <c r="U64" s="55" t="e">
        <f t="shared" si="3"/>
        <v>#NUM!</v>
      </c>
    </row>
    <row r="65" spans="4:21">
      <c r="D65">
        <f t="shared" ca="1" si="0"/>
        <v>1.9469672852686055</v>
      </c>
      <c r="K65">
        <f t="shared" ca="1" si="1"/>
        <v>1.6352564554872271</v>
      </c>
      <c r="R65" t="e">
        <f t="shared" si="2"/>
        <v>#NUM!</v>
      </c>
      <c r="U65" s="55" t="e">
        <f t="shared" si="3"/>
        <v>#NUM!</v>
      </c>
    </row>
    <row r="66" spans="4:21">
      <c r="D66">
        <f t="shared" ref="D66:D129" ca="1" si="4">GAMMAINV(RAND(),$A$2,$B$2)</f>
        <v>4.9558142751691729</v>
      </c>
      <c r="K66">
        <f t="shared" ref="K66:K129" ca="1" si="5">GAMMAINV(RAND(),$H$2,$I$2)</f>
        <v>3.007622603916281</v>
      </c>
      <c r="R66" t="e">
        <f t="shared" si="2"/>
        <v>#NUM!</v>
      </c>
      <c r="U66" s="55" t="e">
        <f t="shared" si="3"/>
        <v>#NUM!</v>
      </c>
    </row>
    <row r="67" spans="4:21">
      <c r="D67">
        <f t="shared" ca="1" si="4"/>
        <v>2.5569107211242894</v>
      </c>
      <c r="K67">
        <f t="shared" ca="1" si="5"/>
        <v>2.5710165801865195</v>
      </c>
      <c r="R67" t="e">
        <f t="shared" ref="R67:R130" si="6">EXP(-(((-LN(G67)^$P$2)+(-LN(L67))^$P$2)^(1/$P$2)))</f>
        <v>#NUM!</v>
      </c>
      <c r="U67" s="55" t="e">
        <f t="shared" ref="U67:U130" si="7">5.16/(1-R67)</f>
        <v>#NUM!</v>
      </c>
    </row>
    <row r="68" spans="4:21">
      <c r="D68">
        <f t="shared" ca="1" si="4"/>
        <v>1.14772628388137</v>
      </c>
      <c r="K68">
        <f t="shared" ca="1" si="5"/>
        <v>6.985256347826116</v>
      </c>
      <c r="R68" t="e">
        <f t="shared" si="6"/>
        <v>#NUM!</v>
      </c>
      <c r="U68" s="55" t="e">
        <f t="shared" si="7"/>
        <v>#NUM!</v>
      </c>
    </row>
    <row r="69" spans="4:21">
      <c r="D69">
        <f t="shared" ca="1" si="4"/>
        <v>16.770787698091077</v>
      </c>
      <c r="K69">
        <f t="shared" ca="1" si="5"/>
        <v>0.17246872829458876</v>
      </c>
      <c r="R69" t="e">
        <f t="shared" si="6"/>
        <v>#NUM!</v>
      </c>
      <c r="U69" s="55" t="e">
        <f t="shared" si="7"/>
        <v>#NUM!</v>
      </c>
    </row>
    <row r="70" spans="4:21">
      <c r="D70">
        <f t="shared" ca="1" si="4"/>
        <v>0.29196269091766858</v>
      </c>
      <c r="K70">
        <f t="shared" ca="1" si="5"/>
        <v>9.0674773367695159E-3</v>
      </c>
      <c r="R70" t="e">
        <f t="shared" si="6"/>
        <v>#NUM!</v>
      </c>
      <c r="U70" s="55" t="e">
        <f t="shared" si="7"/>
        <v>#NUM!</v>
      </c>
    </row>
    <row r="71" spans="4:21">
      <c r="D71">
        <f t="shared" ca="1" si="4"/>
        <v>4.41260133759023</v>
      </c>
      <c r="K71">
        <f t="shared" ca="1" si="5"/>
        <v>7.4197566657114944</v>
      </c>
      <c r="R71" t="e">
        <f t="shared" si="6"/>
        <v>#NUM!</v>
      </c>
      <c r="U71" s="55" t="e">
        <f t="shared" si="7"/>
        <v>#NUM!</v>
      </c>
    </row>
    <row r="72" spans="4:21">
      <c r="D72">
        <f t="shared" ca="1" si="4"/>
        <v>5.267437637004015</v>
      </c>
      <c r="K72">
        <f t="shared" ca="1" si="5"/>
        <v>1.0752943187793722</v>
      </c>
      <c r="R72" t="e">
        <f t="shared" si="6"/>
        <v>#NUM!</v>
      </c>
      <c r="U72" s="55" t="e">
        <f t="shared" si="7"/>
        <v>#NUM!</v>
      </c>
    </row>
    <row r="73" spans="4:21">
      <c r="D73">
        <f t="shared" ca="1" si="4"/>
        <v>3.0539535416739518</v>
      </c>
      <c r="K73">
        <f t="shared" ca="1" si="5"/>
        <v>2.9878943032365726</v>
      </c>
      <c r="R73" t="e">
        <f t="shared" si="6"/>
        <v>#NUM!</v>
      </c>
      <c r="U73" s="55" t="e">
        <f t="shared" si="7"/>
        <v>#NUM!</v>
      </c>
    </row>
    <row r="74" spans="4:21">
      <c r="D74">
        <f t="shared" ca="1" si="4"/>
        <v>11.846813893598291</v>
      </c>
      <c r="K74">
        <f t="shared" ca="1" si="5"/>
        <v>3.0639539355044461</v>
      </c>
      <c r="R74" t="e">
        <f t="shared" si="6"/>
        <v>#NUM!</v>
      </c>
      <c r="U74" s="55" t="e">
        <f t="shared" si="7"/>
        <v>#NUM!</v>
      </c>
    </row>
    <row r="75" spans="4:21">
      <c r="D75">
        <f t="shared" ca="1" si="4"/>
        <v>27.623250958693681</v>
      </c>
      <c r="K75">
        <f t="shared" ca="1" si="5"/>
        <v>7.5617586212128163E-2</v>
      </c>
      <c r="R75" t="e">
        <f t="shared" si="6"/>
        <v>#NUM!</v>
      </c>
      <c r="U75" s="55" t="e">
        <f t="shared" si="7"/>
        <v>#NUM!</v>
      </c>
    </row>
    <row r="76" spans="4:21">
      <c r="D76">
        <f t="shared" ca="1" si="4"/>
        <v>0.22615761773469467</v>
      </c>
      <c r="K76">
        <f t="shared" ca="1" si="5"/>
        <v>0.64234551139775053</v>
      </c>
      <c r="R76" t="e">
        <f t="shared" si="6"/>
        <v>#NUM!</v>
      </c>
      <c r="U76" s="55" t="e">
        <f t="shared" si="7"/>
        <v>#NUM!</v>
      </c>
    </row>
    <row r="77" spans="4:21">
      <c r="D77">
        <f t="shared" ca="1" si="4"/>
        <v>3.4273441710227504E-2</v>
      </c>
      <c r="K77">
        <f t="shared" ca="1" si="5"/>
        <v>1.035166652248277</v>
      </c>
      <c r="R77" t="e">
        <f t="shared" si="6"/>
        <v>#NUM!</v>
      </c>
      <c r="U77" s="55" t="e">
        <f t="shared" si="7"/>
        <v>#NUM!</v>
      </c>
    </row>
    <row r="78" spans="4:21">
      <c r="D78">
        <f t="shared" ca="1" si="4"/>
        <v>22.69038508017622</v>
      </c>
      <c r="K78">
        <f t="shared" ca="1" si="5"/>
        <v>4.015339903370748</v>
      </c>
      <c r="R78" t="e">
        <f t="shared" si="6"/>
        <v>#NUM!</v>
      </c>
      <c r="U78" s="55" t="e">
        <f t="shared" si="7"/>
        <v>#NUM!</v>
      </c>
    </row>
    <row r="79" spans="4:21">
      <c r="D79">
        <f t="shared" ca="1" si="4"/>
        <v>16.137456331655144</v>
      </c>
      <c r="K79">
        <f t="shared" ca="1" si="5"/>
        <v>2.3831646182052104</v>
      </c>
      <c r="R79" t="e">
        <f t="shared" si="6"/>
        <v>#NUM!</v>
      </c>
      <c r="U79" s="55" t="e">
        <f t="shared" si="7"/>
        <v>#NUM!</v>
      </c>
    </row>
    <row r="80" spans="4:21">
      <c r="D80">
        <f t="shared" ca="1" si="4"/>
        <v>2.0805635076855156</v>
      </c>
      <c r="K80">
        <f t="shared" ca="1" si="5"/>
        <v>2.0749474616311581</v>
      </c>
      <c r="R80" t="e">
        <f t="shared" si="6"/>
        <v>#NUM!</v>
      </c>
      <c r="U80" s="55" t="e">
        <f t="shared" si="7"/>
        <v>#NUM!</v>
      </c>
    </row>
    <row r="81" spans="4:21">
      <c r="D81">
        <f t="shared" ca="1" si="4"/>
        <v>15.930674462534032</v>
      </c>
      <c r="K81">
        <f t="shared" ca="1" si="5"/>
        <v>2.5272008827595771</v>
      </c>
      <c r="R81" t="e">
        <f t="shared" si="6"/>
        <v>#NUM!</v>
      </c>
      <c r="U81" s="55" t="e">
        <f t="shared" si="7"/>
        <v>#NUM!</v>
      </c>
    </row>
    <row r="82" spans="4:21">
      <c r="D82">
        <f t="shared" ca="1" si="4"/>
        <v>8.5909640241849523</v>
      </c>
      <c r="K82">
        <f t="shared" ca="1" si="5"/>
        <v>4.3690543472633845</v>
      </c>
      <c r="R82" t="e">
        <f t="shared" si="6"/>
        <v>#NUM!</v>
      </c>
      <c r="U82" s="55" t="e">
        <f t="shared" si="7"/>
        <v>#NUM!</v>
      </c>
    </row>
    <row r="83" spans="4:21">
      <c r="D83">
        <f t="shared" ca="1" si="4"/>
        <v>1.9717976329223017</v>
      </c>
      <c r="K83">
        <f t="shared" ca="1" si="5"/>
        <v>4.3872843000005144</v>
      </c>
      <c r="R83" t="e">
        <f t="shared" si="6"/>
        <v>#NUM!</v>
      </c>
      <c r="U83" s="55" t="e">
        <f t="shared" si="7"/>
        <v>#NUM!</v>
      </c>
    </row>
    <row r="84" spans="4:21">
      <c r="D84">
        <f t="shared" ca="1" si="4"/>
        <v>11.707071931446322</v>
      </c>
      <c r="K84">
        <f t="shared" ca="1" si="5"/>
        <v>1.8357861982731465</v>
      </c>
      <c r="R84" t="e">
        <f t="shared" si="6"/>
        <v>#NUM!</v>
      </c>
      <c r="U84" s="55" t="e">
        <f t="shared" si="7"/>
        <v>#NUM!</v>
      </c>
    </row>
    <row r="85" spans="4:21">
      <c r="D85">
        <f t="shared" ca="1" si="4"/>
        <v>8.2268590189033759</v>
      </c>
      <c r="K85">
        <f t="shared" ca="1" si="5"/>
        <v>0.63911895563074772</v>
      </c>
      <c r="R85" t="e">
        <f t="shared" si="6"/>
        <v>#NUM!</v>
      </c>
      <c r="U85" s="55" t="e">
        <f t="shared" si="7"/>
        <v>#NUM!</v>
      </c>
    </row>
    <row r="86" spans="4:21">
      <c r="D86">
        <f t="shared" ca="1" si="4"/>
        <v>7.5622469649755288</v>
      </c>
      <c r="K86">
        <f t="shared" ca="1" si="5"/>
        <v>3.5005295850140703</v>
      </c>
      <c r="R86" t="e">
        <f t="shared" si="6"/>
        <v>#NUM!</v>
      </c>
      <c r="U86" s="55" t="e">
        <f t="shared" si="7"/>
        <v>#NUM!</v>
      </c>
    </row>
    <row r="87" spans="4:21">
      <c r="D87">
        <f t="shared" ca="1" si="4"/>
        <v>0.19519736049504566</v>
      </c>
      <c r="K87">
        <f t="shared" ca="1" si="5"/>
        <v>0.14562305812008902</v>
      </c>
      <c r="R87" t="e">
        <f t="shared" si="6"/>
        <v>#NUM!</v>
      </c>
      <c r="U87" s="55" t="e">
        <f t="shared" si="7"/>
        <v>#NUM!</v>
      </c>
    </row>
    <row r="88" spans="4:21">
      <c r="D88">
        <f t="shared" ca="1" si="4"/>
        <v>3.7704756440086449</v>
      </c>
      <c r="K88">
        <f t="shared" ca="1" si="5"/>
        <v>5.2738164446830726</v>
      </c>
      <c r="R88" t="e">
        <f t="shared" si="6"/>
        <v>#NUM!</v>
      </c>
      <c r="U88" s="55" t="e">
        <f t="shared" si="7"/>
        <v>#NUM!</v>
      </c>
    </row>
    <row r="89" spans="4:21">
      <c r="D89">
        <f t="shared" ca="1" si="4"/>
        <v>8.8967395298328485E-3</v>
      </c>
      <c r="K89">
        <f t="shared" ca="1" si="5"/>
        <v>0.17652497918346549</v>
      </c>
      <c r="R89" t="e">
        <f t="shared" si="6"/>
        <v>#NUM!</v>
      </c>
      <c r="U89" s="55" t="e">
        <f t="shared" si="7"/>
        <v>#NUM!</v>
      </c>
    </row>
    <row r="90" spans="4:21">
      <c r="D90">
        <f t="shared" ca="1" si="4"/>
        <v>2.9965259214717195</v>
      </c>
      <c r="K90">
        <f t="shared" ca="1" si="5"/>
        <v>5.8448511098016169</v>
      </c>
      <c r="R90" t="e">
        <f t="shared" si="6"/>
        <v>#NUM!</v>
      </c>
      <c r="U90" s="55" t="e">
        <f t="shared" si="7"/>
        <v>#NUM!</v>
      </c>
    </row>
    <row r="91" spans="4:21">
      <c r="D91">
        <f t="shared" ca="1" si="4"/>
        <v>4.4920196657446656</v>
      </c>
      <c r="K91">
        <f t="shared" ca="1" si="5"/>
        <v>1.2344305080095732</v>
      </c>
      <c r="R91" t="e">
        <f t="shared" si="6"/>
        <v>#NUM!</v>
      </c>
      <c r="U91" s="55" t="e">
        <f t="shared" si="7"/>
        <v>#NUM!</v>
      </c>
    </row>
    <row r="92" spans="4:21">
      <c r="D92">
        <f t="shared" ca="1" si="4"/>
        <v>9.9824928520644534</v>
      </c>
      <c r="K92">
        <f t="shared" ca="1" si="5"/>
        <v>4.0642744190949038</v>
      </c>
      <c r="R92" t="e">
        <f t="shared" si="6"/>
        <v>#NUM!</v>
      </c>
      <c r="U92" s="55" t="e">
        <f t="shared" si="7"/>
        <v>#NUM!</v>
      </c>
    </row>
    <row r="93" spans="4:21">
      <c r="D93">
        <f t="shared" ca="1" si="4"/>
        <v>4.615259567741802</v>
      </c>
      <c r="K93">
        <f t="shared" ca="1" si="5"/>
        <v>1.2841911999833582E-2</v>
      </c>
      <c r="R93" t="e">
        <f t="shared" si="6"/>
        <v>#NUM!</v>
      </c>
      <c r="U93" s="55" t="e">
        <f t="shared" si="7"/>
        <v>#NUM!</v>
      </c>
    </row>
    <row r="94" spans="4:21">
      <c r="D94">
        <f t="shared" ca="1" si="4"/>
        <v>12.72376489474286</v>
      </c>
      <c r="K94">
        <f t="shared" ca="1" si="5"/>
        <v>1.1987330295503194</v>
      </c>
      <c r="R94" t="e">
        <f t="shared" si="6"/>
        <v>#NUM!</v>
      </c>
      <c r="U94" s="55" t="e">
        <f t="shared" si="7"/>
        <v>#NUM!</v>
      </c>
    </row>
    <row r="95" spans="4:21">
      <c r="D95">
        <f t="shared" ca="1" si="4"/>
        <v>3.3028555450540447</v>
      </c>
      <c r="K95">
        <f t="shared" ca="1" si="5"/>
        <v>9.6672019580836626</v>
      </c>
      <c r="R95" t="e">
        <f t="shared" si="6"/>
        <v>#NUM!</v>
      </c>
      <c r="U95" s="55" t="e">
        <f t="shared" si="7"/>
        <v>#NUM!</v>
      </c>
    </row>
    <row r="96" spans="4:21">
      <c r="D96">
        <f t="shared" ca="1" si="4"/>
        <v>0.1245427658409668</v>
      </c>
      <c r="K96">
        <f t="shared" ca="1" si="5"/>
        <v>0.15349187268268522</v>
      </c>
      <c r="R96" t="e">
        <f t="shared" si="6"/>
        <v>#NUM!</v>
      </c>
      <c r="U96" s="55" t="e">
        <f t="shared" si="7"/>
        <v>#NUM!</v>
      </c>
    </row>
    <row r="97" spans="4:21">
      <c r="D97">
        <f t="shared" ca="1" si="4"/>
        <v>2.1190796566968695</v>
      </c>
      <c r="K97">
        <f t="shared" ca="1" si="5"/>
        <v>1.3048638088914148</v>
      </c>
      <c r="R97" t="e">
        <f t="shared" si="6"/>
        <v>#NUM!</v>
      </c>
      <c r="U97" s="55" t="e">
        <f t="shared" si="7"/>
        <v>#NUM!</v>
      </c>
    </row>
    <row r="98" spans="4:21">
      <c r="D98">
        <f t="shared" ca="1" si="4"/>
        <v>2.4319639956153241</v>
      </c>
      <c r="K98">
        <f t="shared" ca="1" si="5"/>
        <v>0.12954943966654819</v>
      </c>
      <c r="R98" t="e">
        <f t="shared" si="6"/>
        <v>#NUM!</v>
      </c>
      <c r="U98" s="55" t="e">
        <f t="shared" si="7"/>
        <v>#NUM!</v>
      </c>
    </row>
    <row r="99" spans="4:21">
      <c r="D99">
        <f t="shared" ca="1" si="4"/>
        <v>1.9697672075722514</v>
      </c>
      <c r="K99">
        <f t="shared" ca="1" si="5"/>
        <v>1.1995363293794781</v>
      </c>
      <c r="R99" t="e">
        <f t="shared" si="6"/>
        <v>#NUM!</v>
      </c>
      <c r="U99" s="55" t="e">
        <f t="shared" si="7"/>
        <v>#NUM!</v>
      </c>
    </row>
    <row r="100" spans="4:21">
      <c r="D100">
        <f t="shared" ca="1" si="4"/>
        <v>2.477371499306277</v>
      </c>
      <c r="K100">
        <f t="shared" ca="1" si="5"/>
        <v>2.2669722938961456</v>
      </c>
      <c r="R100" t="e">
        <f t="shared" si="6"/>
        <v>#NUM!</v>
      </c>
      <c r="U100" s="55" t="e">
        <f t="shared" si="7"/>
        <v>#NUM!</v>
      </c>
    </row>
    <row r="101" spans="4:21">
      <c r="D101">
        <f t="shared" ca="1" si="4"/>
        <v>6.3471881252204199</v>
      </c>
      <c r="K101">
        <f t="shared" ca="1" si="5"/>
        <v>2.2819756190674436</v>
      </c>
      <c r="R101" t="e">
        <f t="shared" si="6"/>
        <v>#NUM!</v>
      </c>
      <c r="U101" s="55" t="e">
        <f t="shared" si="7"/>
        <v>#NUM!</v>
      </c>
    </row>
    <row r="102" spans="4:21">
      <c r="D102">
        <f t="shared" ca="1" si="4"/>
        <v>5.7169694384726437</v>
      </c>
      <c r="K102">
        <f t="shared" ca="1" si="5"/>
        <v>1.4261484550228634</v>
      </c>
      <c r="R102" t="e">
        <f t="shared" si="6"/>
        <v>#NUM!</v>
      </c>
      <c r="U102" s="55" t="e">
        <f t="shared" si="7"/>
        <v>#NUM!</v>
      </c>
    </row>
    <row r="103" spans="4:21">
      <c r="D103">
        <f t="shared" ca="1" si="4"/>
        <v>6.2460505953555518</v>
      </c>
      <c r="K103">
        <f t="shared" ca="1" si="5"/>
        <v>1.3137409944570284</v>
      </c>
      <c r="R103" t="e">
        <f t="shared" si="6"/>
        <v>#NUM!</v>
      </c>
      <c r="U103" s="55" t="e">
        <f t="shared" si="7"/>
        <v>#NUM!</v>
      </c>
    </row>
    <row r="104" spans="4:21">
      <c r="D104">
        <f t="shared" ca="1" si="4"/>
        <v>5.5426911972458106E-3</v>
      </c>
      <c r="K104">
        <f t="shared" ca="1" si="5"/>
        <v>1.0018422325874439</v>
      </c>
      <c r="R104" t="e">
        <f t="shared" si="6"/>
        <v>#NUM!</v>
      </c>
      <c r="U104" s="55" t="e">
        <f t="shared" si="7"/>
        <v>#NUM!</v>
      </c>
    </row>
    <row r="105" spans="4:21">
      <c r="D105">
        <f t="shared" ca="1" si="4"/>
        <v>1.179720368474424</v>
      </c>
      <c r="K105">
        <f t="shared" ca="1" si="5"/>
        <v>0.32585256210399016</v>
      </c>
      <c r="R105" t="e">
        <f t="shared" si="6"/>
        <v>#NUM!</v>
      </c>
      <c r="U105" s="55" t="e">
        <f t="shared" si="7"/>
        <v>#NUM!</v>
      </c>
    </row>
    <row r="106" spans="4:21">
      <c r="D106">
        <f t="shared" ca="1" si="4"/>
        <v>10.879393777267563</v>
      </c>
      <c r="K106">
        <f t="shared" ca="1" si="5"/>
        <v>3.5985422623586842</v>
      </c>
      <c r="R106" t="e">
        <f t="shared" si="6"/>
        <v>#NUM!</v>
      </c>
      <c r="U106" s="55" t="e">
        <f t="shared" si="7"/>
        <v>#NUM!</v>
      </c>
    </row>
    <row r="107" spans="4:21">
      <c r="D107">
        <f t="shared" ca="1" si="4"/>
        <v>6.793614408061952</v>
      </c>
      <c r="K107">
        <f t="shared" ca="1" si="5"/>
        <v>2.2369672734031017E-3</v>
      </c>
      <c r="R107" t="e">
        <f t="shared" si="6"/>
        <v>#NUM!</v>
      </c>
      <c r="U107" s="55" t="e">
        <f t="shared" si="7"/>
        <v>#NUM!</v>
      </c>
    </row>
    <row r="108" spans="4:21">
      <c r="D108">
        <f t="shared" ca="1" si="4"/>
        <v>5.119775609494237</v>
      </c>
      <c r="K108">
        <f t="shared" ca="1" si="5"/>
        <v>2.4511777794404841</v>
      </c>
      <c r="R108" t="e">
        <f t="shared" si="6"/>
        <v>#NUM!</v>
      </c>
      <c r="U108" s="55" t="e">
        <f t="shared" si="7"/>
        <v>#NUM!</v>
      </c>
    </row>
    <row r="109" spans="4:21">
      <c r="D109">
        <f t="shared" ca="1" si="4"/>
        <v>10.249891588692464</v>
      </c>
      <c r="K109">
        <f t="shared" ca="1" si="5"/>
        <v>1.3816998704691748</v>
      </c>
      <c r="R109" t="e">
        <f t="shared" si="6"/>
        <v>#NUM!</v>
      </c>
      <c r="U109" s="55" t="e">
        <f t="shared" si="7"/>
        <v>#NUM!</v>
      </c>
    </row>
    <row r="110" spans="4:21">
      <c r="D110">
        <f t="shared" ca="1" si="4"/>
        <v>8.017302219058358</v>
      </c>
      <c r="K110">
        <f t="shared" ca="1" si="5"/>
        <v>4.4931848931905218</v>
      </c>
      <c r="R110" t="e">
        <f t="shared" si="6"/>
        <v>#NUM!</v>
      </c>
      <c r="U110" s="55" t="e">
        <f t="shared" si="7"/>
        <v>#NUM!</v>
      </c>
    </row>
    <row r="111" spans="4:21">
      <c r="D111">
        <f t="shared" ca="1" si="4"/>
        <v>3.764650684439161</v>
      </c>
      <c r="K111">
        <f t="shared" ca="1" si="5"/>
        <v>6.4049719790657544</v>
      </c>
      <c r="R111" t="e">
        <f t="shared" si="6"/>
        <v>#NUM!</v>
      </c>
      <c r="U111" s="55" t="e">
        <f t="shared" si="7"/>
        <v>#NUM!</v>
      </c>
    </row>
    <row r="112" spans="4:21">
      <c r="D112">
        <f t="shared" ca="1" si="4"/>
        <v>2.5596183432051225</v>
      </c>
      <c r="K112">
        <f t="shared" ca="1" si="5"/>
        <v>5.7492587658540266</v>
      </c>
      <c r="R112" t="e">
        <f t="shared" si="6"/>
        <v>#NUM!</v>
      </c>
      <c r="U112" s="55" t="e">
        <f t="shared" si="7"/>
        <v>#NUM!</v>
      </c>
    </row>
    <row r="113" spans="4:21">
      <c r="D113">
        <f t="shared" ca="1" si="4"/>
        <v>1.9849335993307031</v>
      </c>
      <c r="K113">
        <f t="shared" ca="1" si="5"/>
        <v>1.5162253907880223</v>
      </c>
      <c r="R113" t="e">
        <f t="shared" si="6"/>
        <v>#NUM!</v>
      </c>
      <c r="U113" s="55" t="e">
        <f t="shared" si="7"/>
        <v>#NUM!</v>
      </c>
    </row>
    <row r="114" spans="4:21">
      <c r="D114">
        <f t="shared" ca="1" si="4"/>
        <v>0.60326439557905065</v>
      </c>
      <c r="K114">
        <f t="shared" ca="1" si="5"/>
        <v>2.7534119302817119</v>
      </c>
      <c r="R114" t="e">
        <f t="shared" si="6"/>
        <v>#NUM!</v>
      </c>
      <c r="U114" s="55" t="e">
        <f t="shared" si="7"/>
        <v>#NUM!</v>
      </c>
    </row>
    <row r="115" spans="4:21">
      <c r="D115">
        <f t="shared" ca="1" si="4"/>
        <v>3.3638200798628564</v>
      </c>
      <c r="K115">
        <f t="shared" ca="1" si="5"/>
        <v>0.20720085334628924</v>
      </c>
      <c r="R115" t="e">
        <f t="shared" si="6"/>
        <v>#NUM!</v>
      </c>
      <c r="U115" s="55" t="e">
        <f t="shared" si="7"/>
        <v>#NUM!</v>
      </c>
    </row>
    <row r="116" spans="4:21">
      <c r="D116">
        <f t="shared" ca="1" si="4"/>
        <v>5.9986597242205075</v>
      </c>
      <c r="K116">
        <f t="shared" ca="1" si="5"/>
        <v>4.1528169177553238</v>
      </c>
      <c r="R116" t="e">
        <f t="shared" si="6"/>
        <v>#NUM!</v>
      </c>
      <c r="U116" s="55" t="e">
        <f t="shared" si="7"/>
        <v>#NUM!</v>
      </c>
    </row>
    <row r="117" spans="4:21">
      <c r="D117">
        <f t="shared" ca="1" si="4"/>
        <v>6.2796330004685394</v>
      </c>
      <c r="K117">
        <f t="shared" ca="1" si="5"/>
        <v>3.0672207224320127</v>
      </c>
      <c r="R117" t="e">
        <f t="shared" si="6"/>
        <v>#NUM!</v>
      </c>
      <c r="U117" s="55" t="e">
        <f t="shared" si="7"/>
        <v>#NUM!</v>
      </c>
    </row>
    <row r="118" spans="4:21">
      <c r="D118">
        <f t="shared" ca="1" si="4"/>
        <v>3.806341114187739</v>
      </c>
      <c r="K118">
        <f t="shared" ca="1" si="5"/>
        <v>4.5139259202447786</v>
      </c>
      <c r="R118" t="e">
        <f t="shared" si="6"/>
        <v>#NUM!</v>
      </c>
      <c r="U118" s="55" t="e">
        <f t="shared" si="7"/>
        <v>#NUM!</v>
      </c>
    </row>
    <row r="119" spans="4:21">
      <c r="D119">
        <f t="shared" ca="1" si="4"/>
        <v>0.1829692761929268</v>
      </c>
      <c r="K119">
        <f t="shared" ca="1" si="5"/>
        <v>0.7654633583094399</v>
      </c>
      <c r="R119" t="e">
        <f t="shared" si="6"/>
        <v>#NUM!</v>
      </c>
      <c r="U119" s="55" t="e">
        <f t="shared" si="7"/>
        <v>#NUM!</v>
      </c>
    </row>
    <row r="120" spans="4:21">
      <c r="D120">
        <f t="shared" ca="1" si="4"/>
        <v>10.618410873879967</v>
      </c>
      <c r="K120">
        <f t="shared" ca="1" si="5"/>
        <v>1.1805913949060272</v>
      </c>
      <c r="R120" t="e">
        <f t="shared" si="6"/>
        <v>#NUM!</v>
      </c>
      <c r="U120" s="55" t="e">
        <f t="shared" si="7"/>
        <v>#NUM!</v>
      </c>
    </row>
    <row r="121" spans="4:21">
      <c r="D121">
        <f t="shared" ca="1" si="4"/>
        <v>16.605819435355336</v>
      </c>
      <c r="K121">
        <f t="shared" ca="1" si="5"/>
        <v>2.2948726368719834</v>
      </c>
      <c r="R121" t="e">
        <f t="shared" si="6"/>
        <v>#NUM!</v>
      </c>
      <c r="U121" s="55" t="e">
        <f t="shared" si="7"/>
        <v>#NUM!</v>
      </c>
    </row>
    <row r="122" spans="4:21">
      <c r="D122">
        <f t="shared" ca="1" si="4"/>
        <v>44.362902960684906</v>
      </c>
      <c r="K122">
        <f t="shared" ca="1" si="5"/>
        <v>7.8083323524676533</v>
      </c>
      <c r="R122" t="e">
        <f t="shared" si="6"/>
        <v>#NUM!</v>
      </c>
      <c r="U122" s="55" t="e">
        <f t="shared" si="7"/>
        <v>#NUM!</v>
      </c>
    </row>
    <row r="123" spans="4:21">
      <c r="D123">
        <f t="shared" ca="1" si="4"/>
        <v>3.0449305452781026</v>
      </c>
      <c r="K123">
        <f t="shared" ca="1" si="5"/>
        <v>0.87070784216240971</v>
      </c>
      <c r="R123" t="e">
        <f t="shared" si="6"/>
        <v>#NUM!</v>
      </c>
      <c r="U123" s="55" t="e">
        <f t="shared" si="7"/>
        <v>#NUM!</v>
      </c>
    </row>
    <row r="124" spans="4:21">
      <c r="D124">
        <f t="shared" ca="1" si="4"/>
        <v>0.51220424783689156</v>
      </c>
      <c r="K124">
        <f t="shared" ca="1" si="5"/>
        <v>0.43167279626860555</v>
      </c>
      <c r="R124" t="e">
        <f t="shared" si="6"/>
        <v>#NUM!</v>
      </c>
      <c r="U124" s="55" t="e">
        <f t="shared" si="7"/>
        <v>#NUM!</v>
      </c>
    </row>
    <row r="125" spans="4:21">
      <c r="D125">
        <f t="shared" ca="1" si="4"/>
        <v>3.1612509637782118</v>
      </c>
      <c r="K125">
        <f t="shared" ca="1" si="5"/>
        <v>0.2057705916484095</v>
      </c>
      <c r="R125" t="e">
        <f t="shared" si="6"/>
        <v>#NUM!</v>
      </c>
      <c r="U125" s="55" t="e">
        <f t="shared" si="7"/>
        <v>#NUM!</v>
      </c>
    </row>
    <row r="126" spans="4:21">
      <c r="D126">
        <f t="shared" ca="1" si="4"/>
        <v>7.9353696302305412</v>
      </c>
      <c r="K126">
        <f t="shared" ca="1" si="5"/>
        <v>7.2699148294586315</v>
      </c>
      <c r="R126" t="e">
        <f t="shared" si="6"/>
        <v>#NUM!</v>
      </c>
      <c r="U126" s="55" t="e">
        <f t="shared" si="7"/>
        <v>#NUM!</v>
      </c>
    </row>
    <row r="127" spans="4:21">
      <c r="D127">
        <f t="shared" ca="1" si="4"/>
        <v>8.1361584620506161E-2</v>
      </c>
      <c r="K127">
        <f t="shared" ca="1" si="5"/>
        <v>0.31062312688311333</v>
      </c>
      <c r="R127" t="e">
        <f t="shared" si="6"/>
        <v>#NUM!</v>
      </c>
      <c r="U127" s="55" t="e">
        <f t="shared" si="7"/>
        <v>#NUM!</v>
      </c>
    </row>
    <row r="128" spans="4:21">
      <c r="D128">
        <f t="shared" ca="1" si="4"/>
        <v>1.6491979324271742</v>
      </c>
      <c r="K128">
        <f t="shared" ca="1" si="5"/>
        <v>1.4600441907209118</v>
      </c>
      <c r="R128" t="e">
        <f t="shared" si="6"/>
        <v>#NUM!</v>
      </c>
      <c r="U128" s="55" t="e">
        <f t="shared" si="7"/>
        <v>#NUM!</v>
      </c>
    </row>
    <row r="129" spans="4:21">
      <c r="D129">
        <f t="shared" ca="1" si="4"/>
        <v>6.9666799455831896</v>
      </c>
      <c r="K129">
        <f t="shared" ca="1" si="5"/>
        <v>3.9940015381167431</v>
      </c>
      <c r="R129" t="e">
        <f t="shared" si="6"/>
        <v>#NUM!</v>
      </c>
      <c r="U129" s="55" t="e">
        <f t="shared" si="7"/>
        <v>#NUM!</v>
      </c>
    </row>
    <row r="130" spans="4:21">
      <c r="D130">
        <f t="shared" ref="D130:D193" ca="1" si="8">GAMMAINV(RAND(),$A$2,$B$2)</f>
        <v>13.680443702735086</v>
      </c>
      <c r="K130">
        <f t="shared" ref="K130:K193" ca="1" si="9">GAMMAINV(RAND(),$H$2,$I$2)</f>
        <v>0.93454786305271109</v>
      </c>
      <c r="R130" t="e">
        <f t="shared" si="6"/>
        <v>#NUM!</v>
      </c>
      <c r="U130" s="55" t="e">
        <f t="shared" si="7"/>
        <v>#NUM!</v>
      </c>
    </row>
    <row r="131" spans="4:21">
      <c r="D131">
        <f t="shared" ca="1" si="8"/>
        <v>8.8773587566391005E-2</v>
      </c>
      <c r="K131">
        <f t="shared" ca="1" si="9"/>
        <v>1.3197349299711303</v>
      </c>
      <c r="R131" t="e">
        <f t="shared" ref="R131:R194" si="10">EXP(-(((-LN(G131)^$P$2)+(-LN(L131))^$P$2)^(1/$P$2)))</f>
        <v>#NUM!</v>
      </c>
      <c r="U131" s="55" t="e">
        <f t="shared" ref="U131:U194" si="11">5.16/(1-R131)</f>
        <v>#NUM!</v>
      </c>
    </row>
    <row r="132" spans="4:21">
      <c r="D132">
        <f t="shared" ca="1" si="8"/>
        <v>4.8427071207842651</v>
      </c>
      <c r="K132">
        <f t="shared" ca="1" si="9"/>
        <v>0.58148057690838684</v>
      </c>
      <c r="R132" t="e">
        <f t="shared" si="10"/>
        <v>#NUM!</v>
      </c>
      <c r="U132" s="55" t="e">
        <f t="shared" si="11"/>
        <v>#NUM!</v>
      </c>
    </row>
    <row r="133" spans="4:21">
      <c r="D133">
        <f t="shared" ca="1" si="8"/>
        <v>3.4565757202131842</v>
      </c>
      <c r="K133">
        <f t="shared" ca="1" si="9"/>
        <v>9.8245947245850083</v>
      </c>
      <c r="R133" t="e">
        <f t="shared" si="10"/>
        <v>#NUM!</v>
      </c>
      <c r="U133" s="55" t="e">
        <f t="shared" si="11"/>
        <v>#NUM!</v>
      </c>
    </row>
    <row r="134" spans="4:21">
      <c r="D134">
        <f t="shared" ca="1" si="8"/>
        <v>0.35703276480915458</v>
      </c>
      <c r="K134">
        <f t="shared" ca="1" si="9"/>
        <v>2.4691270681074364</v>
      </c>
      <c r="R134" t="e">
        <f t="shared" si="10"/>
        <v>#NUM!</v>
      </c>
      <c r="U134" s="55" t="e">
        <f t="shared" si="11"/>
        <v>#NUM!</v>
      </c>
    </row>
    <row r="135" spans="4:21">
      <c r="D135">
        <f t="shared" ca="1" si="8"/>
        <v>6.3165758622865553</v>
      </c>
      <c r="K135">
        <f t="shared" ca="1" si="9"/>
        <v>0.90112668415124952</v>
      </c>
      <c r="R135" t="e">
        <f t="shared" si="10"/>
        <v>#NUM!</v>
      </c>
      <c r="U135" s="55" t="e">
        <f t="shared" si="11"/>
        <v>#NUM!</v>
      </c>
    </row>
    <row r="136" spans="4:21">
      <c r="D136">
        <f t="shared" ca="1" si="8"/>
        <v>5.821070749278516E-2</v>
      </c>
      <c r="K136">
        <f t="shared" ca="1" si="9"/>
        <v>0.7494116347001798</v>
      </c>
      <c r="R136" t="e">
        <f t="shared" si="10"/>
        <v>#NUM!</v>
      </c>
      <c r="U136" s="55" t="e">
        <f t="shared" si="11"/>
        <v>#NUM!</v>
      </c>
    </row>
    <row r="137" spans="4:21">
      <c r="D137">
        <f t="shared" ca="1" si="8"/>
        <v>1.890195388296839</v>
      </c>
      <c r="K137">
        <f t="shared" ca="1" si="9"/>
        <v>1.5904852948261246</v>
      </c>
      <c r="R137" t="e">
        <f t="shared" si="10"/>
        <v>#NUM!</v>
      </c>
      <c r="U137" s="55" t="e">
        <f t="shared" si="11"/>
        <v>#NUM!</v>
      </c>
    </row>
    <row r="138" spans="4:21">
      <c r="D138">
        <f t="shared" ca="1" si="8"/>
        <v>6.8834255073851995</v>
      </c>
      <c r="K138">
        <f t="shared" ca="1" si="9"/>
        <v>9.125939247356694</v>
      </c>
      <c r="R138" t="e">
        <f t="shared" si="10"/>
        <v>#NUM!</v>
      </c>
      <c r="U138" s="55" t="e">
        <f t="shared" si="11"/>
        <v>#NUM!</v>
      </c>
    </row>
    <row r="139" spans="4:21">
      <c r="D139">
        <f t="shared" ca="1" si="8"/>
        <v>6.9738764683841131E-2</v>
      </c>
      <c r="K139">
        <f t="shared" ca="1" si="9"/>
        <v>2.7971096890042642</v>
      </c>
      <c r="R139" t="e">
        <f t="shared" si="10"/>
        <v>#NUM!</v>
      </c>
      <c r="U139" s="55" t="e">
        <f t="shared" si="11"/>
        <v>#NUM!</v>
      </c>
    </row>
    <row r="140" spans="4:21">
      <c r="D140">
        <f t="shared" ca="1" si="8"/>
        <v>0.27471992636195464</v>
      </c>
      <c r="K140">
        <f t="shared" ca="1" si="9"/>
        <v>4.9015360493718401</v>
      </c>
      <c r="R140" t="e">
        <f t="shared" si="10"/>
        <v>#NUM!</v>
      </c>
      <c r="U140" s="55" t="e">
        <f t="shared" si="11"/>
        <v>#NUM!</v>
      </c>
    </row>
    <row r="141" spans="4:21">
      <c r="D141">
        <f t="shared" ca="1" si="8"/>
        <v>12.353135151670532</v>
      </c>
      <c r="K141">
        <f t="shared" ca="1" si="9"/>
        <v>4.1561732514265213</v>
      </c>
      <c r="R141" t="e">
        <f t="shared" si="10"/>
        <v>#NUM!</v>
      </c>
      <c r="U141" s="55" t="e">
        <f t="shared" si="11"/>
        <v>#NUM!</v>
      </c>
    </row>
    <row r="142" spans="4:21">
      <c r="D142">
        <f t="shared" ca="1" si="8"/>
        <v>34.997745194749655</v>
      </c>
      <c r="K142">
        <f t="shared" ca="1" si="9"/>
        <v>5.2511657000827956</v>
      </c>
      <c r="R142" t="e">
        <f t="shared" si="10"/>
        <v>#NUM!</v>
      </c>
      <c r="U142" s="55" t="e">
        <f t="shared" si="11"/>
        <v>#NUM!</v>
      </c>
    </row>
    <row r="143" spans="4:21">
      <c r="D143">
        <f t="shared" ca="1" si="8"/>
        <v>2.0866817847264176</v>
      </c>
      <c r="K143">
        <f t="shared" ca="1" si="9"/>
        <v>0.85932597414137946</v>
      </c>
      <c r="R143" t="e">
        <f t="shared" si="10"/>
        <v>#NUM!</v>
      </c>
      <c r="U143" s="55" t="e">
        <f t="shared" si="11"/>
        <v>#NUM!</v>
      </c>
    </row>
    <row r="144" spans="4:21">
      <c r="D144">
        <f t="shared" ca="1" si="8"/>
        <v>30.063852710924699</v>
      </c>
      <c r="K144">
        <f t="shared" ca="1" si="9"/>
        <v>5.4584342923026039</v>
      </c>
      <c r="R144" t="e">
        <f t="shared" si="10"/>
        <v>#NUM!</v>
      </c>
      <c r="U144" s="55" t="e">
        <f t="shared" si="11"/>
        <v>#NUM!</v>
      </c>
    </row>
    <row r="145" spans="4:21">
      <c r="D145">
        <f t="shared" ca="1" si="8"/>
        <v>10.84675521777346</v>
      </c>
      <c r="K145">
        <f t="shared" ca="1" si="9"/>
        <v>0.53256540242574224</v>
      </c>
      <c r="R145" t="e">
        <f t="shared" si="10"/>
        <v>#NUM!</v>
      </c>
      <c r="U145" s="55" t="e">
        <f t="shared" si="11"/>
        <v>#NUM!</v>
      </c>
    </row>
    <row r="146" spans="4:21">
      <c r="D146">
        <f t="shared" ca="1" si="8"/>
        <v>2.8564867557123286</v>
      </c>
      <c r="K146">
        <f t="shared" ca="1" si="9"/>
        <v>1.9797783419626978</v>
      </c>
      <c r="R146" t="e">
        <f t="shared" si="10"/>
        <v>#NUM!</v>
      </c>
      <c r="U146" s="55" t="e">
        <f t="shared" si="11"/>
        <v>#NUM!</v>
      </c>
    </row>
    <row r="147" spans="4:21">
      <c r="D147">
        <f t="shared" ca="1" si="8"/>
        <v>2.4598959255563688</v>
      </c>
      <c r="K147">
        <f t="shared" ca="1" si="9"/>
        <v>2.578688950559898</v>
      </c>
      <c r="R147" t="e">
        <f t="shared" si="10"/>
        <v>#NUM!</v>
      </c>
      <c r="U147" s="55" t="e">
        <f t="shared" si="11"/>
        <v>#NUM!</v>
      </c>
    </row>
    <row r="148" spans="4:21">
      <c r="D148">
        <f t="shared" ca="1" si="8"/>
        <v>1.0214488189668938</v>
      </c>
      <c r="K148">
        <f t="shared" ca="1" si="9"/>
        <v>0.3541348566458159</v>
      </c>
      <c r="R148" t="e">
        <f t="shared" si="10"/>
        <v>#NUM!</v>
      </c>
      <c r="U148" s="55" t="e">
        <f t="shared" si="11"/>
        <v>#NUM!</v>
      </c>
    </row>
    <row r="149" spans="4:21">
      <c r="D149">
        <f t="shared" ca="1" si="8"/>
        <v>0.35704082066705023</v>
      </c>
      <c r="K149">
        <f t="shared" ca="1" si="9"/>
        <v>1.3942982092852838</v>
      </c>
      <c r="R149" t="e">
        <f t="shared" si="10"/>
        <v>#NUM!</v>
      </c>
      <c r="U149" s="55" t="e">
        <f t="shared" si="11"/>
        <v>#NUM!</v>
      </c>
    </row>
    <row r="150" spans="4:21">
      <c r="D150">
        <f t="shared" ca="1" si="8"/>
        <v>5.6847906532387853</v>
      </c>
      <c r="K150">
        <f t="shared" ca="1" si="9"/>
        <v>3.6114985347595736</v>
      </c>
      <c r="R150" t="e">
        <f t="shared" si="10"/>
        <v>#NUM!</v>
      </c>
      <c r="U150" s="55" t="e">
        <f t="shared" si="11"/>
        <v>#NUM!</v>
      </c>
    </row>
    <row r="151" spans="4:21">
      <c r="D151">
        <f t="shared" ca="1" si="8"/>
        <v>1.6753384667720894</v>
      </c>
      <c r="K151">
        <f t="shared" ca="1" si="9"/>
        <v>6.9568668293084741</v>
      </c>
      <c r="R151" t="e">
        <f t="shared" si="10"/>
        <v>#NUM!</v>
      </c>
      <c r="U151" s="55" t="e">
        <f t="shared" si="11"/>
        <v>#NUM!</v>
      </c>
    </row>
    <row r="152" spans="4:21">
      <c r="D152">
        <f t="shared" ca="1" si="8"/>
        <v>1.113822420100115</v>
      </c>
      <c r="K152">
        <f t="shared" ca="1" si="9"/>
        <v>1.9173715991110849</v>
      </c>
      <c r="R152" t="e">
        <f t="shared" si="10"/>
        <v>#NUM!</v>
      </c>
      <c r="U152" s="55" t="e">
        <f t="shared" si="11"/>
        <v>#NUM!</v>
      </c>
    </row>
    <row r="153" spans="4:21">
      <c r="D153">
        <f t="shared" ca="1" si="8"/>
        <v>2.7461278387517316</v>
      </c>
      <c r="K153">
        <f t="shared" ca="1" si="9"/>
        <v>6.013767847614309</v>
      </c>
      <c r="R153" t="e">
        <f t="shared" si="10"/>
        <v>#NUM!</v>
      </c>
      <c r="U153" s="55" t="e">
        <f t="shared" si="11"/>
        <v>#NUM!</v>
      </c>
    </row>
    <row r="154" spans="4:21">
      <c r="D154">
        <f t="shared" ca="1" si="8"/>
        <v>0.70697860579741389</v>
      </c>
      <c r="K154">
        <f t="shared" ca="1" si="9"/>
        <v>1.9036233350496605</v>
      </c>
      <c r="R154" t="e">
        <f t="shared" si="10"/>
        <v>#NUM!</v>
      </c>
      <c r="U154" s="55" t="e">
        <f t="shared" si="11"/>
        <v>#NUM!</v>
      </c>
    </row>
    <row r="155" spans="4:21">
      <c r="D155">
        <f t="shared" ca="1" si="8"/>
        <v>1.9182121539318491</v>
      </c>
      <c r="K155">
        <f t="shared" ca="1" si="9"/>
        <v>0.37909773754206899</v>
      </c>
      <c r="R155" t="e">
        <f t="shared" si="10"/>
        <v>#NUM!</v>
      </c>
      <c r="U155" s="55" t="e">
        <f t="shared" si="11"/>
        <v>#NUM!</v>
      </c>
    </row>
    <row r="156" spans="4:21">
      <c r="D156">
        <f t="shared" ca="1" si="8"/>
        <v>2.0481684120472519</v>
      </c>
      <c r="K156">
        <f t="shared" ca="1" si="9"/>
        <v>1.9314256981380526</v>
      </c>
      <c r="R156" t="e">
        <f t="shared" si="10"/>
        <v>#NUM!</v>
      </c>
      <c r="U156" s="55" t="e">
        <f t="shared" si="11"/>
        <v>#NUM!</v>
      </c>
    </row>
    <row r="157" spans="4:21">
      <c r="D157">
        <f t="shared" ca="1" si="8"/>
        <v>6.2112373773302583</v>
      </c>
      <c r="K157">
        <f t="shared" ca="1" si="9"/>
        <v>1.2581024631876181</v>
      </c>
      <c r="R157" t="e">
        <f t="shared" si="10"/>
        <v>#NUM!</v>
      </c>
      <c r="U157" s="55" t="e">
        <f t="shared" si="11"/>
        <v>#NUM!</v>
      </c>
    </row>
    <row r="158" spans="4:21">
      <c r="D158">
        <f t="shared" ca="1" si="8"/>
        <v>5.6350909307652302</v>
      </c>
      <c r="K158">
        <f t="shared" ca="1" si="9"/>
        <v>2.4952746257760401</v>
      </c>
      <c r="R158" t="e">
        <f t="shared" si="10"/>
        <v>#NUM!</v>
      </c>
      <c r="U158" s="55" t="e">
        <f t="shared" si="11"/>
        <v>#NUM!</v>
      </c>
    </row>
    <row r="159" spans="4:21">
      <c r="D159">
        <f t="shared" ca="1" si="8"/>
        <v>4.7940465700799049</v>
      </c>
      <c r="K159">
        <f t="shared" ca="1" si="9"/>
        <v>2.7607061655277709</v>
      </c>
      <c r="R159" t="e">
        <f t="shared" si="10"/>
        <v>#NUM!</v>
      </c>
      <c r="U159" s="55" t="e">
        <f t="shared" si="11"/>
        <v>#NUM!</v>
      </c>
    </row>
    <row r="160" spans="4:21">
      <c r="D160">
        <f t="shared" ca="1" si="8"/>
        <v>1.1156139858400085</v>
      </c>
      <c r="K160">
        <f t="shared" ca="1" si="9"/>
        <v>4.3292428158056335</v>
      </c>
      <c r="R160" t="e">
        <f t="shared" si="10"/>
        <v>#NUM!</v>
      </c>
      <c r="U160" s="55" t="e">
        <f t="shared" si="11"/>
        <v>#NUM!</v>
      </c>
    </row>
    <row r="161" spans="4:21">
      <c r="D161">
        <f t="shared" ca="1" si="8"/>
        <v>1.596703512380635</v>
      </c>
      <c r="K161">
        <f t="shared" ca="1" si="9"/>
        <v>1.1853901202674262</v>
      </c>
      <c r="R161" t="e">
        <f t="shared" si="10"/>
        <v>#NUM!</v>
      </c>
      <c r="U161" s="55" t="e">
        <f t="shared" si="11"/>
        <v>#NUM!</v>
      </c>
    </row>
    <row r="162" spans="4:21">
      <c r="D162">
        <f t="shared" ca="1" si="8"/>
        <v>12.209198333368352</v>
      </c>
      <c r="K162">
        <f t="shared" ca="1" si="9"/>
        <v>0.88596810813848226</v>
      </c>
      <c r="R162" t="e">
        <f t="shared" si="10"/>
        <v>#NUM!</v>
      </c>
      <c r="U162" s="55" t="e">
        <f t="shared" si="11"/>
        <v>#NUM!</v>
      </c>
    </row>
    <row r="163" spans="4:21">
      <c r="D163">
        <f t="shared" ca="1" si="8"/>
        <v>4.2695694525807451</v>
      </c>
      <c r="K163">
        <f t="shared" ca="1" si="9"/>
        <v>1.7761509876821382</v>
      </c>
      <c r="R163" t="e">
        <f t="shared" si="10"/>
        <v>#NUM!</v>
      </c>
      <c r="U163" s="55" t="e">
        <f t="shared" si="11"/>
        <v>#NUM!</v>
      </c>
    </row>
    <row r="164" spans="4:21">
      <c r="D164">
        <f t="shared" ca="1" si="8"/>
        <v>6.9457274024070514</v>
      </c>
      <c r="K164">
        <f t="shared" ca="1" si="9"/>
        <v>0.45290218668111237</v>
      </c>
      <c r="R164" t="e">
        <f t="shared" si="10"/>
        <v>#NUM!</v>
      </c>
      <c r="U164" s="55" t="e">
        <f t="shared" si="11"/>
        <v>#NUM!</v>
      </c>
    </row>
    <row r="165" spans="4:21">
      <c r="D165">
        <f t="shared" ca="1" si="8"/>
        <v>12.339118947083296</v>
      </c>
      <c r="K165">
        <f t="shared" ca="1" si="9"/>
        <v>3.1337751549027839</v>
      </c>
      <c r="R165" t="e">
        <f t="shared" si="10"/>
        <v>#NUM!</v>
      </c>
      <c r="U165" s="55" t="e">
        <f t="shared" si="11"/>
        <v>#NUM!</v>
      </c>
    </row>
    <row r="166" spans="4:21">
      <c r="D166">
        <f t="shared" ca="1" si="8"/>
        <v>5.2894240209182417</v>
      </c>
      <c r="K166">
        <f t="shared" ca="1" si="9"/>
        <v>4.534809986046751</v>
      </c>
      <c r="R166" t="e">
        <f t="shared" si="10"/>
        <v>#NUM!</v>
      </c>
      <c r="U166" s="55" t="e">
        <f t="shared" si="11"/>
        <v>#NUM!</v>
      </c>
    </row>
    <row r="167" spans="4:21">
      <c r="D167">
        <f t="shared" ca="1" si="8"/>
        <v>0.12816360158466489</v>
      </c>
      <c r="K167">
        <f t="shared" ca="1" si="9"/>
        <v>3.8370558834700734</v>
      </c>
      <c r="R167" t="e">
        <f t="shared" si="10"/>
        <v>#NUM!</v>
      </c>
      <c r="U167" s="55" t="e">
        <f t="shared" si="11"/>
        <v>#NUM!</v>
      </c>
    </row>
    <row r="168" spans="4:21">
      <c r="D168">
        <f t="shared" ca="1" si="8"/>
        <v>5.0604203254576348</v>
      </c>
      <c r="K168">
        <f t="shared" ca="1" si="9"/>
        <v>3.8323535954076036</v>
      </c>
      <c r="R168" t="e">
        <f t="shared" si="10"/>
        <v>#NUM!</v>
      </c>
      <c r="U168" s="55" t="e">
        <f t="shared" si="11"/>
        <v>#NUM!</v>
      </c>
    </row>
    <row r="169" spans="4:21">
      <c r="D169">
        <f t="shared" ca="1" si="8"/>
        <v>0.13076821721326332</v>
      </c>
      <c r="K169">
        <f t="shared" ca="1" si="9"/>
        <v>7.3952859211366739</v>
      </c>
      <c r="R169" t="e">
        <f t="shared" si="10"/>
        <v>#NUM!</v>
      </c>
      <c r="U169" s="55" t="e">
        <f t="shared" si="11"/>
        <v>#NUM!</v>
      </c>
    </row>
    <row r="170" spans="4:21">
      <c r="D170">
        <f t="shared" ca="1" si="8"/>
        <v>3.6107293520838821</v>
      </c>
      <c r="K170">
        <f t="shared" ca="1" si="9"/>
        <v>0.49475619295180773</v>
      </c>
      <c r="R170" t="e">
        <f t="shared" si="10"/>
        <v>#NUM!</v>
      </c>
      <c r="U170" s="55" t="e">
        <f t="shared" si="11"/>
        <v>#NUM!</v>
      </c>
    </row>
    <row r="171" spans="4:21">
      <c r="D171">
        <f t="shared" ca="1" si="8"/>
        <v>2.2113935920317243</v>
      </c>
      <c r="K171">
        <f t="shared" ca="1" si="9"/>
        <v>3.9738218441102902</v>
      </c>
      <c r="R171" t="e">
        <f t="shared" si="10"/>
        <v>#NUM!</v>
      </c>
      <c r="U171" s="55" t="e">
        <f t="shared" si="11"/>
        <v>#NUM!</v>
      </c>
    </row>
    <row r="172" spans="4:21">
      <c r="D172">
        <f t="shared" ca="1" si="8"/>
        <v>8.2782539532460753</v>
      </c>
      <c r="K172">
        <f t="shared" ca="1" si="9"/>
        <v>2.6883648269172298</v>
      </c>
      <c r="R172" t="e">
        <f t="shared" si="10"/>
        <v>#NUM!</v>
      </c>
      <c r="U172" s="55" t="e">
        <f t="shared" si="11"/>
        <v>#NUM!</v>
      </c>
    </row>
    <row r="173" spans="4:21">
      <c r="D173">
        <f t="shared" ca="1" si="8"/>
        <v>6.1638592330286471E-2</v>
      </c>
      <c r="K173">
        <f t="shared" ca="1" si="9"/>
        <v>1.2178434130272011</v>
      </c>
      <c r="R173" t="e">
        <f t="shared" si="10"/>
        <v>#NUM!</v>
      </c>
      <c r="U173" s="55" t="e">
        <f t="shared" si="11"/>
        <v>#NUM!</v>
      </c>
    </row>
    <row r="174" spans="4:21">
      <c r="D174">
        <f t="shared" ca="1" si="8"/>
        <v>1.1549297525790823</v>
      </c>
      <c r="K174">
        <f t="shared" ca="1" si="9"/>
        <v>3.7098822956452624</v>
      </c>
      <c r="R174" t="e">
        <f t="shared" si="10"/>
        <v>#NUM!</v>
      </c>
      <c r="U174" s="55" t="e">
        <f t="shared" si="11"/>
        <v>#NUM!</v>
      </c>
    </row>
    <row r="175" spans="4:21">
      <c r="D175">
        <f t="shared" ca="1" si="8"/>
        <v>7.521099684416539</v>
      </c>
      <c r="K175">
        <f t="shared" ca="1" si="9"/>
        <v>3.107955063080133E-3</v>
      </c>
      <c r="R175" t="e">
        <f t="shared" si="10"/>
        <v>#NUM!</v>
      </c>
      <c r="U175" s="55" t="e">
        <f t="shared" si="11"/>
        <v>#NUM!</v>
      </c>
    </row>
    <row r="176" spans="4:21">
      <c r="D176">
        <f t="shared" ca="1" si="8"/>
        <v>6.7294873283227545</v>
      </c>
      <c r="K176">
        <f t="shared" ca="1" si="9"/>
        <v>0.67691648491801693</v>
      </c>
      <c r="R176" t="e">
        <f t="shared" si="10"/>
        <v>#NUM!</v>
      </c>
      <c r="U176" s="55" t="e">
        <f t="shared" si="11"/>
        <v>#NUM!</v>
      </c>
    </row>
    <row r="177" spans="4:21">
      <c r="D177">
        <f t="shared" ca="1" si="8"/>
        <v>6.5249731040432852</v>
      </c>
      <c r="K177">
        <f t="shared" ca="1" si="9"/>
        <v>6.7867369040304268</v>
      </c>
      <c r="R177" t="e">
        <f t="shared" si="10"/>
        <v>#NUM!</v>
      </c>
      <c r="U177" s="55" t="e">
        <f t="shared" si="11"/>
        <v>#NUM!</v>
      </c>
    </row>
    <row r="178" spans="4:21">
      <c r="D178">
        <f t="shared" ca="1" si="8"/>
        <v>5.0918000508043626</v>
      </c>
      <c r="K178">
        <f t="shared" ca="1" si="9"/>
        <v>2.4578250674569833E-2</v>
      </c>
      <c r="R178" t="e">
        <f t="shared" si="10"/>
        <v>#NUM!</v>
      </c>
      <c r="U178" s="55" t="e">
        <f t="shared" si="11"/>
        <v>#NUM!</v>
      </c>
    </row>
    <row r="179" spans="4:21">
      <c r="D179">
        <f t="shared" ca="1" si="8"/>
        <v>3.5933042733025999</v>
      </c>
      <c r="K179">
        <f t="shared" ca="1" si="9"/>
        <v>4.2005993151526226</v>
      </c>
      <c r="R179" t="e">
        <f t="shared" si="10"/>
        <v>#NUM!</v>
      </c>
      <c r="U179" s="55" t="e">
        <f t="shared" si="11"/>
        <v>#NUM!</v>
      </c>
    </row>
    <row r="180" spans="4:21">
      <c r="D180">
        <f t="shared" ca="1" si="8"/>
        <v>2.7275097018072074</v>
      </c>
      <c r="K180">
        <f t="shared" ca="1" si="9"/>
        <v>3.6829568946918227</v>
      </c>
      <c r="R180" t="e">
        <f t="shared" si="10"/>
        <v>#NUM!</v>
      </c>
      <c r="U180" s="55" t="e">
        <f t="shared" si="11"/>
        <v>#NUM!</v>
      </c>
    </row>
    <row r="181" spans="4:21">
      <c r="D181">
        <f t="shared" ca="1" si="8"/>
        <v>1.54177207252931</v>
      </c>
      <c r="K181">
        <f t="shared" ca="1" si="9"/>
        <v>3.5005520487813246</v>
      </c>
      <c r="R181" t="e">
        <f t="shared" si="10"/>
        <v>#NUM!</v>
      </c>
      <c r="U181" s="55" t="e">
        <f t="shared" si="11"/>
        <v>#NUM!</v>
      </c>
    </row>
    <row r="182" spans="4:21">
      <c r="D182">
        <f t="shared" ca="1" si="8"/>
        <v>6.2660742108113876</v>
      </c>
      <c r="K182">
        <f t="shared" ca="1" si="9"/>
        <v>0.27878757988836955</v>
      </c>
      <c r="R182" t="e">
        <f t="shared" si="10"/>
        <v>#NUM!</v>
      </c>
      <c r="U182" s="55" t="e">
        <f t="shared" si="11"/>
        <v>#NUM!</v>
      </c>
    </row>
    <row r="183" spans="4:21">
      <c r="D183">
        <f t="shared" ca="1" si="8"/>
        <v>3.1129560755173165</v>
      </c>
      <c r="K183">
        <f t="shared" ca="1" si="9"/>
        <v>1.1386074351750501</v>
      </c>
      <c r="R183" t="e">
        <f t="shared" si="10"/>
        <v>#NUM!</v>
      </c>
      <c r="S183" s="62"/>
      <c r="T183" s="62"/>
      <c r="U183" s="55" t="e">
        <f t="shared" si="11"/>
        <v>#NUM!</v>
      </c>
    </row>
    <row r="184" spans="4:21">
      <c r="D184">
        <f t="shared" ca="1" si="8"/>
        <v>1.7560655515112065</v>
      </c>
      <c r="K184">
        <f t="shared" ca="1" si="9"/>
        <v>0.43617613763754248</v>
      </c>
      <c r="R184" t="e">
        <f t="shared" si="10"/>
        <v>#NUM!</v>
      </c>
      <c r="U184" s="55" t="e">
        <f t="shared" si="11"/>
        <v>#NUM!</v>
      </c>
    </row>
    <row r="185" spans="4:21">
      <c r="D185">
        <f t="shared" ca="1" si="8"/>
        <v>3.2021808497795563</v>
      </c>
      <c r="K185">
        <f t="shared" ca="1" si="9"/>
        <v>3.2311176319390705E-2</v>
      </c>
      <c r="R185" t="e">
        <f t="shared" si="10"/>
        <v>#NUM!</v>
      </c>
      <c r="U185" s="55" t="e">
        <f t="shared" si="11"/>
        <v>#NUM!</v>
      </c>
    </row>
    <row r="186" spans="4:21">
      <c r="D186">
        <f t="shared" ca="1" si="8"/>
        <v>1.3018041623773531</v>
      </c>
      <c r="K186">
        <f t="shared" ca="1" si="9"/>
        <v>14.46121513144524</v>
      </c>
      <c r="R186" t="e">
        <f t="shared" si="10"/>
        <v>#NUM!</v>
      </c>
      <c r="U186" s="55" t="e">
        <f t="shared" si="11"/>
        <v>#NUM!</v>
      </c>
    </row>
    <row r="187" spans="4:21">
      <c r="D187">
        <f t="shared" ca="1" si="8"/>
        <v>6.6969857312922318</v>
      </c>
      <c r="K187">
        <f t="shared" ca="1" si="9"/>
        <v>0.21386817599923785</v>
      </c>
      <c r="R187" t="e">
        <f t="shared" si="10"/>
        <v>#NUM!</v>
      </c>
      <c r="U187" s="55" t="e">
        <f t="shared" si="11"/>
        <v>#NUM!</v>
      </c>
    </row>
    <row r="188" spans="4:21">
      <c r="D188">
        <f t="shared" ca="1" si="8"/>
        <v>1.8662958696122907</v>
      </c>
      <c r="K188">
        <f t="shared" ca="1" si="9"/>
        <v>1.7194912787808523</v>
      </c>
      <c r="R188" t="e">
        <f t="shared" si="10"/>
        <v>#NUM!</v>
      </c>
      <c r="U188" s="55" t="e">
        <f t="shared" si="11"/>
        <v>#NUM!</v>
      </c>
    </row>
    <row r="189" spans="4:21">
      <c r="D189">
        <f t="shared" ca="1" si="8"/>
        <v>2.1538561966023595</v>
      </c>
      <c r="K189">
        <f t="shared" ca="1" si="9"/>
        <v>5.6739447222339869</v>
      </c>
      <c r="R189" t="e">
        <f t="shared" si="10"/>
        <v>#NUM!</v>
      </c>
      <c r="U189" s="55" t="e">
        <f t="shared" si="11"/>
        <v>#NUM!</v>
      </c>
    </row>
    <row r="190" spans="4:21">
      <c r="D190">
        <f t="shared" ca="1" si="8"/>
        <v>7.2212223881770315E-2</v>
      </c>
      <c r="K190">
        <f t="shared" ca="1" si="9"/>
        <v>0.17086236563753393</v>
      </c>
      <c r="R190" t="e">
        <f t="shared" si="10"/>
        <v>#NUM!</v>
      </c>
      <c r="U190" s="55" t="e">
        <f t="shared" si="11"/>
        <v>#NUM!</v>
      </c>
    </row>
    <row r="191" spans="4:21">
      <c r="D191">
        <f t="shared" ca="1" si="8"/>
        <v>4.5266129277723604</v>
      </c>
      <c r="K191">
        <f t="shared" ca="1" si="9"/>
        <v>7.9293728015146971</v>
      </c>
      <c r="R191" t="e">
        <f t="shared" si="10"/>
        <v>#NUM!</v>
      </c>
      <c r="U191" s="55" t="e">
        <f t="shared" si="11"/>
        <v>#NUM!</v>
      </c>
    </row>
    <row r="192" spans="4:21">
      <c r="D192">
        <f t="shared" ca="1" si="8"/>
        <v>4.2026892475724384</v>
      </c>
      <c r="K192">
        <f t="shared" ca="1" si="9"/>
        <v>8.9398275518224629E-2</v>
      </c>
      <c r="R192" t="e">
        <f t="shared" si="10"/>
        <v>#NUM!</v>
      </c>
      <c r="U192" s="55" t="e">
        <f t="shared" si="11"/>
        <v>#NUM!</v>
      </c>
    </row>
    <row r="193" spans="4:21">
      <c r="D193">
        <f t="shared" ca="1" si="8"/>
        <v>3.1089492615814018</v>
      </c>
      <c r="K193">
        <f t="shared" ca="1" si="9"/>
        <v>6.4032029616386374</v>
      </c>
      <c r="R193" t="e">
        <f t="shared" si="10"/>
        <v>#NUM!</v>
      </c>
      <c r="U193" s="55" t="e">
        <f t="shared" si="11"/>
        <v>#NUM!</v>
      </c>
    </row>
    <row r="194" spans="4:21">
      <c r="D194">
        <f t="shared" ref="D194:D257" ca="1" si="12">GAMMAINV(RAND(),$A$2,$B$2)</f>
        <v>3.4064979504656305</v>
      </c>
      <c r="K194">
        <f t="shared" ref="K194:K257" ca="1" si="13">GAMMAINV(RAND(),$H$2,$I$2)</f>
        <v>0.58117329477999813</v>
      </c>
      <c r="R194" t="e">
        <f t="shared" si="10"/>
        <v>#NUM!</v>
      </c>
      <c r="U194" s="55" t="e">
        <f t="shared" si="11"/>
        <v>#NUM!</v>
      </c>
    </row>
    <row r="195" spans="4:21">
      <c r="D195">
        <f t="shared" ca="1" si="12"/>
        <v>1.7664870706971803</v>
      </c>
      <c r="K195">
        <f t="shared" ca="1" si="13"/>
        <v>0.40872242744674359</v>
      </c>
      <c r="R195" t="e">
        <f t="shared" ref="R195:R196" si="14">EXP(-(((-LN(G195)^$P$2)+(-LN(L195))^$P$2)^(1/$P$2)))</f>
        <v>#NUM!</v>
      </c>
      <c r="U195" s="55" t="e">
        <f t="shared" ref="U195:U196" si="15">5.16/(1-R195)</f>
        <v>#NUM!</v>
      </c>
    </row>
    <row r="196" spans="4:21">
      <c r="D196">
        <f t="shared" ca="1" si="12"/>
        <v>6.0641033526834835</v>
      </c>
      <c r="K196">
        <f t="shared" ca="1" si="13"/>
        <v>6.1869594021429801</v>
      </c>
      <c r="R196" t="e">
        <f t="shared" si="14"/>
        <v>#NUM!</v>
      </c>
      <c r="U196" s="55" t="e">
        <f t="shared" si="15"/>
        <v>#NUM!</v>
      </c>
    </row>
    <row r="197" spans="4:21">
      <c r="D197">
        <f t="shared" ca="1" si="12"/>
        <v>20.5148050799137</v>
      </c>
      <c r="K197">
        <f t="shared" ca="1" si="13"/>
        <v>1.2081696823489199</v>
      </c>
    </row>
    <row r="198" spans="4:21">
      <c r="D198">
        <f t="shared" ca="1" si="12"/>
        <v>1.9970148206586744</v>
      </c>
      <c r="K198">
        <f t="shared" ca="1" si="13"/>
        <v>3.5631453489797495</v>
      </c>
    </row>
    <row r="199" spans="4:21">
      <c r="D199">
        <f t="shared" ca="1" si="12"/>
        <v>0.38932751502155416</v>
      </c>
      <c r="K199">
        <f t="shared" ca="1" si="13"/>
        <v>1.328169863400821</v>
      </c>
    </row>
    <row r="200" spans="4:21">
      <c r="D200">
        <f t="shared" ca="1" si="12"/>
        <v>0.68586405187313071</v>
      </c>
      <c r="K200">
        <f t="shared" ca="1" si="13"/>
        <v>5.5269632551586998</v>
      </c>
    </row>
    <row r="201" spans="4:21">
      <c r="D201">
        <f t="shared" ca="1" si="12"/>
        <v>1.4210405401547526</v>
      </c>
      <c r="K201">
        <f t="shared" ca="1" si="13"/>
        <v>1.3887474199528453</v>
      </c>
    </row>
    <row r="202" spans="4:21">
      <c r="D202">
        <f t="shared" ca="1" si="12"/>
        <v>0.24032462705289259</v>
      </c>
      <c r="K202">
        <f t="shared" ca="1" si="13"/>
        <v>10.198511454409299</v>
      </c>
    </row>
    <row r="203" spans="4:21">
      <c r="D203">
        <f t="shared" ca="1" si="12"/>
        <v>11.542956284407502</v>
      </c>
      <c r="K203">
        <f t="shared" ca="1" si="13"/>
        <v>0.34909845309405585</v>
      </c>
    </row>
    <row r="204" spans="4:21">
      <c r="D204">
        <f t="shared" ca="1" si="12"/>
        <v>4.1295181951118476</v>
      </c>
      <c r="K204">
        <f t="shared" ca="1" si="13"/>
        <v>0.47010458993695314</v>
      </c>
    </row>
    <row r="205" spans="4:21">
      <c r="D205">
        <f t="shared" ca="1" si="12"/>
        <v>14.367627206324034</v>
      </c>
      <c r="K205">
        <f t="shared" ca="1" si="13"/>
        <v>1.0164850436244555</v>
      </c>
    </row>
    <row r="206" spans="4:21">
      <c r="D206">
        <f t="shared" ca="1" si="12"/>
        <v>1.3208552384873209</v>
      </c>
      <c r="K206">
        <f t="shared" ca="1" si="13"/>
        <v>0.62664180906195255</v>
      </c>
    </row>
    <row r="207" spans="4:21">
      <c r="D207">
        <f t="shared" ca="1" si="12"/>
        <v>1.7881468586338123</v>
      </c>
      <c r="K207">
        <f t="shared" ca="1" si="13"/>
        <v>0.21949244335907259</v>
      </c>
    </row>
    <row r="208" spans="4:21">
      <c r="D208">
        <f t="shared" ca="1" si="12"/>
        <v>11.90064633780522</v>
      </c>
      <c r="K208">
        <f t="shared" ca="1" si="13"/>
        <v>1.861537375815276</v>
      </c>
    </row>
    <row r="209" spans="4:11">
      <c r="D209">
        <f t="shared" ca="1" si="12"/>
        <v>2.5632545690792172</v>
      </c>
      <c r="K209">
        <f t="shared" ca="1" si="13"/>
        <v>13.460986474253499</v>
      </c>
    </row>
    <row r="210" spans="4:11">
      <c r="D210">
        <f t="shared" ca="1" si="12"/>
        <v>2.0367120535626535</v>
      </c>
      <c r="K210">
        <f t="shared" ca="1" si="13"/>
        <v>0.54866650459185196</v>
      </c>
    </row>
    <row r="211" spans="4:11">
      <c r="D211">
        <f t="shared" ca="1" si="12"/>
        <v>4.2593365125096927</v>
      </c>
      <c r="K211">
        <f t="shared" ca="1" si="13"/>
        <v>0.13221717296349478</v>
      </c>
    </row>
    <row r="212" spans="4:11">
      <c r="D212">
        <f t="shared" ca="1" si="12"/>
        <v>1.1882898447237467</v>
      </c>
      <c r="K212">
        <f t="shared" ca="1" si="13"/>
        <v>1.4859874131466149</v>
      </c>
    </row>
    <row r="213" spans="4:11">
      <c r="D213">
        <f t="shared" ca="1" si="12"/>
        <v>1.0875390440701396</v>
      </c>
      <c r="K213">
        <f t="shared" ca="1" si="13"/>
        <v>0.32651554890852519</v>
      </c>
    </row>
    <row r="214" spans="4:11">
      <c r="D214">
        <f t="shared" ca="1" si="12"/>
        <v>1.6619950492399389</v>
      </c>
      <c r="K214">
        <f t="shared" ca="1" si="13"/>
        <v>0.4362785746416501</v>
      </c>
    </row>
    <row r="215" spans="4:11">
      <c r="D215">
        <f t="shared" ca="1" si="12"/>
        <v>0.34481870185168595</v>
      </c>
      <c r="K215">
        <f t="shared" ca="1" si="13"/>
        <v>4.4171202411556152</v>
      </c>
    </row>
    <row r="216" spans="4:11">
      <c r="D216">
        <f t="shared" ca="1" si="12"/>
        <v>0.82096013402323265</v>
      </c>
      <c r="K216">
        <f t="shared" ca="1" si="13"/>
        <v>0.43641918118887579</v>
      </c>
    </row>
    <row r="217" spans="4:11">
      <c r="D217">
        <f t="shared" ca="1" si="12"/>
        <v>0.87687450733891015</v>
      </c>
      <c r="K217">
        <f t="shared" ca="1" si="13"/>
        <v>0.18976977208531259</v>
      </c>
    </row>
    <row r="218" spans="4:11">
      <c r="D218">
        <f t="shared" ca="1" si="12"/>
        <v>13.743679280466544</v>
      </c>
      <c r="K218">
        <f t="shared" ca="1" si="13"/>
        <v>1.5443272928177438</v>
      </c>
    </row>
    <row r="219" spans="4:11">
      <c r="D219">
        <f t="shared" ca="1" si="12"/>
        <v>0.10725053122492881</v>
      </c>
      <c r="K219">
        <f t="shared" ca="1" si="13"/>
        <v>1.6815545628064665</v>
      </c>
    </row>
    <row r="220" spans="4:11">
      <c r="D220">
        <f t="shared" ca="1" si="12"/>
        <v>0.15030550507467172</v>
      </c>
      <c r="K220">
        <f t="shared" ca="1" si="13"/>
        <v>0.51222972523113341</v>
      </c>
    </row>
    <row r="221" spans="4:11">
      <c r="D221">
        <f t="shared" ca="1" si="12"/>
        <v>10.031461503885684</v>
      </c>
      <c r="K221">
        <f t="shared" ca="1" si="13"/>
        <v>9.4395813653296301</v>
      </c>
    </row>
    <row r="222" spans="4:11">
      <c r="D222">
        <f t="shared" ca="1" si="12"/>
        <v>12.44309240523468</v>
      </c>
      <c r="K222">
        <f t="shared" ca="1" si="13"/>
        <v>1.6724083340983511</v>
      </c>
    </row>
    <row r="223" spans="4:11">
      <c r="D223">
        <f t="shared" ca="1" si="12"/>
        <v>1.6357213661579597</v>
      </c>
      <c r="K223">
        <f t="shared" ca="1" si="13"/>
        <v>0.51340557850982149</v>
      </c>
    </row>
    <row r="224" spans="4:11">
      <c r="D224">
        <f t="shared" ca="1" si="12"/>
        <v>1.9011534487310948</v>
      </c>
      <c r="K224">
        <f t="shared" ca="1" si="13"/>
        <v>1.2263117704446564</v>
      </c>
    </row>
    <row r="225" spans="4:11">
      <c r="D225">
        <f t="shared" ca="1" si="12"/>
        <v>0.87699503393958955</v>
      </c>
      <c r="K225">
        <f t="shared" ca="1" si="13"/>
        <v>0.2797357804851921</v>
      </c>
    </row>
    <row r="226" spans="4:11">
      <c r="D226">
        <f t="shared" ca="1" si="12"/>
        <v>4.2490886372499546</v>
      </c>
      <c r="K226">
        <f t="shared" ca="1" si="13"/>
        <v>2.3070180428595739</v>
      </c>
    </row>
    <row r="227" spans="4:11">
      <c r="D227">
        <f t="shared" ca="1" si="12"/>
        <v>5.2533123936021688</v>
      </c>
      <c r="K227">
        <f t="shared" ca="1" si="13"/>
        <v>1.550672291274751</v>
      </c>
    </row>
    <row r="228" spans="4:11">
      <c r="D228">
        <f t="shared" ca="1" si="12"/>
        <v>1.010083991629696</v>
      </c>
      <c r="K228">
        <f t="shared" ca="1" si="13"/>
        <v>1.8524628938523353</v>
      </c>
    </row>
    <row r="229" spans="4:11">
      <c r="D229">
        <f t="shared" ca="1" si="12"/>
        <v>0.89620172059237002</v>
      </c>
      <c r="K229">
        <f t="shared" ca="1" si="13"/>
        <v>0.12463938813357844</v>
      </c>
    </row>
    <row r="230" spans="4:11">
      <c r="D230">
        <f t="shared" ca="1" si="12"/>
        <v>3.2023335094058263</v>
      </c>
      <c r="K230">
        <f t="shared" ca="1" si="13"/>
        <v>3.316276509074938</v>
      </c>
    </row>
    <row r="231" spans="4:11">
      <c r="D231">
        <f t="shared" ca="1" si="12"/>
        <v>23.609243780008704</v>
      </c>
      <c r="K231">
        <f t="shared" ca="1" si="13"/>
        <v>8.4792799802529508</v>
      </c>
    </row>
    <row r="232" spans="4:11">
      <c r="D232">
        <f t="shared" ca="1" si="12"/>
        <v>5.0763139540982252</v>
      </c>
      <c r="K232">
        <f t="shared" ca="1" si="13"/>
        <v>3.145167288594485</v>
      </c>
    </row>
    <row r="233" spans="4:11">
      <c r="D233">
        <f t="shared" ca="1" si="12"/>
        <v>8.7372746923937044</v>
      </c>
      <c r="K233">
        <f t="shared" ca="1" si="13"/>
        <v>1.0135930124740953</v>
      </c>
    </row>
    <row r="234" spans="4:11">
      <c r="D234">
        <f t="shared" ca="1" si="12"/>
        <v>0.15493472396445573</v>
      </c>
      <c r="K234">
        <f t="shared" ca="1" si="13"/>
        <v>2.3740748449508278</v>
      </c>
    </row>
    <row r="235" spans="4:11">
      <c r="D235">
        <f t="shared" ca="1" si="12"/>
        <v>0.21559453003919904</v>
      </c>
      <c r="K235">
        <f t="shared" ca="1" si="13"/>
        <v>0.6306458960031176</v>
      </c>
    </row>
    <row r="236" spans="4:11">
      <c r="D236">
        <f t="shared" ca="1" si="12"/>
        <v>51.622754098825141</v>
      </c>
      <c r="K236">
        <f t="shared" ca="1" si="13"/>
        <v>0.76718258170119524</v>
      </c>
    </row>
    <row r="237" spans="4:11">
      <c r="D237">
        <f t="shared" ca="1" si="12"/>
        <v>8.481106745659563</v>
      </c>
      <c r="K237">
        <f t="shared" ca="1" si="13"/>
        <v>1.2488255361396758</v>
      </c>
    </row>
    <row r="238" spans="4:11">
      <c r="D238">
        <f t="shared" ca="1" si="12"/>
        <v>1.4526376530988911</v>
      </c>
      <c r="K238">
        <f t="shared" ca="1" si="13"/>
        <v>4.3951854435589635</v>
      </c>
    </row>
    <row r="239" spans="4:11">
      <c r="D239">
        <f t="shared" ca="1" si="12"/>
        <v>1.7156295703863838</v>
      </c>
      <c r="K239">
        <f t="shared" ca="1" si="13"/>
        <v>0.40653910003520011</v>
      </c>
    </row>
    <row r="240" spans="4:11">
      <c r="D240">
        <f t="shared" ca="1" si="12"/>
        <v>12.133943541497104</v>
      </c>
      <c r="K240">
        <f t="shared" ca="1" si="13"/>
        <v>0.31923609289956112</v>
      </c>
    </row>
    <row r="241" spans="4:11">
      <c r="D241">
        <f t="shared" ca="1" si="12"/>
        <v>2.2474389854593007</v>
      </c>
      <c r="K241">
        <f t="shared" ca="1" si="13"/>
        <v>0.30040026008318221</v>
      </c>
    </row>
    <row r="242" spans="4:11">
      <c r="D242">
        <f t="shared" ca="1" si="12"/>
        <v>5.3166944870601274</v>
      </c>
      <c r="K242">
        <f t="shared" ca="1" si="13"/>
        <v>0.87152975484770923</v>
      </c>
    </row>
    <row r="243" spans="4:11">
      <c r="D243">
        <f t="shared" ca="1" si="12"/>
        <v>2.5865493043000285</v>
      </c>
      <c r="K243">
        <f t="shared" ca="1" si="13"/>
        <v>8.9437414846976182</v>
      </c>
    </row>
    <row r="244" spans="4:11">
      <c r="D244">
        <f t="shared" ca="1" si="12"/>
        <v>2.7224579448893094</v>
      </c>
      <c r="K244">
        <f t="shared" ca="1" si="13"/>
        <v>0.58312789274130639</v>
      </c>
    </row>
    <row r="245" spans="4:11">
      <c r="D245">
        <f t="shared" ca="1" si="12"/>
        <v>3.8442369990931811</v>
      </c>
      <c r="K245">
        <f t="shared" ca="1" si="13"/>
        <v>0.30640606289158401</v>
      </c>
    </row>
    <row r="246" spans="4:11">
      <c r="D246">
        <f t="shared" ca="1" si="12"/>
        <v>13.466307061623024</v>
      </c>
      <c r="K246">
        <f t="shared" ca="1" si="13"/>
        <v>2.0505064632982428</v>
      </c>
    </row>
    <row r="247" spans="4:11">
      <c r="D247">
        <f t="shared" ca="1" si="12"/>
        <v>2.6601067827888727</v>
      </c>
      <c r="K247">
        <f t="shared" ca="1" si="13"/>
        <v>2.0904417749851154</v>
      </c>
    </row>
    <row r="248" spans="4:11">
      <c r="D248">
        <f t="shared" ca="1" si="12"/>
        <v>8.0136984049677942</v>
      </c>
      <c r="K248">
        <f t="shared" ca="1" si="13"/>
        <v>3.0654764558182608</v>
      </c>
    </row>
    <row r="249" spans="4:11">
      <c r="D249">
        <f t="shared" ca="1" si="12"/>
        <v>1.6208802497560137</v>
      </c>
      <c r="K249">
        <f t="shared" ca="1" si="13"/>
        <v>0.77317510528780264</v>
      </c>
    </row>
    <row r="250" spans="4:11">
      <c r="D250">
        <f t="shared" ca="1" si="12"/>
        <v>1.3659951642731181</v>
      </c>
      <c r="K250">
        <f t="shared" ca="1" si="13"/>
        <v>4.6703499719656385</v>
      </c>
    </row>
    <row r="251" spans="4:11">
      <c r="D251">
        <f t="shared" ca="1" si="12"/>
        <v>1.4337178935843422</v>
      </c>
      <c r="K251">
        <f t="shared" ca="1" si="13"/>
        <v>1.4409351575823313</v>
      </c>
    </row>
    <row r="252" spans="4:11">
      <c r="D252">
        <f t="shared" ca="1" si="12"/>
        <v>0.52759258071830795</v>
      </c>
      <c r="K252">
        <f t="shared" ca="1" si="13"/>
        <v>0.50848135795743366</v>
      </c>
    </row>
    <row r="253" spans="4:11">
      <c r="D253">
        <f t="shared" ca="1" si="12"/>
        <v>1.5028492937316122</v>
      </c>
      <c r="K253">
        <f t="shared" ca="1" si="13"/>
        <v>0.82472002701308278</v>
      </c>
    </row>
    <row r="254" spans="4:11">
      <c r="D254">
        <f t="shared" ca="1" si="12"/>
        <v>0.31294043283594697</v>
      </c>
      <c r="K254">
        <f t="shared" ca="1" si="13"/>
        <v>3.3957534556510716</v>
      </c>
    </row>
    <row r="255" spans="4:11">
      <c r="D255">
        <f t="shared" ca="1" si="12"/>
        <v>4.6996338531109547</v>
      </c>
      <c r="K255">
        <f t="shared" ca="1" si="13"/>
        <v>1.4095153762284367</v>
      </c>
    </row>
    <row r="256" spans="4:11">
      <c r="D256">
        <f t="shared" ca="1" si="12"/>
        <v>6.4495278734345245</v>
      </c>
      <c r="K256">
        <f t="shared" ca="1" si="13"/>
        <v>5.162293408397014</v>
      </c>
    </row>
    <row r="257" spans="4:11">
      <c r="D257">
        <f t="shared" ca="1" si="12"/>
        <v>4.4092096027983416</v>
      </c>
      <c r="K257">
        <f t="shared" ca="1" si="13"/>
        <v>1.2371720664384807</v>
      </c>
    </row>
    <row r="258" spans="4:11">
      <c r="D258">
        <f t="shared" ref="D258:D321" ca="1" si="16">GAMMAINV(RAND(),$A$2,$B$2)</f>
        <v>30.122586969166917</v>
      </c>
      <c r="K258">
        <f t="shared" ref="K258:K321" ca="1" si="17">GAMMAINV(RAND(),$H$2,$I$2)</f>
        <v>4.3247352751278676</v>
      </c>
    </row>
    <row r="259" spans="4:11">
      <c r="D259">
        <f t="shared" ca="1" si="16"/>
        <v>4.6893685184528486</v>
      </c>
      <c r="K259">
        <f t="shared" ca="1" si="17"/>
        <v>2.132021917390408</v>
      </c>
    </row>
    <row r="260" spans="4:11">
      <c r="D260">
        <f t="shared" ca="1" si="16"/>
        <v>0.93705037071843655</v>
      </c>
      <c r="K260">
        <f t="shared" ca="1" si="17"/>
        <v>0.39843588955607878</v>
      </c>
    </row>
    <row r="261" spans="4:11">
      <c r="D261">
        <f t="shared" ca="1" si="16"/>
        <v>1.8862138449762149</v>
      </c>
      <c r="K261">
        <f t="shared" ca="1" si="17"/>
        <v>0.20458672928401189</v>
      </c>
    </row>
    <row r="262" spans="4:11">
      <c r="D262">
        <f t="shared" ca="1" si="16"/>
        <v>0.49197175462838749</v>
      </c>
      <c r="K262">
        <f t="shared" ca="1" si="17"/>
        <v>0.16997089611278732</v>
      </c>
    </row>
    <row r="263" spans="4:11">
      <c r="D263">
        <f t="shared" ca="1" si="16"/>
        <v>12.144376270307259</v>
      </c>
      <c r="K263">
        <f t="shared" ca="1" si="17"/>
        <v>7.0513838912311833E-2</v>
      </c>
    </row>
    <row r="264" spans="4:11">
      <c r="D264">
        <f t="shared" ca="1" si="16"/>
        <v>3.1576962426048549</v>
      </c>
      <c r="K264">
        <f t="shared" ca="1" si="17"/>
        <v>8.957827589534741</v>
      </c>
    </row>
    <row r="265" spans="4:11">
      <c r="D265">
        <f t="shared" ca="1" si="16"/>
        <v>4.6035265141418726</v>
      </c>
      <c r="K265">
        <f t="shared" ca="1" si="17"/>
        <v>1.0202188513707817</v>
      </c>
    </row>
    <row r="266" spans="4:11">
      <c r="D266">
        <f t="shared" ca="1" si="16"/>
        <v>4.5259914631546678</v>
      </c>
      <c r="K266">
        <f t="shared" ca="1" si="17"/>
        <v>2.0308697493343832E-2</v>
      </c>
    </row>
    <row r="267" spans="4:11">
      <c r="D267">
        <f t="shared" ca="1" si="16"/>
        <v>11.292695239049973</v>
      </c>
      <c r="K267">
        <f t="shared" ca="1" si="17"/>
        <v>1.5652555436352769</v>
      </c>
    </row>
    <row r="268" spans="4:11">
      <c r="D268">
        <f t="shared" ca="1" si="16"/>
        <v>4.5318714386947789</v>
      </c>
      <c r="K268">
        <f t="shared" ca="1" si="17"/>
        <v>0.73589153217876513</v>
      </c>
    </row>
    <row r="269" spans="4:11">
      <c r="D269">
        <f t="shared" ca="1" si="16"/>
        <v>5.3135858326561412</v>
      </c>
      <c r="K269">
        <f t="shared" ca="1" si="17"/>
        <v>3.2167703523782345</v>
      </c>
    </row>
    <row r="270" spans="4:11">
      <c r="D270">
        <f t="shared" ca="1" si="16"/>
        <v>1.5935970453816752</v>
      </c>
      <c r="K270">
        <f t="shared" ca="1" si="17"/>
        <v>0.84436880692598826</v>
      </c>
    </row>
    <row r="271" spans="4:11">
      <c r="D271">
        <f t="shared" ca="1" si="16"/>
        <v>6.8896569691308294</v>
      </c>
      <c r="K271">
        <f t="shared" ca="1" si="17"/>
        <v>5.1790349451570545</v>
      </c>
    </row>
    <row r="272" spans="4:11">
      <c r="D272">
        <f t="shared" ca="1" si="16"/>
        <v>5.5672842771708879</v>
      </c>
      <c r="K272">
        <f t="shared" ca="1" si="17"/>
        <v>3.7271687093108747</v>
      </c>
    </row>
    <row r="273" spans="4:11">
      <c r="D273">
        <f t="shared" ca="1" si="16"/>
        <v>2.1657563395856503</v>
      </c>
      <c r="K273">
        <f t="shared" ca="1" si="17"/>
        <v>1.9377357712785934</v>
      </c>
    </row>
    <row r="274" spans="4:11">
      <c r="D274">
        <f t="shared" ca="1" si="16"/>
        <v>22.276334008545028</v>
      </c>
      <c r="K274">
        <f t="shared" ca="1" si="17"/>
        <v>0.68664313353945627</v>
      </c>
    </row>
    <row r="275" spans="4:11">
      <c r="D275">
        <f t="shared" ca="1" si="16"/>
        <v>1.3342294111794781</v>
      </c>
      <c r="K275">
        <f t="shared" ca="1" si="17"/>
        <v>0.13962254854903888</v>
      </c>
    </row>
    <row r="276" spans="4:11">
      <c r="D276">
        <f t="shared" ca="1" si="16"/>
        <v>0.63274875145216702</v>
      </c>
      <c r="K276">
        <f t="shared" ca="1" si="17"/>
        <v>0.64579057401936057</v>
      </c>
    </row>
    <row r="277" spans="4:11">
      <c r="D277">
        <f t="shared" ca="1" si="16"/>
        <v>7.4775083833271694</v>
      </c>
      <c r="K277">
        <f t="shared" ca="1" si="17"/>
        <v>2.96625908222026E-2</v>
      </c>
    </row>
    <row r="278" spans="4:11">
      <c r="D278">
        <f t="shared" ca="1" si="16"/>
        <v>0.54225403201587152</v>
      </c>
      <c r="K278">
        <f t="shared" ca="1" si="17"/>
        <v>1.2698770918559346</v>
      </c>
    </row>
    <row r="279" spans="4:11">
      <c r="D279">
        <f t="shared" ca="1" si="16"/>
        <v>0.44729895742077608</v>
      </c>
      <c r="K279">
        <f t="shared" ca="1" si="17"/>
        <v>1.3030140414949374</v>
      </c>
    </row>
    <row r="280" spans="4:11">
      <c r="D280">
        <f t="shared" ca="1" si="16"/>
        <v>5.7068140190924392</v>
      </c>
      <c r="K280">
        <f t="shared" ca="1" si="17"/>
        <v>6.2479876188182111</v>
      </c>
    </row>
    <row r="281" spans="4:11">
      <c r="D281">
        <f t="shared" ca="1" si="16"/>
        <v>1.1960029790689908</v>
      </c>
      <c r="K281">
        <f t="shared" ca="1" si="17"/>
        <v>2.3597483030905853</v>
      </c>
    </row>
    <row r="282" spans="4:11">
      <c r="D282">
        <f t="shared" ca="1" si="16"/>
        <v>5.5300540523145436</v>
      </c>
      <c r="K282">
        <f t="shared" ca="1" si="17"/>
        <v>1.095404214028862</v>
      </c>
    </row>
    <row r="283" spans="4:11">
      <c r="D283">
        <f t="shared" ca="1" si="16"/>
        <v>0.78733254017767473</v>
      </c>
      <c r="K283">
        <f t="shared" ca="1" si="17"/>
        <v>0.42244520234268834</v>
      </c>
    </row>
    <row r="284" spans="4:11">
      <c r="D284">
        <f t="shared" ca="1" si="16"/>
        <v>1.8046385228120205</v>
      </c>
      <c r="K284">
        <f t="shared" ca="1" si="17"/>
        <v>0.13095440264498132</v>
      </c>
    </row>
    <row r="285" spans="4:11">
      <c r="D285">
        <f t="shared" ca="1" si="16"/>
        <v>0.10644308664983335</v>
      </c>
      <c r="K285">
        <f t="shared" ca="1" si="17"/>
        <v>3.0431807533290849</v>
      </c>
    </row>
    <row r="286" spans="4:11">
      <c r="D286">
        <f t="shared" ca="1" si="16"/>
        <v>6.225220084212447</v>
      </c>
      <c r="K286">
        <f t="shared" ca="1" si="17"/>
        <v>1.6364441397286913</v>
      </c>
    </row>
    <row r="287" spans="4:11">
      <c r="D287">
        <f t="shared" ca="1" si="16"/>
        <v>10.996597267976671</v>
      </c>
      <c r="K287">
        <f t="shared" ca="1" si="17"/>
        <v>8.0228751322862835E-2</v>
      </c>
    </row>
    <row r="288" spans="4:11">
      <c r="D288">
        <f t="shared" ca="1" si="16"/>
        <v>10.602376355021068</v>
      </c>
      <c r="K288">
        <f t="shared" ca="1" si="17"/>
        <v>2.4118164897587642</v>
      </c>
    </row>
    <row r="289" spans="4:11">
      <c r="D289">
        <f t="shared" ca="1" si="16"/>
        <v>2.6098490730323922</v>
      </c>
      <c r="K289">
        <f t="shared" ca="1" si="17"/>
        <v>3.8712337974128692</v>
      </c>
    </row>
    <row r="290" spans="4:11">
      <c r="D290">
        <f t="shared" ca="1" si="16"/>
        <v>5.7136428495803244</v>
      </c>
      <c r="K290">
        <f t="shared" ca="1" si="17"/>
        <v>2.0036269162368727</v>
      </c>
    </row>
    <row r="291" spans="4:11">
      <c r="D291">
        <f t="shared" ca="1" si="16"/>
        <v>3.698563469626305</v>
      </c>
      <c r="K291">
        <f t="shared" ca="1" si="17"/>
        <v>2.4452426066440376</v>
      </c>
    </row>
    <row r="292" spans="4:11">
      <c r="D292">
        <f t="shared" ca="1" si="16"/>
        <v>0.12716666165363694</v>
      </c>
      <c r="K292">
        <f t="shared" ca="1" si="17"/>
        <v>1.9357241945264554</v>
      </c>
    </row>
    <row r="293" spans="4:11">
      <c r="D293">
        <f t="shared" ca="1" si="16"/>
        <v>1.96263065696288</v>
      </c>
      <c r="K293">
        <f t="shared" ca="1" si="17"/>
        <v>3.6257573562704986</v>
      </c>
    </row>
    <row r="294" spans="4:11">
      <c r="D294">
        <f t="shared" ca="1" si="16"/>
        <v>15.647886078040788</v>
      </c>
      <c r="K294">
        <f t="shared" ca="1" si="17"/>
        <v>0.9555693277932944</v>
      </c>
    </row>
    <row r="295" spans="4:11">
      <c r="D295">
        <f t="shared" ca="1" si="16"/>
        <v>19.945957558851561</v>
      </c>
      <c r="K295">
        <f t="shared" ca="1" si="17"/>
        <v>3.3099508429826132</v>
      </c>
    </row>
    <row r="296" spans="4:11">
      <c r="D296">
        <f t="shared" ca="1" si="16"/>
        <v>1.012801458586813</v>
      </c>
      <c r="K296">
        <f t="shared" ca="1" si="17"/>
        <v>6.0865702337025762E-2</v>
      </c>
    </row>
    <row r="297" spans="4:11">
      <c r="D297">
        <f t="shared" ca="1" si="16"/>
        <v>0.29301721662614277</v>
      </c>
      <c r="K297">
        <f t="shared" ca="1" si="17"/>
        <v>1.3730483591108009</v>
      </c>
    </row>
    <row r="298" spans="4:11">
      <c r="D298">
        <f t="shared" ca="1" si="16"/>
        <v>5.1021338640863121</v>
      </c>
      <c r="K298">
        <f t="shared" ca="1" si="17"/>
        <v>6.5308603505453338</v>
      </c>
    </row>
    <row r="299" spans="4:11">
      <c r="D299">
        <f t="shared" ca="1" si="16"/>
        <v>4.6267550422566401</v>
      </c>
      <c r="K299">
        <f t="shared" ca="1" si="17"/>
        <v>5.5588159690857601</v>
      </c>
    </row>
    <row r="300" spans="4:11">
      <c r="D300">
        <f t="shared" ca="1" si="16"/>
        <v>13.240840464905183</v>
      </c>
      <c r="K300">
        <f t="shared" ca="1" si="17"/>
        <v>2.9783457624714407</v>
      </c>
    </row>
    <row r="301" spans="4:11">
      <c r="D301">
        <f t="shared" ca="1" si="16"/>
        <v>5.1083273112504273</v>
      </c>
      <c r="K301">
        <f t="shared" ca="1" si="17"/>
        <v>9.0627216931217974E-2</v>
      </c>
    </row>
    <row r="302" spans="4:11">
      <c r="D302">
        <f t="shared" ca="1" si="16"/>
        <v>3.6343116600960954</v>
      </c>
      <c r="K302">
        <f t="shared" ca="1" si="17"/>
        <v>1.1795176131394713</v>
      </c>
    </row>
    <row r="303" spans="4:11">
      <c r="D303">
        <f t="shared" ca="1" si="16"/>
        <v>4.7800281871901795</v>
      </c>
      <c r="K303">
        <f t="shared" ca="1" si="17"/>
        <v>5.4709647960463865</v>
      </c>
    </row>
    <row r="304" spans="4:11">
      <c r="D304">
        <f t="shared" ca="1" si="16"/>
        <v>1.7440352582681262</v>
      </c>
      <c r="K304">
        <f t="shared" ca="1" si="17"/>
        <v>0.91346382358143319</v>
      </c>
    </row>
    <row r="305" spans="4:11">
      <c r="D305">
        <f t="shared" ca="1" si="16"/>
        <v>4.1513776521960022</v>
      </c>
      <c r="K305">
        <f t="shared" ca="1" si="17"/>
        <v>1.4563359066546275</v>
      </c>
    </row>
    <row r="306" spans="4:11">
      <c r="D306">
        <f t="shared" ca="1" si="16"/>
        <v>1.2557111490668253</v>
      </c>
      <c r="K306">
        <f t="shared" ca="1" si="17"/>
        <v>3.2313964219202971</v>
      </c>
    </row>
    <row r="307" spans="4:11">
      <c r="D307">
        <f t="shared" ca="1" si="16"/>
        <v>0.40486274217581963</v>
      </c>
      <c r="K307">
        <f t="shared" ca="1" si="17"/>
        <v>3.6637920172313034</v>
      </c>
    </row>
    <row r="308" spans="4:11">
      <c r="D308">
        <f t="shared" ca="1" si="16"/>
        <v>4.5998610373122979</v>
      </c>
      <c r="K308">
        <f t="shared" ca="1" si="17"/>
        <v>0.90284138633290123</v>
      </c>
    </row>
    <row r="309" spans="4:11">
      <c r="D309">
        <f t="shared" ca="1" si="16"/>
        <v>3.8953760887115632</v>
      </c>
      <c r="K309">
        <f t="shared" ca="1" si="17"/>
        <v>2.6508092211529846</v>
      </c>
    </row>
    <row r="310" spans="4:11">
      <c r="D310">
        <f t="shared" ca="1" si="16"/>
        <v>7.4555417989018196</v>
      </c>
      <c r="K310">
        <f t="shared" ca="1" si="17"/>
        <v>1.4155971172471769</v>
      </c>
    </row>
    <row r="311" spans="4:11">
      <c r="D311">
        <f t="shared" ca="1" si="16"/>
        <v>0.23133108279922432</v>
      </c>
      <c r="K311">
        <f t="shared" ca="1" si="17"/>
        <v>3.1589726066359809</v>
      </c>
    </row>
    <row r="312" spans="4:11">
      <c r="D312">
        <f t="shared" ca="1" si="16"/>
        <v>10.634713111171564</v>
      </c>
      <c r="K312">
        <f t="shared" ca="1" si="17"/>
        <v>0.31458940175639005</v>
      </c>
    </row>
    <row r="313" spans="4:11">
      <c r="D313">
        <f t="shared" ca="1" si="16"/>
        <v>6.6152777950492597E-2</v>
      </c>
      <c r="K313">
        <f t="shared" ca="1" si="17"/>
        <v>0.81673220924264434</v>
      </c>
    </row>
    <row r="314" spans="4:11">
      <c r="D314">
        <f t="shared" ca="1" si="16"/>
        <v>2.7222795319132178</v>
      </c>
      <c r="K314">
        <f t="shared" ca="1" si="17"/>
        <v>1.2238519628368749</v>
      </c>
    </row>
    <row r="315" spans="4:11">
      <c r="D315">
        <f t="shared" ca="1" si="16"/>
        <v>1.6061774282118004</v>
      </c>
      <c r="K315">
        <f t="shared" ca="1" si="17"/>
        <v>1.0113804290070667</v>
      </c>
    </row>
    <row r="316" spans="4:11">
      <c r="D316">
        <f t="shared" ca="1" si="16"/>
        <v>34.187053773486028</v>
      </c>
      <c r="K316">
        <f t="shared" ca="1" si="17"/>
        <v>0.68248248070946338</v>
      </c>
    </row>
    <row r="317" spans="4:11">
      <c r="D317">
        <f t="shared" ca="1" si="16"/>
        <v>2.8889127572585069</v>
      </c>
      <c r="K317">
        <f t="shared" ca="1" si="17"/>
        <v>0.73903091381446329</v>
      </c>
    </row>
    <row r="318" spans="4:11">
      <c r="D318">
        <f t="shared" ca="1" si="16"/>
        <v>9.6605846288412458</v>
      </c>
      <c r="K318">
        <f t="shared" ca="1" si="17"/>
        <v>3.9245270519151143</v>
      </c>
    </row>
    <row r="319" spans="4:11">
      <c r="D319">
        <f t="shared" ca="1" si="16"/>
        <v>3.1003478857201658</v>
      </c>
      <c r="K319">
        <f t="shared" ca="1" si="17"/>
        <v>4.9223722945980661</v>
      </c>
    </row>
    <row r="320" spans="4:11">
      <c r="D320">
        <f t="shared" ca="1" si="16"/>
        <v>0.57824701137442491</v>
      </c>
      <c r="K320">
        <f t="shared" ca="1" si="17"/>
        <v>3.385713975242818</v>
      </c>
    </row>
    <row r="321" spans="4:11">
      <c r="D321">
        <f t="shared" ca="1" si="16"/>
        <v>2.4466629053397728</v>
      </c>
      <c r="K321">
        <f t="shared" ca="1" si="17"/>
        <v>0.24216745782876953</v>
      </c>
    </row>
    <row r="322" spans="4:11">
      <c r="D322">
        <f t="shared" ref="D322:D385" ca="1" si="18">GAMMAINV(RAND(),$A$2,$B$2)</f>
        <v>7.3346486140503284</v>
      </c>
      <c r="K322">
        <f t="shared" ref="K322:K385" ca="1" si="19">GAMMAINV(RAND(),$H$2,$I$2)</f>
        <v>1.4344993971587314</v>
      </c>
    </row>
    <row r="323" spans="4:11">
      <c r="D323">
        <f t="shared" ca="1" si="18"/>
        <v>1.7988080085111822</v>
      </c>
      <c r="K323">
        <f t="shared" ca="1" si="19"/>
        <v>3.2218700819247461</v>
      </c>
    </row>
    <row r="324" spans="4:11">
      <c r="D324">
        <f t="shared" ca="1" si="18"/>
        <v>3.5323405672469423</v>
      </c>
      <c r="K324">
        <f t="shared" ca="1" si="19"/>
        <v>1.231598959837346</v>
      </c>
    </row>
    <row r="325" spans="4:11">
      <c r="D325">
        <f t="shared" ca="1" si="18"/>
        <v>1.7174625822466165</v>
      </c>
      <c r="K325">
        <f t="shared" ca="1" si="19"/>
        <v>0.49595867870259935</v>
      </c>
    </row>
    <row r="326" spans="4:11">
      <c r="D326">
        <f t="shared" ca="1" si="18"/>
        <v>3.2857947564044201</v>
      </c>
      <c r="K326">
        <f t="shared" ca="1" si="19"/>
        <v>4.2996010187441094</v>
      </c>
    </row>
    <row r="327" spans="4:11">
      <c r="D327">
        <f t="shared" ca="1" si="18"/>
        <v>11.039385252942292</v>
      </c>
      <c r="K327">
        <f t="shared" ca="1" si="19"/>
        <v>0.11669748187478851</v>
      </c>
    </row>
    <row r="328" spans="4:11">
      <c r="D328">
        <f t="shared" ca="1" si="18"/>
        <v>17.483675298524751</v>
      </c>
      <c r="K328">
        <f t="shared" ca="1" si="19"/>
        <v>10.291588650034537</v>
      </c>
    </row>
    <row r="329" spans="4:11">
      <c r="D329">
        <f t="shared" ca="1" si="18"/>
        <v>1.3440057708262766E-2</v>
      </c>
      <c r="K329">
        <f t="shared" ca="1" si="19"/>
        <v>2.8847513487859784</v>
      </c>
    </row>
    <row r="330" spans="4:11">
      <c r="D330">
        <f t="shared" ca="1" si="18"/>
        <v>0.61296756544387732</v>
      </c>
      <c r="K330">
        <f t="shared" ca="1" si="19"/>
        <v>2.4139082409423791</v>
      </c>
    </row>
    <row r="331" spans="4:11">
      <c r="D331">
        <f t="shared" ca="1" si="18"/>
        <v>5.941241065565869</v>
      </c>
      <c r="K331">
        <f t="shared" ca="1" si="19"/>
        <v>0.45453340362085737</v>
      </c>
    </row>
    <row r="332" spans="4:11">
      <c r="D332">
        <f t="shared" ca="1" si="18"/>
        <v>0.73912821219946134</v>
      </c>
      <c r="K332">
        <f t="shared" ca="1" si="19"/>
        <v>7.1111847471757694E-2</v>
      </c>
    </row>
    <row r="333" spans="4:11">
      <c r="D333">
        <f t="shared" ca="1" si="18"/>
        <v>15.14803747412034</v>
      </c>
      <c r="K333">
        <f t="shared" ca="1" si="19"/>
        <v>3.7949344115911643</v>
      </c>
    </row>
    <row r="334" spans="4:11">
      <c r="D334">
        <f t="shared" ca="1" si="18"/>
        <v>3.2281870531969101</v>
      </c>
      <c r="K334">
        <f t="shared" ca="1" si="19"/>
        <v>0.19223489391041099</v>
      </c>
    </row>
    <row r="335" spans="4:11">
      <c r="D335">
        <f t="shared" ca="1" si="18"/>
        <v>1.0853480802557964</v>
      </c>
      <c r="K335">
        <f t="shared" ca="1" si="19"/>
        <v>0.85001800226969682</v>
      </c>
    </row>
    <row r="336" spans="4:11">
      <c r="D336">
        <f t="shared" ca="1" si="18"/>
        <v>0.17558006803999204</v>
      </c>
      <c r="K336">
        <f t="shared" ca="1" si="19"/>
        <v>3.9419806020088322</v>
      </c>
    </row>
    <row r="337" spans="4:11">
      <c r="D337">
        <f t="shared" ca="1" si="18"/>
        <v>1.152433820812135</v>
      </c>
      <c r="K337">
        <f t="shared" ca="1" si="19"/>
        <v>2.3162112107348412</v>
      </c>
    </row>
    <row r="338" spans="4:11">
      <c r="D338">
        <f t="shared" ca="1" si="18"/>
        <v>9.672489975412077</v>
      </c>
      <c r="K338">
        <f t="shared" ca="1" si="19"/>
        <v>0.25730338807333375</v>
      </c>
    </row>
    <row r="339" spans="4:11">
      <c r="D339">
        <f t="shared" ca="1" si="18"/>
        <v>8.6104853601242333</v>
      </c>
      <c r="K339">
        <f t="shared" ca="1" si="19"/>
        <v>2.8706733582697126</v>
      </c>
    </row>
    <row r="340" spans="4:11">
      <c r="D340">
        <f t="shared" ca="1" si="18"/>
        <v>1.0196345537200315</v>
      </c>
      <c r="K340">
        <f t="shared" ca="1" si="19"/>
        <v>1.9646247041849012</v>
      </c>
    </row>
    <row r="341" spans="4:11">
      <c r="D341">
        <f t="shared" ca="1" si="18"/>
        <v>5.990314445970597</v>
      </c>
      <c r="K341">
        <f t="shared" ca="1" si="19"/>
        <v>2.6707503674628157</v>
      </c>
    </row>
    <row r="342" spans="4:11">
      <c r="D342">
        <f t="shared" ca="1" si="18"/>
        <v>5.8758341348757472</v>
      </c>
      <c r="K342">
        <f t="shared" ca="1" si="19"/>
        <v>0.27771437671520183</v>
      </c>
    </row>
    <row r="343" spans="4:11">
      <c r="D343">
        <f t="shared" ca="1" si="18"/>
        <v>7.2075626695537096</v>
      </c>
      <c r="K343">
        <f t="shared" ca="1" si="19"/>
        <v>2.6935802607955077</v>
      </c>
    </row>
    <row r="344" spans="4:11">
      <c r="D344">
        <f t="shared" ca="1" si="18"/>
        <v>1.5418222462119959</v>
      </c>
      <c r="K344">
        <f t="shared" ca="1" si="19"/>
        <v>9.6296072566937241</v>
      </c>
    </row>
    <row r="345" spans="4:11">
      <c r="D345">
        <f t="shared" ca="1" si="18"/>
        <v>15.966203698645479</v>
      </c>
      <c r="K345">
        <f t="shared" ca="1" si="19"/>
        <v>0.53444141733446604</v>
      </c>
    </row>
    <row r="346" spans="4:11">
      <c r="D346">
        <f t="shared" ca="1" si="18"/>
        <v>12.712451198784823</v>
      </c>
      <c r="K346">
        <f t="shared" ca="1" si="19"/>
        <v>8.5066718884360277</v>
      </c>
    </row>
    <row r="347" spans="4:11">
      <c r="D347">
        <f t="shared" ca="1" si="18"/>
        <v>0.34648156803123786</v>
      </c>
      <c r="K347">
        <f t="shared" ca="1" si="19"/>
        <v>3.019431870557769</v>
      </c>
    </row>
    <row r="348" spans="4:11">
      <c r="D348">
        <f t="shared" ca="1" si="18"/>
        <v>3.5004875002370728</v>
      </c>
      <c r="K348">
        <f t="shared" ca="1" si="19"/>
        <v>0.85780339490518887</v>
      </c>
    </row>
    <row r="349" spans="4:11">
      <c r="D349">
        <f t="shared" ca="1" si="18"/>
        <v>1.0553579580225567</v>
      </c>
      <c r="K349">
        <f t="shared" ca="1" si="19"/>
        <v>1.8752316881060556</v>
      </c>
    </row>
    <row r="350" spans="4:11">
      <c r="D350">
        <f t="shared" ca="1" si="18"/>
        <v>5.6712344218001967</v>
      </c>
      <c r="K350">
        <f t="shared" ca="1" si="19"/>
        <v>4.4417138220312697</v>
      </c>
    </row>
    <row r="351" spans="4:11">
      <c r="D351">
        <f t="shared" ca="1" si="18"/>
        <v>7.5880582382379682</v>
      </c>
      <c r="K351">
        <f t="shared" ca="1" si="19"/>
        <v>9.5770859501662891</v>
      </c>
    </row>
    <row r="352" spans="4:11">
      <c r="D352">
        <f t="shared" ca="1" si="18"/>
        <v>5.483206213640635</v>
      </c>
      <c r="K352">
        <f t="shared" ca="1" si="19"/>
        <v>8.024522246235577</v>
      </c>
    </row>
    <row r="353" spans="4:11">
      <c r="D353">
        <f t="shared" ca="1" si="18"/>
        <v>8.7339387237889881</v>
      </c>
      <c r="K353">
        <f t="shared" ca="1" si="19"/>
        <v>3.4048116158457633</v>
      </c>
    </row>
    <row r="354" spans="4:11">
      <c r="D354">
        <f t="shared" ca="1" si="18"/>
        <v>5.2484853482407683</v>
      </c>
      <c r="K354">
        <f t="shared" ca="1" si="19"/>
        <v>1.1991344275023939</v>
      </c>
    </row>
    <row r="355" spans="4:11">
      <c r="D355">
        <f t="shared" ca="1" si="18"/>
        <v>12.796139910563696</v>
      </c>
      <c r="K355">
        <f t="shared" ca="1" si="19"/>
        <v>0.6115542473642146</v>
      </c>
    </row>
    <row r="356" spans="4:11">
      <c r="D356">
        <f t="shared" ca="1" si="18"/>
        <v>0.13625091553542601</v>
      </c>
      <c r="K356">
        <f t="shared" ca="1" si="19"/>
        <v>2.6449127654762465</v>
      </c>
    </row>
    <row r="357" spans="4:11">
      <c r="D357">
        <f t="shared" ca="1" si="18"/>
        <v>2.0716710288301599</v>
      </c>
      <c r="K357">
        <f t="shared" ca="1" si="19"/>
        <v>0.76659453666227151</v>
      </c>
    </row>
    <row r="358" spans="4:11">
      <c r="D358">
        <f t="shared" ca="1" si="18"/>
        <v>1.0280310608292056</v>
      </c>
      <c r="K358">
        <f t="shared" ca="1" si="19"/>
        <v>0.15244461828606948</v>
      </c>
    </row>
    <row r="359" spans="4:11">
      <c r="D359">
        <f t="shared" ca="1" si="18"/>
        <v>3.1553219177629712</v>
      </c>
      <c r="K359">
        <f t="shared" ca="1" si="19"/>
        <v>0.28220508258042809</v>
      </c>
    </row>
    <row r="360" spans="4:11">
      <c r="D360">
        <f t="shared" ca="1" si="18"/>
        <v>1.9686963245822815</v>
      </c>
      <c r="K360">
        <f t="shared" ca="1" si="19"/>
        <v>2.4622835944571619</v>
      </c>
    </row>
    <row r="361" spans="4:11">
      <c r="D361">
        <f t="shared" ca="1" si="18"/>
        <v>4.85636862027539</v>
      </c>
      <c r="K361">
        <f t="shared" ca="1" si="19"/>
        <v>19.623148696892386</v>
      </c>
    </row>
    <row r="362" spans="4:11">
      <c r="D362">
        <f t="shared" ca="1" si="18"/>
        <v>3.1357639926978793</v>
      </c>
      <c r="K362">
        <f t="shared" ca="1" si="19"/>
        <v>1.7189087637732428</v>
      </c>
    </row>
    <row r="363" spans="4:11">
      <c r="D363">
        <f t="shared" ca="1" si="18"/>
        <v>4.2278615905377208</v>
      </c>
      <c r="K363">
        <f t="shared" ca="1" si="19"/>
        <v>0.67929753476906241</v>
      </c>
    </row>
    <row r="364" spans="4:11">
      <c r="D364">
        <f t="shared" ca="1" si="18"/>
        <v>1.7372113909275377</v>
      </c>
      <c r="K364">
        <f t="shared" ca="1" si="19"/>
        <v>3.4313537729268555</v>
      </c>
    </row>
    <row r="365" spans="4:11">
      <c r="D365">
        <f t="shared" ca="1" si="18"/>
        <v>4.4853091348835843</v>
      </c>
      <c r="K365">
        <f t="shared" ca="1" si="19"/>
        <v>2.4289131287442354</v>
      </c>
    </row>
    <row r="366" spans="4:11">
      <c r="D366">
        <f t="shared" ca="1" si="18"/>
        <v>0.47561558979939256</v>
      </c>
      <c r="K366">
        <f t="shared" ca="1" si="19"/>
        <v>6.5715976466022727</v>
      </c>
    </row>
    <row r="367" spans="4:11">
      <c r="D367">
        <f t="shared" ca="1" si="18"/>
        <v>0.18661601696264785</v>
      </c>
      <c r="K367">
        <f t="shared" ca="1" si="19"/>
        <v>6.0501407206072244</v>
      </c>
    </row>
    <row r="368" spans="4:11">
      <c r="D368">
        <f t="shared" ca="1" si="18"/>
        <v>9.6479314647513164</v>
      </c>
      <c r="K368">
        <f t="shared" ca="1" si="19"/>
        <v>5.9056460452961285E-2</v>
      </c>
    </row>
    <row r="369" spans="4:11">
      <c r="D369">
        <f t="shared" ca="1" si="18"/>
        <v>0.47573390543395278</v>
      </c>
      <c r="K369">
        <f t="shared" ca="1" si="19"/>
        <v>3.5861122036203845</v>
      </c>
    </row>
    <row r="370" spans="4:11">
      <c r="D370">
        <f t="shared" ca="1" si="18"/>
        <v>2.353839215862406</v>
      </c>
      <c r="K370">
        <f t="shared" ca="1" si="19"/>
        <v>0.89623285379870632</v>
      </c>
    </row>
    <row r="371" spans="4:11">
      <c r="D371">
        <f t="shared" ca="1" si="18"/>
        <v>3.189444323196402</v>
      </c>
      <c r="K371">
        <f t="shared" ca="1" si="19"/>
        <v>1.4924667912410849</v>
      </c>
    </row>
    <row r="372" spans="4:11">
      <c r="D372">
        <f t="shared" ca="1" si="18"/>
        <v>7.2395106204896713</v>
      </c>
      <c r="K372">
        <f t="shared" ca="1" si="19"/>
        <v>4.0983560580114915</v>
      </c>
    </row>
    <row r="373" spans="4:11">
      <c r="D373">
        <f t="shared" ca="1" si="18"/>
        <v>0.76279471905264318</v>
      </c>
      <c r="K373">
        <f t="shared" ca="1" si="19"/>
        <v>13.459469119451271</v>
      </c>
    </row>
    <row r="374" spans="4:11">
      <c r="D374">
        <f t="shared" ca="1" si="18"/>
        <v>3.6516387910310382</v>
      </c>
      <c r="K374">
        <f t="shared" ca="1" si="19"/>
        <v>4.7273088205744038</v>
      </c>
    </row>
    <row r="375" spans="4:11">
      <c r="D375">
        <f t="shared" ca="1" si="18"/>
        <v>3.5712561636790134</v>
      </c>
      <c r="K375">
        <f t="shared" ca="1" si="19"/>
        <v>6.456489405122726</v>
      </c>
    </row>
    <row r="376" spans="4:11">
      <c r="D376">
        <f t="shared" ca="1" si="18"/>
        <v>2.1419662485654261</v>
      </c>
      <c r="K376">
        <f t="shared" ca="1" si="19"/>
        <v>2.1264828254592718</v>
      </c>
    </row>
    <row r="377" spans="4:11">
      <c r="D377">
        <f t="shared" ca="1" si="18"/>
        <v>7.0522982146830415</v>
      </c>
      <c r="K377">
        <f t="shared" ca="1" si="19"/>
        <v>2.1588502028713625</v>
      </c>
    </row>
    <row r="378" spans="4:11">
      <c r="D378">
        <f t="shared" ca="1" si="18"/>
        <v>2.0637351857523116</v>
      </c>
      <c r="K378">
        <f t="shared" ca="1" si="19"/>
        <v>2.9431939006380237</v>
      </c>
    </row>
    <row r="379" spans="4:11">
      <c r="D379">
        <f t="shared" ca="1" si="18"/>
        <v>0.47902103739509827</v>
      </c>
      <c r="K379">
        <f t="shared" ca="1" si="19"/>
        <v>1.3090794556480998</v>
      </c>
    </row>
    <row r="380" spans="4:11">
      <c r="D380">
        <f t="shared" ca="1" si="18"/>
        <v>0.35533186944704043</v>
      </c>
      <c r="K380">
        <f t="shared" ca="1" si="19"/>
        <v>5.0690317012376411</v>
      </c>
    </row>
    <row r="381" spans="4:11">
      <c r="D381">
        <f t="shared" ca="1" si="18"/>
        <v>11.576068299889318</v>
      </c>
      <c r="K381">
        <f t="shared" ca="1" si="19"/>
        <v>0.52824021445687053</v>
      </c>
    </row>
    <row r="382" spans="4:11">
      <c r="D382">
        <f t="shared" ca="1" si="18"/>
        <v>2.2623680297237643</v>
      </c>
      <c r="K382">
        <f t="shared" ca="1" si="19"/>
        <v>0.2363594799742465</v>
      </c>
    </row>
    <row r="383" spans="4:11">
      <c r="D383">
        <f t="shared" ca="1" si="18"/>
        <v>7.8237770059430236</v>
      </c>
      <c r="K383">
        <f t="shared" ca="1" si="19"/>
        <v>2.7429320805422144</v>
      </c>
    </row>
    <row r="384" spans="4:11">
      <c r="D384">
        <f t="shared" ca="1" si="18"/>
        <v>1.2923707349332409</v>
      </c>
      <c r="K384">
        <f t="shared" ca="1" si="19"/>
        <v>0.10097179717091009</v>
      </c>
    </row>
    <row r="385" spans="4:11">
      <c r="D385">
        <f t="shared" ca="1" si="18"/>
        <v>8.1978771557423791</v>
      </c>
      <c r="K385">
        <f t="shared" ca="1" si="19"/>
        <v>2.4984167784082958</v>
      </c>
    </row>
    <row r="386" spans="4:11">
      <c r="D386">
        <f t="shared" ref="D386:D449" ca="1" si="20">GAMMAINV(RAND(),$A$2,$B$2)</f>
        <v>7.4643953475231903</v>
      </c>
      <c r="K386">
        <f t="shared" ref="K386:K449" ca="1" si="21">GAMMAINV(RAND(),$H$2,$I$2)</f>
        <v>0.78894195284738244</v>
      </c>
    </row>
    <row r="387" spans="4:11">
      <c r="D387">
        <f t="shared" ca="1" si="20"/>
        <v>3.931119779934793</v>
      </c>
      <c r="K387">
        <f t="shared" ca="1" si="21"/>
        <v>0.53618038795046585</v>
      </c>
    </row>
    <row r="388" spans="4:11">
      <c r="D388">
        <f t="shared" ca="1" si="20"/>
        <v>2.1013627184712904</v>
      </c>
      <c r="K388">
        <f t="shared" ca="1" si="21"/>
        <v>0.49434369479126528</v>
      </c>
    </row>
    <row r="389" spans="4:11">
      <c r="D389">
        <f t="shared" ca="1" si="20"/>
        <v>2.5302908887743065</v>
      </c>
      <c r="K389">
        <f t="shared" ca="1" si="21"/>
        <v>1.7934491363762071</v>
      </c>
    </row>
    <row r="390" spans="4:11">
      <c r="D390">
        <f t="shared" ca="1" si="20"/>
        <v>8.9695327969525245</v>
      </c>
      <c r="K390">
        <f t="shared" ca="1" si="21"/>
        <v>3.7733094867857879</v>
      </c>
    </row>
    <row r="391" spans="4:11">
      <c r="D391">
        <f t="shared" ca="1" si="20"/>
        <v>1.216019205644435</v>
      </c>
      <c r="K391">
        <f t="shared" ca="1" si="21"/>
        <v>3.948134199216482</v>
      </c>
    </row>
    <row r="392" spans="4:11">
      <c r="D392">
        <f t="shared" ca="1" si="20"/>
        <v>0.6189424239402328</v>
      </c>
      <c r="K392">
        <f t="shared" ca="1" si="21"/>
        <v>0.36743853251758418</v>
      </c>
    </row>
    <row r="393" spans="4:11">
      <c r="D393">
        <f t="shared" ca="1" si="20"/>
        <v>13.866393247860564</v>
      </c>
      <c r="K393">
        <f t="shared" ca="1" si="21"/>
        <v>2.0215167700270396</v>
      </c>
    </row>
    <row r="394" spans="4:11">
      <c r="D394">
        <f t="shared" ca="1" si="20"/>
        <v>0.1537603729414454</v>
      </c>
      <c r="K394">
        <f t="shared" ca="1" si="21"/>
        <v>0.55460908577067469</v>
      </c>
    </row>
    <row r="395" spans="4:11">
      <c r="D395">
        <f t="shared" ca="1" si="20"/>
        <v>2.639122797081666</v>
      </c>
      <c r="K395">
        <f t="shared" ca="1" si="21"/>
        <v>3.1230665824777608</v>
      </c>
    </row>
    <row r="396" spans="4:11">
      <c r="D396">
        <f t="shared" ca="1" si="20"/>
        <v>3.1241166206110469</v>
      </c>
      <c r="K396">
        <f t="shared" ca="1" si="21"/>
        <v>2.4051985730964578</v>
      </c>
    </row>
    <row r="397" spans="4:11">
      <c r="D397">
        <f t="shared" ca="1" si="20"/>
        <v>1.1116293789249041</v>
      </c>
      <c r="K397">
        <f t="shared" ca="1" si="21"/>
        <v>2.7504729137623682</v>
      </c>
    </row>
    <row r="398" spans="4:11">
      <c r="D398">
        <f t="shared" ca="1" si="20"/>
        <v>1.5117476419213096</v>
      </c>
      <c r="K398">
        <f t="shared" ca="1" si="21"/>
        <v>3.146321968870982</v>
      </c>
    </row>
    <row r="399" spans="4:11">
      <c r="D399">
        <f t="shared" ca="1" si="20"/>
        <v>0.99243865613089799</v>
      </c>
      <c r="K399">
        <f t="shared" ca="1" si="21"/>
        <v>2.809657517180745</v>
      </c>
    </row>
    <row r="400" spans="4:11">
      <c r="D400">
        <f t="shared" ca="1" si="20"/>
        <v>9.7146912838788531</v>
      </c>
      <c r="K400">
        <f t="shared" ca="1" si="21"/>
        <v>0.51089260452645058</v>
      </c>
    </row>
    <row r="401" spans="4:11">
      <c r="D401">
        <f t="shared" ca="1" si="20"/>
        <v>1.0842420985063255</v>
      </c>
      <c r="K401">
        <f t="shared" ca="1" si="21"/>
        <v>5.4755998244099153</v>
      </c>
    </row>
    <row r="402" spans="4:11">
      <c r="D402">
        <f t="shared" ca="1" si="20"/>
        <v>3.0583671184772019</v>
      </c>
      <c r="K402">
        <f t="shared" ca="1" si="21"/>
        <v>0.27351790333967829</v>
      </c>
    </row>
    <row r="403" spans="4:11">
      <c r="D403">
        <f t="shared" ca="1" si="20"/>
        <v>2.4302130250568288</v>
      </c>
      <c r="K403">
        <f t="shared" ca="1" si="21"/>
        <v>0.20132444201751859</v>
      </c>
    </row>
    <row r="404" spans="4:11">
      <c r="D404">
        <f t="shared" ca="1" si="20"/>
        <v>1.8112626887341285</v>
      </c>
      <c r="K404">
        <f t="shared" ca="1" si="21"/>
        <v>1.5786218728205661</v>
      </c>
    </row>
    <row r="405" spans="4:11">
      <c r="D405">
        <f t="shared" ca="1" si="20"/>
        <v>0.22033406712311593</v>
      </c>
      <c r="K405">
        <f t="shared" ca="1" si="21"/>
        <v>4.169283279981407</v>
      </c>
    </row>
    <row r="406" spans="4:11">
      <c r="D406">
        <f t="shared" ca="1" si="20"/>
        <v>0.84992212282075807</v>
      </c>
      <c r="K406">
        <f t="shared" ca="1" si="21"/>
        <v>0.87870886637735457</v>
      </c>
    </row>
    <row r="407" spans="4:11">
      <c r="D407">
        <f t="shared" ca="1" si="20"/>
        <v>4.4722452017653627</v>
      </c>
      <c r="K407">
        <f t="shared" ca="1" si="21"/>
        <v>5.2458133420069331</v>
      </c>
    </row>
    <row r="408" spans="4:11">
      <c r="D408">
        <f t="shared" ca="1" si="20"/>
        <v>2.912319060881996E-2</v>
      </c>
      <c r="K408">
        <f t="shared" ca="1" si="21"/>
        <v>0.43651347229533899</v>
      </c>
    </row>
    <row r="409" spans="4:11">
      <c r="D409">
        <f t="shared" ca="1" si="20"/>
        <v>13.995289482940123</v>
      </c>
      <c r="K409">
        <f t="shared" ca="1" si="21"/>
        <v>2.0292987333308021</v>
      </c>
    </row>
    <row r="410" spans="4:11">
      <c r="D410">
        <f t="shared" ca="1" si="20"/>
        <v>4.3860771635558358</v>
      </c>
      <c r="K410">
        <f t="shared" ca="1" si="21"/>
        <v>9.6555885892044024</v>
      </c>
    </row>
    <row r="411" spans="4:11">
      <c r="D411">
        <f t="shared" ca="1" si="20"/>
        <v>17.782897959162995</v>
      </c>
      <c r="K411">
        <f t="shared" ca="1" si="21"/>
        <v>2.9302851639355048</v>
      </c>
    </row>
    <row r="412" spans="4:11">
      <c r="D412">
        <f t="shared" ca="1" si="20"/>
        <v>10.256754313524741</v>
      </c>
      <c r="K412">
        <f t="shared" ca="1" si="21"/>
        <v>5.770493423611013</v>
      </c>
    </row>
    <row r="413" spans="4:11">
      <c r="D413">
        <f t="shared" ca="1" si="20"/>
        <v>9.6672277159821896</v>
      </c>
      <c r="K413">
        <f t="shared" ca="1" si="21"/>
        <v>6.8236322535486824</v>
      </c>
    </row>
    <row r="414" spans="4:11">
      <c r="D414">
        <f t="shared" ca="1" si="20"/>
        <v>8.2737509103410609</v>
      </c>
      <c r="K414">
        <f t="shared" ca="1" si="21"/>
        <v>0.78068566425133601</v>
      </c>
    </row>
    <row r="415" spans="4:11">
      <c r="D415">
        <f t="shared" ca="1" si="20"/>
        <v>2.6944458711702861</v>
      </c>
      <c r="K415">
        <f t="shared" ca="1" si="21"/>
        <v>0.13432012994483067</v>
      </c>
    </row>
    <row r="416" spans="4:11">
      <c r="D416">
        <f t="shared" ca="1" si="20"/>
        <v>7.8064355482645968</v>
      </c>
      <c r="K416">
        <f t="shared" ca="1" si="21"/>
        <v>6.2540706811801368</v>
      </c>
    </row>
    <row r="417" spans="4:11">
      <c r="D417">
        <f t="shared" ca="1" si="20"/>
        <v>4.9346622395295849</v>
      </c>
      <c r="K417">
        <f t="shared" ca="1" si="21"/>
        <v>0.47016481488303963</v>
      </c>
    </row>
    <row r="418" spans="4:11">
      <c r="D418">
        <f t="shared" ca="1" si="20"/>
        <v>4.4990775616580159</v>
      </c>
      <c r="K418">
        <f t="shared" ca="1" si="21"/>
        <v>0.78223352484426312</v>
      </c>
    </row>
    <row r="419" spans="4:11">
      <c r="D419">
        <f t="shared" ca="1" si="20"/>
        <v>9.4223627434212425</v>
      </c>
      <c r="K419">
        <f t="shared" ca="1" si="21"/>
        <v>7.2144136481448395</v>
      </c>
    </row>
    <row r="420" spans="4:11">
      <c r="D420">
        <f t="shared" ca="1" si="20"/>
        <v>2.0280004688847537</v>
      </c>
      <c r="K420">
        <f t="shared" ca="1" si="21"/>
        <v>1.6496700304118859</v>
      </c>
    </row>
    <row r="421" spans="4:11">
      <c r="D421">
        <f t="shared" ca="1" si="20"/>
        <v>0.17107568570860676</v>
      </c>
      <c r="K421">
        <f t="shared" ca="1" si="21"/>
        <v>9.1673031249821442</v>
      </c>
    </row>
    <row r="422" spans="4:11">
      <c r="D422">
        <f t="shared" ca="1" si="20"/>
        <v>2.8753733922597728</v>
      </c>
      <c r="K422">
        <f t="shared" ca="1" si="21"/>
        <v>2.0135719364262332E-2</v>
      </c>
    </row>
    <row r="423" spans="4:11">
      <c r="D423">
        <f t="shared" ca="1" si="20"/>
        <v>3.7447857374327338</v>
      </c>
      <c r="K423">
        <f t="shared" ca="1" si="21"/>
        <v>10.241513284332278</v>
      </c>
    </row>
    <row r="424" spans="4:11">
      <c r="D424">
        <f t="shared" ca="1" si="20"/>
        <v>2.0917706529289619</v>
      </c>
      <c r="K424">
        <f t="shared" ca="1" si="21"/>
        <v>2.1450914838818456</v>
      </c>
    </row>
    <row r="425" spans="4:11">
      <c r="D425">
        <f t="shared" ca="1" si="20"/>
        <v>1.8575310757237262</v>
      </c>
      <c r="K425">
        <f t="shared" ca="1" si="21"/>
        <v>6.8382424584218455</v>
      </c>
    </row>
    <row r="426" spans="4:11">
      <c r="D426">
        <f t="shared" ca="1" si="20"/>
        <v>2.361681780454572</v>
      </c>
      <c r="K426">
        <f t="shared" ca="1" si="21"/>
        <v>2.1431048136664392</v>
      </c>
    </row>
    <row r="427" spans="4:11">
      <c r="D427">
        <f t="shared" ca="1" si="20"/>
        <v>4.5001911628534703</v>
      </c>
      <c r="K427">
        <f t="shared" ca="1" si="21"/>
        <v>0.84210493890533011</v>
      </c>
    </row>
    <row r="428" spans="4:11">
      <c r="D428">
        <f t="shared" ca="1" si="20"/>
        <v>6.4184676445075137</v>
      </c>
      <c r="K428">
        <f t="shared" ca="1" si="21"/>
        <v>3.445253311609731</v>
      </c>
    </row>
    <row r="429" spans="4:11">
      <c r="D429">
        <f t="shared" ca="1" si="20"/>
        <v>6.9741996649593894</v>
      </c>
      <c r="K429">
        <f t="shared" ca="1" si="21"/>
        <v>3.6127785365330443</v>
      </c>
    </row>
    <row r="430" spans="4:11">
      <c r="D430">
        <f t="shared" ca="1" si="20"/>
        <v>7.2230548528951655</v>
      </c>
      <c r="K430">
        <f t="shared" ca="1" si="21"/>
        <v>6.1115110713031822</v>
      </c>
    </row>
    <row r="431" spans="4:11">
      <c r="D431">
        <f t="shared" ca="1" si="20"/>
        <v>12.729728694670431</v>
      </c>
      <c r="K431">
        <f t="shared" ca="1" si="21"/>
        <v>0.24386360967316961</v>
      </c>
    </row>
    <row r="432" spans="4:11">
      <c r="D432">
        <f t="shared" ca="1" si="20"/>
        <v>1.0454284417595412</v>
      </c>
      <c r="K432">
        <f t="shared" ca="1" si="21"/>
        <v>0.69002770513506362</v>
      </c>
    </row>
    <row r="433" spans="4:11">
      <c r="D433">
        <f t="shared" ca="1" si="20"/>
        <v>4.871959338353447</v>
      </c>
      <c r="K433">
        <f t="shared" ca="1" si="21"/>
        <v>0.85713985787206104</v>
      </c>
    </row>
    <row r="434" spans="4:11">
      <c r="D434">
        <f t="shared" ca="1" si="20"/>
        <v>3.6543099051774881</v>
      </c>
      <c r="K434">
        <f t="shared" ca="1" si="21"/>
        <v>1.7676365990568548</v>
      </c>
    </row>
    <row r="435" spans="4:11">
      <c r="D435">
        <f t="shared" ca="1" si="20"/>
        <v>6.442361437691531</v>
      </c>
      <c r="K435">
        <f t="shared" ca="1" si="21"/>
        <v>4.4711449787377031</v>
      </c>
    </row>
    <row r="436" spans="4:11">
      <c r="D436">
        <f t="shared" ca="1" si="20"/>
        <v>2.8089907798574814</v>
      </c>
      <c r="K436">
        <f t="shared" ca="1" si="21"/>
        <v>1.6297298833938219</v>
      </c>
    </row>
    <row r="437" spans="4:11">
      <c r="D437">
        <f t="shared" ca="1" si="20"/>
        <v>1.7544641835630261</v>
      </c>
      <c r="K437">
        <f t="shared" ca="1" si="21"/>
        <v>12.695404025553032</v>
      </c>
    </row>
    <row r="438" spans="4:11">
      <c r="D438">
        <f t="shared" ca="1" si="20"/>
        <v>20.556634041814547</v>
      </c>
      <c r="K438">
        <f t="shared" ca="1" si="21"/>
        <v>5.4360103821298029</v>
      </c>
    </row>
    <row r="439" spans="4:11">
      <c r="D439">
        <f t="shared" ca="1" si="20"/>
        <v>5.5301487826281832</v>
      </c>
      <c r="K439">
        <f t="shared" ca="1" si="21"/>
        <v>0.93711443246276205</v>
      </c>
    </row>
    <row r="440" spans="4:11">
      <c r="D440">
        <f t="shared" ca="1" si="20"/>
        <v>5.0104176045614075</v>
      </c>
      <c r="K440">
        <f t="shared" ca="1" si="21"/>
        <v>1.6908932798250671</v>
      </c>
    </row>
    <row r="441" spans="4:11">
      <c r="D441">
        <f t="shared" ca="1" si="20"/>
        <v>0.58069672023636354</v>
      </c>
      <c r="K441">
        <f t="shared" ca="1" si="21"/>
        <v>0.36115029938370291</v>
      </c>
    </row>
    <row r="442" spans="4:11">
      <c r="D442">
        <f t="shared" ca="1" si="20"/>
        <v>4.3586657655713825</v>
      </c>
      <c r="K442">
        <f t="shared" ca="1" si="21"/>
        <v>3.8102027920501511</v>
      </c>
    </row>
    <row r="443" spans="4:11">
      <c r="D443">
        <f t="shared" ca="1" si="20"/>
        <v>1.7201499305266608</v>
      </c>
      <c r="K443">
        <f t="shared" ca="1" si="21"/>
        <v>1.6103636246723192</v>
      </c>
    </row>
    <row r="444" spans="4:11">
      <c r="D444">
        <f t="shared" ca="1" si="20"/>
        <v>3.8871575696038736</v>
      </c>
      <c r="K444">
        <f t="shared" ca="1" si="21"/>
        <v>0.83948599434611371</v>
      </c>
    </row>
    <row r="445" spans="4:11">
      <c r="D445">
        <f t="shared" ca="1" si="20"/>
        <v>14.390819810445855</v>
      </c>
      <c r="K445">
        <f t="shared" ca="1" si="21"/>
        <v>1.2169539352606762</v>
      </c>
    </row>
    <row r="446" spans="4:11">
      <c r="D446">
        <f t="shared" ca="1" si="20"/>
        <v>1.01352647243663</v>
      </c>
      <c r="K446">
        <f t="shared" ca="1" si="21"/>
        <v>3.1998674712628432</v>
      </c>
    </row>
    <row r="447" spans="4:11">
      <c r="D447">
        <f t="shared" ca="1" si="20"/>
        <v>1.2212308869777826</v>
      </c>
      <c r="K447">
        <f t="shared" ca="1" si="21"/>
        <v>0.48305977850860138</v>
      </c>
    </row>
    <row r="448" spans="4:11">
      <c r="D448">
        <f t="shared" ca="1" si="20"/>
        <v>1.9149153642899264</v>
      </c>
      <c r="K448">
        <f t="shared" ca="1" si="21"/>
        <v>2.5624373441353425</v>
      </c>
    </row>
    <row r="449" spans="4:11">
      <c r="D449">
        <f t="shared" ca="1" si="20"/>
        <v>0.40592850738616759</v>
      </c>
      <c r="K449">
        <f t="shared" ca="1" si="21"/>
        <v>2.4623022846764098</v>
      </c>
    </row>
    <row r="450" spans="4:11">
      <c r="D450">
        <f t="shared" ref="D450:D513" ca="1" si="22">GAMMAINV(RAND(),$A$2,$B$2)</f>
        <v>14.156270559962326</v>
      </c>
      <c r="K450">
        <f t="shared" ref="K450:K513" ca="1" si="23">GAMMAINV(RAND(),$H$2,$I$2)</f>
        <v>3.5138903524190557</v>
      </c>
    </row>
    <row r="451" spans="4:11">
      <c r="D451">
        <f t="shared" ca="1" si="22"/>
        <v>4.5952152163195894</v>
      </c>
      <c r="K451">
        <f t="shared" ca="1" si="23"/>
        <v>1.1330997813308903</v>
      </c>
    </row>
    <row r="452" spans="4:11">
      <c r="D452">
        <f t="shared" ca="1" si="22"/>
        <v>5.0000253789371278</v>
      </c>
      <c r="K452">
        <f t="shared" ca="1" si="23"/>
        <v>3.0767919654438751</v>
      </c>
    </row>
    <row r="453" spans="4:11">
      <c r="D453">
        <f t="shared" ca="1" si="22"/>
        <v>4.5626428924913931</v>
      </c>
      <c r="K453">
        <f t="shared" ca="1" si="23"/>
        <v>3.0745785233542851</v>
      </c>
    </row>
    <row r="454" spans="4:11">
      <c r="D454">
        <f t="shared" ca="1" si="22"/>
        <v>3.04082163107583</v>
      </c>
      <c r="K454">
        <f t="shared" ca="1" si="23"/>
        <v>2.8582673964205831</v>
      </c>
    </row>
    <row r="455" spans="4:11">
      <c r="D455">
        <f t="shared" ca="1" si="22"/>
        <v>1.2442560464022199</v>
      </c>
      <c r="K455">
        <f t="shared" ca="1" si="23"/>
        <v>0.24383637542853082</v>
      </c>
    </row>
    <row r="456" spans="4:11">
      <c r="D456">
        <f t="shared" ca="1" si="22"/>
        <v>0.48092666817790908</v>
      </c>
      <c r="K456">
        <f t="shared" ca="1" si="23"/>
        <v>0.76706788348717914</v>
      </c>
    </row>
    <row r="457" spans="4:11">
      <c r="D457">
        <f t="shared" ca="1" si="22"/>
        <v>2.1228873563174053</v>
      </c>
      <c r="K457">
        <f t="shared" ca="1" si="23"/>
        <v>0.1192723338038017</v>
      </c>
    </row>
    <row r="458" spans="4:11">
      <c r="D458">
        <f t="shared" ca="1" si="22"/>
        <v>8.7304059496969231</v>
      </c>
      <c r="K458">
        <f t="shared" ca="1" si="23"/>
        <v>1.1592568812228548</v>
      </c>
    </row>
    <row r="459" spans="4:11">
      <c r="D459">
        <f t="shared" ca="1" si="22"/>
        <v>16.13186104088259</v>
      </c>
      <c r="K459">
        <f t="shared" ca="1" si="23"/>
        <v>4.6785748199093096</v>
      </c>
    </row>
    <row r="460" spans="4:11">
      <c r="D460">
        <f t="shared" ca="1" si="22"/>
        <v>3.8494502609249679</v>
      </c>
      <c r="K460">
        <f t="shared" ca="1" si="23"/>
        <v>6.2306565890181534E-2</v>
      </c>
    </row>
    <row r="461" spans="4:11">
      <c r="D461">
        <f t="shared" ca="1" si="22"/>
        <v>2.1510887818874043</v>
      </c>
      <c r="K461">
        <f t="shared" ca="1" si="23"/>
        <v>0.34449539843363952</v>
      </c>
    </row>
    <row r="462" spans="4:11">
      <c r="D462">
        <f t="shared" ca="1" si="22"/>
        <v>3.3381226515387867</v>
      </c>
      <c r="K462">
        <f t="shared" ca="1" si="23"/>
        <v>1.3228783387410532</v>
      </c>
    </row>
    <row r="463" spans="4:11">
      <c r="D463">
        <f t="shared" ca="1" si="22"/>
        <v>1.0844411545997676</v>
      </c>
      <c r="K463">
        <f t="shared" ca="1" si="23"/>
        <v>0.24163388633214439</v>
      </c>
    </row>
    <row r="464" spans="4:11">
      <c r="D464">
        <f t="shared" ca="1" si="22"/>
        <v>22.552487366279678</v>
      </c>
      <c r="K464">
        <f t="shared" ca="1" si="23"/>
        <v>5.1147939363662172</v>
      </c>
    </row>
    <row r="465" spans="4:11">
      <c r="D465">
        <f t="shared" ca="1" si="22"/>
        <v>0.50194291061751195</v>
      </c>
      <c r="K465">
        <f t="shared" ca="1" si="23"/>
        <v>1.5834120449613658</v>
      </c>
    </row>
    <row r="466" spans="4:11">
      <c r="D466">
        <f t="shared" ca="1" si="22"/>
        <v>17.585958233641286</v>
      </c>
      <c r="K466">
        <f t="shared" ca="1" si="23"/>
        <v>1.1783881732329222</v>
      </c>
    </row>
    <row r="467" spans="4:11">
      <c r="D467">
        <f t="shared" ca="1" si="22"/>
        <v>6.6618808823654057</v>
      </c>
      <c r="K467">
        <f t="shared" ca="1" si="23"/>
        <v>0.20332005400917175</v>
      </c>
    </row>
    <row r="468" spans="4:11">
      <c r="D468">
        <f t="shared" ca="1" si="22"/>
        <v>3.6807195299776678</v>
      </c>
      <c r="K468">
        <f t="shared" ca="1" si="23"/>
        <v>0.56918195564671548</v>
      </c>
    </row>
    <row r="469" spans="4:11">
      <c r="D469">
        <f t="shared" ca="1" si="22"/>
        <v>6.0477619674571361</v>
      </c>
      <c r="K469">
        <f t="shared" ca="1" si="23"/>
        <v>1.6952553199536675</v>
      </c>
    </row>
    <row r="470" spans="4:11">
      <c r="D470">
        <f t="shared" ca="1" si="22"/>
        <v>7.0982939135243086</v>
      </c>
      <c r="K470">
        <f t="shared" ca="1" si="23"/>
        <v>6.5844445259877897</v>
      </c>
    </row>
    <row r="471" spans="4:11">
      <c r="D471">
        <f t="shared" ca="1" si="22"/>
        <v>8.2225477105095663</v>
      </c>
      <c r="K471">
        <f t="shared" ca="1" si="23"/>
        <v>6.7482822021907332</v>
      </c>
    </row>
    <row r="472" spans="4:11">
      <c r="D472">
        <f t="shared" ca="1" si="22"/>
        <v>2.4850252042515635</v>
      </c>
      <c r="K472">
        <f t="shared" ca="1" si="23"/>
        <v>0.57390262864603558</v>
      </c>
    </row>
    <row r="473" spans="4:11">
      <c r="D473">
        <f t="shared" ca="1" si="22"/>
        <v>0.85380371462151228</v>
      </c>
      <c r="K473">
        <f t="shared" ca="1" si="23"/>
        <v>1.993886379023059</v>
      </c>
    </row>
    <row r="474" spans="4:11">
      <c r="D474">
        <f t="shared" ca="1" si="22"/>
        <v>0.39391251094696922</v>
      </c>
      <c r="K474">
        <f t="shared" ca="1" si="23"/>
        <v>0.71439754134532785</v>
      </c>
    </row>
    <row r="475" spans="4:11">
      <c r="D475">
        <f t="shared" ca="1" si="22"/>
        <v>1.7536338570667303</v>
      </c>
      <c r="K475">
        <f t="shared" ca="1" si="23"/>
        <v>0.98803318460614165</v>
      </c>
    </row>
    <row r="476" spans="4:11">
      <c r="D476">
        <f t="shared" ca="1" si="22"/>
        <v>5.5805907195734736</v>
      </c>
      <c r="K476">
        <f t="shared" ca="1" si="23"/>
        <v>0.27799537608886737</v>
      </c>
    </row>
    <row r="477" spans="4:11">
      <c r="D477">
        <f t="shared" ca="1" si="22"/>
        <v>4.6256687110977772</v>
      </c>
      <c r="K477">
        <f t="shared" ca="1" si="23"/>
        <v>0.45288724198674124</v>
      </c>
    </row>
    <row r="478" spans="4:11">
      <c r="D478">
        <f t="shared" ca="1" si="22"/>
        <v>6.4928141092661011</v>
      </c>
      <c r="K478">
        <f t="shared" ca="1" si="23"/>
        <v>3.904446425566455</v>
      </c>
    </row>
    <row r="479" spans="4:11">
      <c r="D479">
        <f t="shared" ca="1" si="22"/>
        <v>3.0492667660802697</v>
      </c>
      <c r="K479">
        <f t="shared" ca="1" si="23"/>
        <v>0.87767724961023297</v>
      </c>
    </row>
    <row r="480" spans="4:11">
      <c r="D480">
        <f t="shared" ca="1" si="22"/>
        <v>0.36388985435742727</v>
      </c>
      <c r="K480">
        <f t="shared" ca="1" si="23"/>
        <v>0.13775744055502875</v>
      </c>
    </row>
    <row r="481" spans="4:11">
      <c r="D481">
        <f t="shared" ca="1" si="22"/>
        <v>0.57440990555528648</v>
      </c>
      <c r="K481">
        <f t="shared" ca="1" si="23"/>
        <v>3.2964253765425529</v>
      </c>
    </row>
    <row r="482" spans="4:11">
      <c r="D482">
        <f t="shared" ca="1" si="22"/>
        <v>5.1553009490553876</v>
      </c>
      <c r="K482">
        <f t="shared" ca="1" si="23"/>
        <v>7.0714569056007204E-2</v>
      </c>
    </row>
    <row r="483" spans="4:11">
      <c r="D483">
        <f t="shared" ca="1" si="22"/>
        <v>5.8143547233354571</v>
      </c>
      <c r="K483">
        <f t="shared" ca="1" si="23"/>
        <v>0.18898886681562782</v>
      </c>
    </row>
    <row r="484" spans="4:11">
      <c r="D484">
        <f t="shared" ca="1" si="22"/>
        <v>2.7163617572923116</v>
      </c>
      <c r="K484">
        <f t="shared" ca="1" si="23"/>
        <v>1.0419327388372168</v>
      </c>
    </row>
    <row r="485" spans="4:11">
      <c r="D485">
        <f t="shared" ca="1" si="22"/>
        <v>12.120486757364777</v>
      </c>
      <c r="K485">
        <f t="shared" ca="1" si="23"/>
        <v>5.8928949556499468</v>
      </c>
    </row>
    <row r="486" spans="4:11">
      <c r="D486">
        <f t="shared" ca="1" si="22"/>
        <v>6.7618942591017461</v>
      </c>
      <c r="K486">
        <f t="shared" ca="1" si="23"/>
        <v>0.46176393698833529</v>
      </c>
    </row>
    <row r="487" spans="4:11">
      <c r="D487">
        <f t="shared" ca="1" si="22"/>
        <v>5.0495946951359834</v>
      </c>
      <c r="K487">
        <f t="shared" ca="1" si="23"/>
        <v>3.139015409409641</v>
      </c>
    </row>
    <row r="488" spans="4:11">
      <c r="D488">
        <f t="shared" ca="1" si="22"/>
        <v>7.1400806538017836</v>
      </c>
      <c r="K488">
        <f t="shared" ca="1" si="23"/>
        <v>0.65342980609930534</v>
      </c>
    </row>
    <row r="489" spans="4:11">
      <c r="D489">
        <f t="shared" ca="1" si="22"/>
        <v>1.8029155201328226</v>
      </c>
      <c r="K489">
        <f t="shared" ca="1" si="23"/>
        <v>1.3372716576395369</v>
      </c>
    </row>
    <row r="490" spans="4:11">
      <c r="D490">
        <f t="shared" ca="1" si="22"/>
        <v>2.7753399018421131E-2</v>
      </c>
      <c r="K490">
        <f t="shared" ca="1" si="23"/>
        <v>0.71995897268837439</v>
      </c>
    </row>
    <row r="491" spans="4:11">
      <c r="D491">
        <f t="shared" ca="1" si="22"/>
        <v>2.0291602852514457</v>
      </c>
      <c r="K491">
        <f t="shared" ca="1" si="23"/>
        <v>0.12480649532695393</v>
      </c>
    </row>
    <row r="492" spans="4:11">
      <c r="D492">
        <f t="shared" ca="1" si="22"/>
        <v>1.3085266292450948</v>
      </c>
      <c r="K492">
        <f t="shared" ca="1" si="23"/>
        <v>0.19488176687299658</v>
      </c>
    </row>
    <row r="493" spans="4:11">
      <c r="D493">
        <f t="shared" ca="1" si="22"/>
        <v>3.8148034870419751</v>
      </c>
      <c r="K493">
        <f t="shared" ca="1" si="23"/>
        <v>1.7778463620968159</v>
      </c>
    </row>
    <row r="494" spans="4:11">
      <c r="D494">
        <f t="shared" ca="1" si="22"/>
        <v>17.956544678485933</v>
      </c>
      <c r="K494">
        <f t="shared" ca="1" si="23"/>
        <v>1.8305721432244675</v>
      </c>
    </row>
    <row r="495" spans="4:11">
      <c r="D495">
        <f t="shared" ca="1" si="22"/>
        <v>13.584880211496873</v>
      </c>
      <c r="K495">
        <f t="shared" ca="1" si="23"/>
        <v>0.88944924092224653</v>
      </c>
    </row>
    <row r="496" spans="4:11">
      <c r="D496">
        <f t="shared" ca="1" si="22"/>
        <v>1.5511366019285346</v>
      </c>
      <c r="K496">
        <f t="shared" ca="1" si="23"/>
        <v>5.0450617905013697</v>
      </c>
    </row>
    <row r="497" spans="4:11">
      <c r="D497">
        <f t="shared" ca="1" si="22"/>
        <v>2.4444806312705678</v>
      </c>
      <c r="K497">
        <f t="shared" ca="1" si="23"/>
        <v>0.22255694095769385</v>
      </c>
    </row>
    <row r="498" spans="4:11">
      <c r="D498">
        <f t="shared" ca="1" si="22"/>
        <v>8.155855725090305</v>
      </c>
      <c r="K498">
        <f t="shared" ca="1" si="23"/>
        <v>2.2799284954738752</v>
      </c>
    </row>
    <row r="499" spans="4:11">
      <c r="D499">
        <f t="shared" ca="1" si="22"/>
        <v>2.4994625042210243</v>
      </c>
      <c r="K499">
        <f t="shared" ca="1" si="23"/>
        <v>2.7688073148893704</v>
      </c>
    </row>
    <row r="500" spans="4:11">
      <c r="D500">
        <f t="shared" ca="1" si="22"/>
        <v>0.10870353093267884</v>
      </c>
      <c r="K500">
        <f t="shared" ca="1" si="23"/>
        <v>2.5358648354965823</v>
      </c>
    </row>
    <row r="501" spans="4:11">
      <c r="D501">
        <f t="shared" ca="1" si="22"/>
        <v>5.4492376945203187</v>
      </c>
      <c r="K501">
        <f t="shared" ca="1" si="23"/>
        <v>1.3915744065852831</v>
      </c>
    </row>
    <row r="502" spans="4:11">
      <c r="D502">
        <f t="shared" ca="1" si="22"/>
        <v>12.847137695638704</v>
      </c>
      <c r="K502">
        <f t="shared" ca="1" si="23"/>
        <v>1.3764145547775417</v>
      </c>
    </row>
    <row r="503" spans="4:11">
      <c r="D503">
        <f t="shared" ca="1" si="22"/>
        <v>8.8783472074296093</v>
      </c>
      <c r="K503">
        <f t="shared" ca="1" si="23"/>
        <v>2.8448069138190162</v>
      </c>
    </row>
    <row r="504" spans="4:11">
      <c r="D504">
        <f t="shared" ca="1" si="22"/>
        <v>6.1553737241992028</v>
      </c>
      <c r="K504">
        <f t="shared" ca="1" si="23"/>
        <v>2.8284106557153299</v>
      </c>
    </row>
    <row r="505" spans="4:11">
      <c r="D505">
        <f t="shared" ca="1" si="22"/>
        <v>4.1237160327081348</v>
      </c>
      <c r="K505">
        <f t="shared" ca="1" si="23"/>
        <v>1.16776067762614</v>
      </c>
    </row>
    <row r="506" spans="4:11">
      <c r="D506">
        <f t="shared" ca="1" si="22"/>
        <v>0.25260642155256696</v>
      </c>
      <c r="K506">
        <f t="shared" ca="1" si="23"/>
        <v>8.3055661740949915</v>
      </c>
    </row>
    <row r="507" spans="4:11">
      <c r="D507">
        <f t="shared" ca="1" si="22"/>
        <v>10.503368430621034</v>
      </c>
      <c r="K507">
        <f t="shared" ca="1" si="23"/>
        <v>5.9038053589439046E-2</v>
      </c>
    </row>
    <row r="508" spans="4:11">
      <c r="D508">
        <f t="shared" ca="1" si="22"/>
        <v>15.21140514595994</v>
      </c>
      <c r="K508">
        <f t="shared" ca="1" si="23"/>
        <v>7.6361665885588312</v>
      </c>
    </row>
    <row r="509" spans="4:11">
      <c r="D509">
        <f t="shared" ca="1" si="22"/>
        <v>7.1501349598600772</v>
      </c>
      <c r="K509">
        <f t="shared" ca="1" si="23"/>
        <v>4.5268469859998124</v>
      </c>
    </row>
    <row r="510" spans="4:11">
      <c r="D510">
        <f t="shared" ca="1" si="22"/>
        <v>18.86257801548669</v>
      </c>
      <c r="K510">
        <f t="shared" ca="1" si="23"/>
        <v>3.385237265378171</v>
      </c>
    </row>
    <row r="511" spans="4:11">
      <c r="D511">
        <f t="shared" ca="1" si="22"/>
        <v>4.4655985933804221</v>
      </c>
      <c r="K511">
        <f t="shared" ca="1" si="23"/>
        <v>3.1891662204199038</v>
      </c>
    </row>
    <row r="512" spans="4:11">
      <c r="D512">
        <f t="shared" ca="1" si="22"/>
        <v>0.34061138984628503</v>
      </c>
      <c r="K512">
        <f t="shared" ca="1" si="23"/>
        <v>1.6887276440590662</v>
      </c>
    </row>
    <row r="513" spans="4:11">
      <c r="D513">
        <f t="shared" ca="1" si="22"/>
        <v>11.020908011938477</v>
      </c>
      <c r="K513">
        <f t="shared" ca="1" si="23"/>
        <v>4.0688025792635252E-2</v>
      </c>
    </row>
    <row r="514" spans="4:11">
      <c r="D514">
        <f t="shared" ref="D514:D577" ca="1" si="24">GAMMAINV(RAND(),$A$2,$B$2)</f>
        <v>1.7987594650622611</v>
      </c>
      <c r="K514">
        <f t="shared" ref="K514:K577" ca="1" si="25">GAMMAINV(RAND(),$H$2,$I$2)</f>
        <v>0.12218459566773238</v>
      </c>
    </row>
    <row r="515" spans="4:11">
      <c r="D515">
        <f t="shared" ca="1" si="24"/>
        <v>0.34603561369910651</v>
      </c>
      <c r="K515">
        <f t="shared" ca="1" si="25"/>
        <v>0.42849790827400147</v>
      </c>
    </row>
    <row r="516" spans="4:11">
      <c r="D516">
        <f t="shared" ca="1" si="24"/>
        <v>1.2931468829846509</v>
      </c>
      <c r="K516">
        <f t="shared" ca="1" si="25"/>
        <v>1.6537212726219521</v>
      </c>
    </row>
    <row r="517" spans="4:11">
      <c r="D517">
        <f t="shared" ca="1" si="24"/>
        <v>5.4450935246755936</v>
      </c>
      <c r="K517">
        <f t="shared" ca="1" si="25"/>
        <v>2.5740908869176495</v>
      </c>
    </row>
    <row r="518" spans="4:11">
      <c r="D518">
        <f t="shared" ca="1" si="24"/>
        <v>5.3842136886919452</v>
      </c>
      <c r="K518">
        <f t="shared" ca="1" si="25"/>
        <v>1.591137452019626</v>
      </c>
    </row>
    <row r="519" spans="4:11">
      <c r="D519">
        <f t="shared" ca="1" si="24"/>
        <v>0.56556529034677161</v>
      </c>
      <c r="K519">
        <f t="shared" ca="1" si="25"/>
        <v>15.467747963944294</v>
      </c>
    </row>
    <row r="520" spans="4:11">
      <c r="D520">
        <f t="shared" ca="1" si="24"/>
        <v>6.1719875091822622</v>
      </c>
      <c r="K520">
        <f t="shared" ca="1" si="25"/>
        <v>1.4956484178544436</v>
      </c>
    </row>
    <row r="521" spans="4:11">
      <c r="D521">
        <f t="shared" ca="1" si="24"/>
        <v>3.1688664462151328</v>
      </c>
      <c r="K521">
        <f t="shared" ca="1" si="25"/>
        <v>0.22476647500264574</v>
      </c>
    </row>
    <row r="522" spans="4:11">
      <c r="D522">
        <f t="shared" ca="1" si="24"/>
        <v>2.3480885711116031</v>
      </c>
      <c r="K522">
        <f t="shared" ca="1" si="25"/>
        <v>0.2901151414923141</v>
      </c>
    </row>
    <row r="523" spans="4:11">
      <c r="D523">
        <f t="shared" ca="1" si="24"/>
        <v>5.8632483868839227</v>
      </c>
      <c r="K523">
        <f t="shared" ca="1" si="25"/>
        <v>1.4850728529247319</v>
      </c>
    </row>
    <row r="524" spans="4:11">
      <c r="D524">
        <f t="shared" ca="1" si="24"/>
        <v>2.9567467972451169</v>
      </c>
      <c r="K524">
        <f t="shared" ca="1" si="25"/>
        <v>3.4363915573490234</v>
      </c>
    </row>
    <row r="525" spans="4:11">
      <c r="D525">
        <f t="shared" ca="1" si="24"/>
        <v>13.622247488230613</v>
      </c>
      <c r="K525">
        <f t="shared" ca="1" si="25"/>
        <v>1.0555679520627339</v>
      </c>
    </row>
    <row r="526" spans="4:11">
      <c r="D526">
        <f t="shared" ca="1" si="24"/>
        <v>1.8976331787969229</v>
      </c>
      <c r="K526">
        <f t="shared" ca="1" si="25"/>
        <v>1.3164241246791364</v>
      </c>
    </row>
    <row r="527" spans="4:11">
      <c r="D527">
        <f t="shared" ca="1" si="24"/>
        <v>2.2071561077803326</v>
      </c>
      <c r="K527">
        <f t="shared" ca="1" si="25"/>
        <v>0.20700065991272143</v>
      </c>
    </row>
    <row r="528" spans="4:11">
      <c r="D528">
        <f t="shared" ca="1" si="24"/>
        <v>9.6270779962441857</v>
      </c>
      <c r="K528">
        <f t="shared" ca="1" si="25"/>
        <v>9.7179995517185161E-3</v>
      </c>
    </row>
    <row r="529" spans="4:11">
      <c r="D529">
        <f t="shared" ca="1" si="24"/>
        <v>1.7793693395507497</v>
      </c>
      <c r="K529">
        <f t="shared" ca="1" si="25"/>
        <v>0.38477580288620228</v>
      </c>
    </row>
    <row r="530" spans="4:11">
      <c r="D530">
        <f t="shared" ca="1" si="24"/>
        <v>3.4278676379463029</v>
      </c>
      <c r="K530">
        <f t="shared" ca="1" si="25"/>
        <v>0.92847321968299656</v>
      </c>
    </row>
    <row r="531" spans="4:11">
      <c r="D531">
        <f t="shared" ca="1" si="24"/>
        <v>2.9362475233420406</v>
      </c>
      <c r="K531">
        <f t="shared" ca="1" si="25"/>
        <v>10.790718209412891</v>
      </c>
    </row>
    <row r="532" spans="4:11">
      <c r="D532">
        <f t="shared" ca="1" si="24"/>
        <v>7.7680261531579511</v>
      </c>
      <c r="K532">
        <f t="shared" ca="1" si="25"/>
        <v>3.8201617249848834</v>
      </c>
    </row>
    <row r="533" spans="4:11">
      <c r="D533">
        <f t="shared" ca="1" si="24"/>
        <v>6.1605745208240883</v>
      </c>
      <c r="K533">
        <f t="shared" ca="1" si="25"/>
        <v>2.3657549882720872</v>
      </c>
    </row>
    <row r="534" spans="4:11">
      <c r="D534">
        <f t="shared" ca="1" si="24"/>
        <v>1.5634203690110429</v>
      </c>
      <c r="K534">
        <f t="shared" ca="1" si="25"/>
        <v>2.9309327477519949</v>
      </c>
    </row>
    <row r="535" spans="4:11">
      <c r="D535">
        <f t="shared" ca="1" si="24"/>
        <v>0.90110539970943693</v>
      </c>
      <c r="K535">
        <f t="shared" ca="1" si="25"/>
        <v>2.094973142877997</v>
      </c>
    </row>
    <row r="536" spans="4:11">
      <c r="D536">
        <f t="shared" ca="1" si="24"/>
        <v>4.1038120446009554</v>
      </c>
      <c r="K536">
        <f t="shared" ca="1" si="25"/>
        <v>1.0017551968434737</v>
      </c>
    </row>
    <row r="537" spans="4:11">
      <c r="D537">
        <f t="shared" ca="1" si="24"/>
        <v>13.537603322032037</v>
      </c>
      <c r="K537">
        <f t="shared" ca="1" si="25"/>
        <v>4.4152840340418997</v>
      </c>
    </row>
    <row r="538" spans="4:11">
      <c r="D538">
        <f t="shared" ca="1" si="24"/>
        <v>8.6588194638587872</v>
      </c>
      <c r="K538">
        <f t="shared" ca="1" si="25"/>
        <v>4.2989922833589862</v>
      </c>
    </row>
    <row r="539" spans="4:11">
      <c r="D539">
        <f t="shared" ca="1" si="24"/>
        <v>11.901067088880787</v>
      </c>
      <c r="K539">
        <f t="shared" ca="1" si="25"/>
        <v>3.1032808347606142</v>
      </c>
    </row>
    <row r="540" spans="4:11">
      <c r="D540">
        <f t="shared" ca="1" si="24"/>
        <v>2.8979887224945227</v>
      </c>
      <c r="K540">
        <f t="shared" ca="1" si="25"/>
        <v>1.512086830139594</v>
      </c>
    </row>
    <row r="541" spans="4:11">
      <c r="D541">
        <f t="shared" ca="1" si="24"/>
        <v>11.208229319101594</v>
      </c>
      <c r="K541">
        <f t="shared" ca="1" si="25"/>
        <v>0.50163549874765301</v>
      </c>
    </row>
    <row r="542" spans="4:11">
      <c r="D542">
        <f t="shared" ca="1" si="24"/>
        <v>3.5545877132904442</v>
      </c>
      <c r="K542">
        <f t="shared" ca="1" si="25"/>
        <v>0.35313477643291835</v>
      </c>
    </row>
    <row r="543" spans="4:11">
      <c r="D543">
        <f t="shared" ca="1" si="24"/>
        <v>1.0956661281217372</v>
      </c>
      <c r="K543">
        <f t="shared" ca="1" si="25"/>
        <v>1.7235878433238065</v>
      </c>
    </row>
    <row r="544" spans="4:11">
      <c r="D544">
        <f t="shared" ca="1" si="24"/>
        <v>8.091665027700305</v>
      </c>
      <c r="K544">
        <f t="shared" ca="1" si="25"/>
        <v>0.97316031264835567</v>
      </c>
    </row>
    <row r="545" spans="4:11">
      <c r="D545">
        <f t="shared" ca="1" si="24"/>
        <v>3.1784365485257897</v>
      </c>
      <c r="K545">
        <f t="shared" ca="1" si="25"/>
        <v>5.5652720786311427</v>
      </c>
    </row>
    <row r="546" spans="4:11">
      <c r="D546">
        <f t="shared" ca="1" si="24"/>
        <v>15.350612490219593</v>
      </c>
      <c r="K546">
        <f t="shared" ca="1" si="25"/>
        <v>0.77357358747256777</v>
      </c>
    </row>
    <row r="547" spans="4:11">
      <c r="D547">
        <f t="shared" ca="1" si="24"/>
        <v>0.11765984768397211</v>
      </c>
      <c r="K547">
        <f t="shared" ca="1" si="25"/>
        <v>3.8591220465225913</v>
      </c>
    </row>
    <row r="548" spans="4:11">
      <c r="D548">
        <f t="shared" ca="1" si="24"/>
        <v>2.1909109848513069</v>
      </c>
      <c r="K548">
        <f t="shared" ca="1" si="25"/>
        <v>6.4880755598034607</v>
      </c>
    </row>
    <row r="549" spans="4:11">
      <c r="D549">
        <f t="shared" ca="1" si="24"/>
        <v>12.499945058599469</v>
      </c>
      <c r="K549">
        <f t="shared" ca="1" si="25"/>
        <v>2.8393673770361003</v>
      </c>
    </row>
    <row r="550" spans="4:11">
      <c r="D550">
        <f t="shared" ca="1" si="24"/>
        <v>4.7670477056150046E-2</v>
      </c>
      <c r="K550">
        <f t="shared" ca="1" si="25"/>
        <v>1.4726780450681924</v>
      </c>
    </row>
    <row r="551" spans="4:11">
      <c r="D551">
        <f t="shared" ca="1" si="24"/>
        <v>0.39743994249685599</v>
      </c>
      <c r="K551">
        <f t="shared" ca="1" si="25"/>
        <v>5.3046259339212956</v>
      </c>
    </row>
    <row r="552" spans="4:11">
      <c r="D552">
        <f t="shared" ca="1" si="24"/>
        <v>1.4341287808266481</v>
      </c>
      <c r="K552">
        <f t="shared" ca="1" si="25"/>
        <v>0.6979345583208143</v>
      </c>
    </row>
    <row r="553" spans="4:11">
      <c r="D553">
        <f t="shared" ca="1" si="24"/>
        <v>6.663304980505135</v>
      </c>
      <c r="K553">
        <f t="shared" ca="1" si="25"/>
        <v>0.42416293299534313</v>
      </c>
    </row>
    <row r="554" spans="4:11">
      <c r="D554">
        <f t="shared" ca="1" si="24"/>
        <v>0.11269169876342577</v>
      </c>
      <c r="K554">
        <f t="shared" ca="1" si="25"/>
        <v>2.7065782559238629</v>
      </c>
    </row>
    <row r="555" spans="4:11">
      <c r="D555">
        <f t="shared" ca="1" si="24"/>
        <v>2.7090394490655783</v>
      </c>
      <c r="K555">
        <f t="shared" ca="1" si="25"/>
        <v>1.4669744956269577</v>
      </c>
    </row>
    <row r="556" spans="4:11">
      <c r="D556">
        <f t="shared" ca="1" si="24"/>
        <v>6.7839339656548105</v>
      </c>
      <c r="K556">
        <f t="shared" ca="1" si="25"/>
        <v>3.0138762526892364</v>
      </c>
    </row>
    <row r="557" spans="4:11">
      <c r="D557">
        <f t="shared" ca="1" si="24"/>
        <v>17.067040011899543</v>
      </c>
      <c r="K557">
        <f t="shared" ca="1" si="25"/>
        <v>0.27256122800262761</v>
      </c>
    </row>
    <row r="558" spans="4:11">
      <c r="D558">
        <f t="shared" ca="1" si="24"/>
        <v>7.612859448345386</v>
      </c>
      <c r="K558">
        <f t="shared" ca="1" si="25"/>
        <v>0.88340312422026912</v>
      </c>
    </row>
    <row r="559" spans="4:11">
      <c r="D559">
        <f t="shared" ca="1" si="24"/>
        <v>3.0611820170385409</v>
      </c>
      <c r="K559">
        <f t="shared" ca="1" si="25"/>
        <v>1.0392360742597231</v>
      </c>
    </row>
    <row r="560" spans="4:11">
      <c r="D560">
        <f t="shared" ca="1" si="24"/>
        <v>8.3931433575124395</v>
      </c>
      <c r="K560">
        <f t="shared" ca="1" si="25"/>
        <v>0.51551111301270147</v>
      </c>
    </row>
    <row r="561" spans="4:11">
      <c r="D561">
        <f t="shared" ca="1" si="24"/>
        <v>0.90709709817397299</v>
      </c>
      <c r="K561">
        <f t="shared" ca="1" si="25"/>
        <v>0.19472473082862218</v>
      </c>
    </row>
    <row r="562" spans="4:11">
      <c r="D562">
        <f t="shared" ca="1" si="24"/>
        <v>12.33804307648187</v>
      </c>
      <c r="K562">
        <f t="shared" ca="1" si="25"/>
        <v>2.4368214846233149</v>
      </c>
    </row>
    <row r="563" spans="4:11">
      <c r="D563">
        <f t="shared" ca="1" si="24"/>
        <v>10.018008539906564</v>
      </c>
      <c r="K563">
        <f t="shared" ca="1" si="25"/>
        <v>7.3250235880981087</v>
      </c>
    </row>
    <row r="564" spans="4:11">
      <c r="D564">
        <f t="shared" ca="1" si="24"/>
        <v>3.6529790365738259</v>
      </c>
      <c r="K564">
        <f t="shared" ca="1" si="25"/>
        <v>0.6921319531062371</v>
      </c>
    </row>
    <row r="565" spans="4:11">
      <c r="D565">
        <f t="shared" ca="1" si="24"/>
        <v>5.0176766641060144</v>
      </c>
      <c r="K565">
        <f t="shared" ca="1" si="25"/>
        <v>1.2373037645445475</v>
      </c>
    </row>
    <row r="566" spans="4:11">
      <c r="D566">
        <f t="shared" ca="1" si="24"/>
        <v>2.7748128118468953</v>
      </c>
      <c r="K566">
        <f t="shared" ca="1" si="25"/>
        <v>5.6958507995459762</v>
      </c>
    </row>
    <row r="567" spans="4:11">
      <c r="D567">
        <f t="shared" ca="1" si="24"/>
        <v>2.6818474394300553</v>
      </c>
      <c r="K567">
        <f t="shared" ca="1" si="25"/>
        <v>0.97599878584951272</v>
      </c>
    </row>
    <row r="568" spans="4:11">
      <c r="D568">
        <f t="shared" ca="1" si="24"/>
        <v>4.0109549243298428</v>
      </c>
      <c r="K568">
        <f t="shared" ca="1" si="25"/>
        <v>6.562800137473121E-2</v>
      </c>
    </row>
    <row r="569" spans="4:11">
      <c r="D569">
        <f t="shared" ca="1" si="24"/>
        <v>2.9086139766628181</v>
      </c>
      <c r="K569">
        <f t="shared" ca="1" si="25"/>
        <v>5.497329493473059E-2</v>
      </c>
    </row>
    <row r="570" spans="4:11">
      <c r="D570">
        <f t="shared" ca="1" si="24"/>
        <v>3.3665356646342923</v>
      </c>
      <c r="K570">
        <f t="shared" ca="1" si="25"/>
        <v>0.75473336924947865</v>
      </c>
    </row>
    <row r="571" spans="4:11">
      <c r="D571">
        <f t="shared" ca="1" si="24"/>
        <v>0.51160154676392833</v>
      </c>
      <c r="K571">
        <f t="shared" ca="1" si="25"/>
        <v>4.2556864573502988</v>
      </c>
    </row>
    <row r="572" spans="4:11">
      <c r="D572">
        <f t="shared" ca="1" si="24"/>
        <v>10.589380851005217</v>
      </c>
      <c r="K572">
        <f t="shared" ca="1" si="25"/>
        <v>4.8549086611002696</v>
      </c>
    </row>
    <row r="573" spans="4:11">
      <c r="D573">
        <f t="shared" ca="1" si="24"/>
        <v>5.6855767830861375</v>
      </c>
      <c r="K573">
        <f t="shared" ca="1" si="25"/>
        <v>1.3639499857761366</v>
      </c>
    </row>
    <row r="574" spans="4:11">
      <c r="D574">
        <f t="shared" ca="1" si="24"/>
        <v>0.23245257622470633</v>
      </c>
      <c r="K574">
        <f t="shared" ca="1" si="25"/>
        <v>0.2278188174691535</v>
      </c>
    </row>
    <row r="575" spans="4:11">
      <c r="D575">
        <f t="shared" ca="1" si="24"/>
        <v>5.101591340316352</v>
      </c>
      <c r="K575">
        <f t="shared" ca="1" si="25"/>
        <v>6.2653492715923353E-2</v>
      </c>
    </row>
    <row r="576" spans="4:11">
      <c r="D576">
        <f t="shared" ca="1" si="24"/>
        <v>2.0173246436353143</v>
      </c>
      <c r="K576">
        <f t="shared" ca="1" si="25"/>
        <v>0.10013451635480786</v>
      </c>
    </row>
    <row r="577" spans="4:11">
      <c r="D577">
        <f t="shared" ca="1" si="24"/>
        <v>3.0808571142287775</v>
      </c>
      <c r="K577">
        <f t="shared" ca="1" si="25"/>
        <v>2.9961775270601043</v>
      </c>
    </row>
    <row r="578" spans="4:11">
      <c r="D578">
        <f t="shared" ref="D578:D641" ca="1" si="26">GAMMAINV(RAND(),$A$2,$B$2)</f>
        <v>1.1050470399035115</v>
      </c>
      <c r="K578">
        <f t="shared" ref="K578:K641" ca="1" si="27">GAMMAINV(RAND(),$H$2,$I$2)</f>
        <v>1.2891320204768304</v>
      </c>
    </row>
    <row r="579" spans="4:11">
      <c r="D579">
        <f t="shared" ca="1" si="26"/>
        <v>7.0587089872879805</v>
      </c>
      <c r="K579">
        <f t="shared" ca="1" si="27"/>
        <v>1.0217892009380223</v>
      </c>
    </row>
    <row r="580" spans="4:11">
      <c r="D580">
        <f t="shared" ca="1" si="26"/>
        <v>2.4129917124053089</v>
      </c>
      <c r="K580">
        <f t="shared" ca="1" si="27"/>
        <v>0.17039641048285065</v>
      </c>
    </row>
    <row r="581" spans="4:11">
      <c r="D581">
        <f t="shared" ca="1" si="26"/>
        <v>5.8492175376661333</v>
      </c>
      <c r="K581">
        <f t="shared" ca="1" si="27"/>
        <v>6.7578413337444374</v>
      </c>
    </row>
    <row r="582" spans="4:11">
      <c r="D582">
        <f t="shared" ca="1" si="26"/>
        <v>9.2434465739463789</v>
      </c>
      <c r="K582">
        <f t="shared" ca="1" si="27"/>
        <v>0.51815592557030588</v>
      </c>
    </row>
    <row r="583" spans="4:11">
      <c r="D583">
        <f t="shared" ca="1" si="26"/>
        <v>0.62354024703641864</v>
      </c>
      <c r="K583">
        <f t="shared" ca="1" si="27"/>
        <v>5.5811599736508644</v>
      </c>
    </row>
    <row r="584" spans="4:11">
      <c r="D584">
        <f t="shared" ca="1" si="26"/>
        <v>2.865569853386801</v>
      </c>
      <c r="K584">
        <f t="shared" ca="1" si="27"/>
        <v>2.644156067314408</v>
      </c>
    </row>
    <row r="585" spans="4:11">
      <c r="D585">
        <f t="shared" ca="1" si="26"/>
        <v>22.458329600474585</v>
      </c>
      <c r="K585">
        <f t="shared" ca="1" si="27"/>
        <v>2.736964894662675</v>
      </c>
    </row>
    <row r="586" spans="4:11">
      <c r="D586">
        <f t="shared" ca="1" si="26"/>
        <v>0.21024709627301807</v>
      </c>
      <c r="K586">
        <f t="shared" ca="1" si="27"/>
        <v>0.31417535909606109</v>
      </c>
    </row>
    <row r="587" spans="4:11">
      <c r="D587">
        <f t="shared" ca="1" si="26"/>
        <v>11.256404601237254</v>
      </c>
      <c r="K587">
        <f t="shared" ca="1" si="27"/>
        <v>1.0572251997745896</v>
      </c>
    </row>
    <row r="588" spans="4:11">
      <c r="D588">
        <f t="shared" ca="1" si="26"/>
        <v>1.524969733114137</v>
      </c>
      <c r="K588">
        <f t="shared" ca="1" si="27"/>
        <v>0.99422783315103058</v>
      </c>
    </row>
    <row r="589" spans="4:11">
      <c r="D589">
        <f t="shared" ca="1" si="26"/>
        <v>0.16889795285975218</v>
      </c>
      <c r="K589">
        <f t="shared" ca="1" si="27"/>
        <v>1.7140960350262757</v>
      </c>
    </row>
    <row r="590" spans="4:11">
      <c r="D590">
        <f t="shared" ca="1" si="26"/>
        <v>2.6914640728660357</v>
      </c>
      <c r="K590">
        <f t="shared" ca="1" si="27"/>
        <v>1.5839341964360303</v>
      </c>
    </row>
    <row r="591" spans="4:11">
      <c r="D591">
        <f t="shared" ca="1" si="26"/>
        <v>0.88420480493793785</v>
      </c>
      <c r="K591">
        <f t="shared" ca="1" si="27"/>
        <v>1.2634731196458024</v>
      </c>
    </row>
    <row r="592" spans="4:11">
      <c r="D592">
        <f t="shared" ca="1" si="26"/>
        <v>3.7846936202046395</v>
      </c>
      <c r="K592">
        <f t="shared" ca="1" si="27"/>
        <v>2.8578451193500332</v>
      </c>
    </row>
    <row r="593" spans="4:11">
      <c r="D593">
        <f t="shared" ca="1" si="26"/>
        <v>14.802984164006084</v>
      </c>
      <c r="K593">
        <f t="shared" ca="1" si="27"/>
        <v>3.8066010826317083</v>
      </c>
    </row>
    <row r="594" spans="4:11">
      <c r="D594">
        <f t="shared" ca="1" si="26"/>
        <v>32.966893971155102</v>
      </c>
      <c r="K594">
        <f t="shared" ca="1" si="27"/>
        <v>0.92079124519567146</v>
      </c>
    </row>
    <row r="595" spans="4:11">
      <c r="D595">
        <f t="shared" ca="1" si="26"/>
        <v>10.654858492089847</v>
      </c>
      <c r="K595">
        <f t="shared" ca="1" si="27"/>
        <v>4.8474472001225841</v>
      </c>
    </row>
    <row r="596" spans="4:11">
      <c r="D596">
        <f t="shared" ca="1" si="26"/>
        <v>15.195614363199411</v>
      </c>
      <c r="K596">
        <f t="shared" ca="1" si="27"/>
        <v>0.13411880513440716</v>
      </c>
    </row>
    <row r="597" spans="4:11">
      <c r="D597">
        <f t="shared" ca="1" si="26"/>
        <v>5.7564630343393901</v>
      </c>
      <c r="K597">
        <f t="shared" ca="1" si="27"/>
        <v>0.24425817372351299</v>
      </c>
    </row>
    <row r="598" spans="4:11">
      <c r="D598">
        <f t="shared" ca="1" si="26"/>
        <v>4.4590108368802657</v>
      </c>
      <c r="K598">
        <f t="shared" ca="1" si="27"/>
        <v>0.1765686193238572</v>
      </c>
    </row>
    <row r="599" spans="4:11">
      <c r="D599">
        <f t="shared" ca="1" si="26"/>
        <v>11.863560240331442</v>
      </c>
      <c r="K599">
        <f t="shared" ca="1" si="27"/>
        <v>5.188398713083048</v>
      </c>
    </row>
    <row r="600" spans="4:11">
      <c r="D600">
        <f t="shared" ca="1" si="26"/>
        <v>3.5005820408888291E-2</v>
      </c>
      <c r="K600">
        <f t="shared" ca="1" si="27"/>
        <v>1.5012388819073292</v>
      </c>
    </row>
    <row r="601" spans="4:11">
      <c r="D601">
        <f t="shared" ca="1" si="26"/>
        <v>0.77801213147562009</v>
      </c>
      <c r="K601">
        <f t="shared" ca="1" si="27"/>
        <v>0.33320932265910097</v>
      </c>
    </row>
    <row r="602" spans="4:11">
      <c r="D602">
        <f t="shared" ca="1" si="26"/>
        <v>3.3638046565152013</v>
      </c>
      <c r="K602">
        <f t="shared" ca="1" si="27"/>
        <v>0.57987861507335414</v>
      </c>
    </row>
    <row r="603" spans="4:11">
      <c r="D603">
        <f t="shared" ca="1" si="26"/>
        <v>7.6196590451208266</v>
      </c>
      <c r="K603">
        <f t="shared" ca="1" si="27"/>
        <v>3.2715266712237758</v>
      </c>
    </row>
    <row r="604" spans="4:11">
      <c r="D604">
        <f t="shared" ca="1" si="26"/>
        <v>3.0296588978293126</v>
      </c>
      <c r="K604">
        <f t="shared" ca="1" si="27"/>
        <v>2.5071523549729289</v>
      </c>
    </row>
    <row r="605" spans="4:11">
      <c r="D605">
        <f t="shared" ca="1" si="26"/>
        <v>0.78523824808138931</v>
      </c>
      <c r="K605">
        <f t="shared" ca="1" si="27"/>
        <v>0.15780882793784679</v>
      </c>
    </row>
    <row r="606" spans="4:11">
      <c r="D606">
        <f t="shared" ca="1" si="26"/>
        <v>0.26475228055402689</v>
      </c>
      <c r="K606">
        <f t="shared" ca="1" si="27"/>
        <v>0.83400833218256532</v>
      </c>
    </row>
    <row r="607" spans="4:11">
      <c r="D607">
        <f t="shared" ca="1" si="26"/>
        <v>5.6676515225966213</v>
      </c>
      <c r="K607">
        <f t="shared" ca="1" si="27"/>
        <v>0.39083224182269638</v>
      </c>
    </row>
    <row r="608" spans="4:11">
      <c r="D608">
        <f t="shared" ca="1" si="26"/>
        <v>3.8867014052297915</v>
      </c>
      <c r="K608">
        <f t="shared" ca="1" si="27"/>
        <v>1.7851948996876148</v>
      </c>
    </row>
    <row r="609" spans="4:11">
      <c r="D609">
        <f t="shared" ca="1" si="26"/>
        <v>8.219307863180042E-2</v>
      </c>
      <c r="K609">
        <f t="shared" ca="1" si="27"/>
        <v>3.2807383668945773</v>
      </c>
    </row>
    <row r="610" spans="4:11">
      <c r="D610">
        <f t="shared" ca="1" si="26"/>
        <v>0.22900202782695733</v>
      </c>
      <c r="K610">
        <f t="shared" ca="1" si="27"/>
        <v>0.63360899108638868</v>
      </c>
    </row>
    <row r="611" spans="4:11">
      <c r="D611">
        <f t="shared" ca="1" si="26"/>
        <v>1.5211095511654813</v>
      </c>
      <c r="K611">
        <f t="shared" ca="1" si="27"/>
        <v>1.6577469371062055</v>
      </c>
    </row>
    <row r="612" spans="4:11">
      <c r="D612">
        <f t="shared" ca="1" si="26"/>
        <v>0.79235727930500777</v>
      </c>
      <c r="K612">
        <f t="shared" ca="1" si="27"/>
        <v>6.8717377743139654</v>
      </c>
    </row>
    <row r="613" spans="4:11">
      <c r="D613">
        <f t="shared" ca="1" si="26"/>
        <v>0.40965907060977735</v>
      </c>
      <c r="K613">
        <f t="shared" ca="1" si="27"/>
        <v>7.1595381343869473E-4</v>
      </c>
    </row>
    <row r="614" spans="4:11">
      <c r="D614">
        <f t="shared" ca="1" si="26"/>
        <v>3.7532098165268195</v>
      </c>
      <c r="K614">
        <f t="shared" ca="1" si="27"/>
        <v>0.45242062939743866</v>
      </c>
    </row>
    <row r="615" spans="4:11">
      <c r="D615">
        <f t="shared" ca="1" si="26"/>
        <v>0.94536266550742964</v>
      </c>
      <c r="K615">
        <f t="shared" ca="1" si="27"/>
        <v>4.7242679416937996</v>
      </c>
    </row>
    <row r="616" spans="4:11">
      <c r="D616">
        <f t="shared" ca="1" si="26"/>
        <v>1.7864025499389458</v>
      </c>
      <c r="K616">
        <f t="shared" ca="1" si="27"/>
        <v>2.1603114879626375</v>
      </c>
    </row>
    <row r="617" spans="4:11">
      <c r="D617">
        <f t="shared" ca="1" si="26"/>
        <v>1.9538606266494423</v>
      </c>
      <c r="K617">
        <f t="shared" ca="1" si="27"/>
        <v>0.31661554182835794</v>
      </c>
    </row>
    <row r="618" spans="4:11">
      <c r="D618">
        <f t="shared" ca="1" si="26"/>
        <v>6.116466404873492</v>
      </c>
      <c r="K618">
        <f t="shared" ca="1" si="27"/>
        <v>7.7324090554409519</v>
      </c>
    </row>
    <row r="619" spans="4:11">
      <c r="D619">
        <f t="shared" ca="1" si="26"/>
        <v>0.2660906470077895</v>
      </c>
      <c r="K619">
        <f t="shared" ca="1" si="27"/>
        <v>3.0972542304342454</v>
      </c>
    </row>
    <row r="620" spans="4:11">
      <c r="D620">
        <f t="shared" ca="1" si="26"/>
        <v>0.6135087979128373</v>
      </c>
      <c r="K620">
        <f t="shared" ca="1" si="27"/>
        <v>3.3869467000057361</v>
      </c>
    </row>
    <row r="621" spans="4:11">
      <c r="D621">
        <f t="shared" ca="1" si="26"/>
        <v>5.2877162578542443</v>
      </c>
      <c r="K621">
        <f t="shared" ca="1" si="27"/>
        <v>6.6921539240134642</v>
      </c>
    </row>
    <row r="622" spans="4:11">
      <c r="D622">
        <f t="shared" ca="1" si="26"/>
        <v>2.0683531126922956</v>
      </c>
      <c r="K622">
        <f t="shared" ca="1" si="27"/>
        <v>0.77841993764275985</v>
      </c>
    </row>
    <row r="623" spans="4:11">
      <c r="D623">
        <f t="shared" ca="1" si="26"/>
        <v>1.2902659002183769</v>
      </c>
      <c r="K623">
        <f t="shared" ca="1" si="27"/>
        <v>5.4812189422215302E-2</v>
      </c>
    </row>
    <row r="624" spans="4:11">
      <c r="D624">
        <f t="shared" ca="1" si="26"/>
        <v>8.1864683092208921</v>
      </c>
      <c r="K624">
        <f t="shared" ca="1" si="27"/>
        <v>2.2687104215522496</v>
      </c>
    </row>
    <row r="625" spans="4:11">
      <c r="D625">
        <f t="shared" ca="1" si="26"/>
        <v>0.2877737422566875</v>
      </c>
      <c r="K625">
        <f t="shared" ca="1" si="27"/>
        <v>1.0299781844855791</v>
      </c>
    </row>
    <row r="626" spans="4:11">
      <c r="D626">
        <f t="shared" ca="1" si="26"/>
        <v>1.6629120062039049</v>
      </c>
      <c r="K626">
        <f t="shared" ca="1" si="27"/>
        <v>6.9747800852737676</v>
      </c>
    </row>
    <row r="627" spans="4:11">
      <c r="D627">
        <f t="shared" ca="1" si="26"/>
        <v>2.7262576388181037</v>
      </c>
      <c r="K627">
        <f t="shared" ca="1" si="27"/>
        <v>2.9432299746659458</v>
      </c>
    </row>
    <row r="628" spans="4:11">
      <c r="D628">
        <f t="shared" ca="1" si="26"/>
        <v>2.0965021405373614</v>
      </c>
      <c r="K628">
        <f t="shared" ca="1" si="27"/>
        <v>1.47894234402969</v>
      </c>
    </row>
    <row r="629" spans="4:11">
      <c r="D629">
        <f t="shared" ca="1" si="26"/>
        <v>9.4590950162615761E-2</v>
      </c>
      <c r="K629">
        <f t="shared" ca="1" si="27"/>
        <v>7.254330273542367E-2</v>
      </c>
    </row>
    <row r="630" spans="4:11">
      <c r="D630">
        <f t="shared" ca="1" si="26"/>
        <v>1.5261928955929216</v>
      </c>
      <c r="K630">
        <f t="shared" ca="1" si="27"/>
        <v>4.8031570432272019</v>
      </c>
    </row>
    <row r="631" spans="4:11">
      <c r="D631">
        <f t="shared" ca="1" si="26"/>
        <v>0.62137049624581908</v>
      </c>
      <c r="K631">
        <f t="shared" ca="1" si="27"/>
        <v>0.22329951467775611</v>
      </c>
    </row>
    <row r="632" spans="4:11">
      <c r="D632">
        <f t="shared" ca="1" si="26"/>
        <v>16.693946276039682</v>
      </c>
      <c r="K632">
        <f t="shared" ca="1" si="27"/>
        <v>0.18784116063400347</v>
      </c>
    </row>
    <row r="633" spans="4:11">
      <c r="D633">
        <f t="shared" ca="1" si="26"/>
        <v>0.47937847655545718</v>
      </c>
      <c r="K633">
        <f t="shared" ca="1" si="27"/>
        <v>3.9972789385140262</v>
      </c>
    </row>
    <row r="634" spans="4:11">
      <c r="D634">
        <f t="shared" ca="1" si="26"/>
        <v>1.7244765716113171</v>
      </c>
      <c r="K634">
        <f t="shared" ca="1" si="27"/>
        <v>0.48503317939805279</v>
      </c>
    </row>
    <row r="635" spans="4:11">
      <c r="D635">
        <f t="shared" ca="1" si="26"/>
        <v>0.53811894052802933</v>
      </c>
      <c r="K635">
        <f t="shared" ca="1" si="27"/>
        <v>1.5692974744265213</v>
      </c>
    </row>
    <row r="636" spans="4:11">
      <c r="D636">
        <f t="shared" ca="1" si="26"/>
        <v>4.7176470241302226</v>
      </c>
      <c r="K636">
        <f t="shared" ca="1" si="27"/>
        <v>2.6944597988996435</v>
      </c>
    </row>
    <row r="637" spans="4:11">
      <c r="D637">
        <f t="shared" ca="1" si="26"/>
        <v>7.3034728942590519</v>
      </c>
      <c r="K637">
        <f t="shared" ca="1" si="27"/>
        <v>2.0853877320342891</v>
      </c>
    </row>
    <row r="638" spans="4:11">
      <c r="D638">
        <f t="shared" ca="1" si="26"/>
        <v>2.5767585472557712</v>
      </c>
      <c r="K638">
        <f t="shared" ca="1" si="27"/>
        <v>4.0141579223645998</v>
      </c>
    </row>
    <row r="639" spans="4:11">
      <c r="D639">
        <f t="shared" ca="1" si="26"/>
        <v>0.64270907891053963</v>
      </c>
      <c r="K639">
        <f t="shared" ca="1" si="27"/>
        <v>0.27913332659035095</v>
      </c>
    </row>
    <row r="640" spans="4:11">
      <c r="D640">
        <f t="shared" ca="1" si="26"/>
        <v>0.12115189386529662</v>
      </c>
      <c r="K640">
        <f t="shared" ca="1" si="27"/>
        <v>4.3574732967230079E-2</v>
      </c>
    </row>
    <row r="641" spans="4:11">
      <c r="D641">
        <f t="shared" ca="1" si="26"/>
        <v>14.887972635350245</v>
      </c>
      <c r="K641">
        <f t="shared" ca="1" si="27"/>
        <v>2.7717656159811801</v>
      </c>
    </row>
    <row r="642" spans="4:11">
      <c r="D642">
        <f t="shared" ref="D642:D705" ca="1" si="28">GAMMAINV(RAND(),$A$2,$B$2)</f>
        <v>3.8228215435783752E-2</v>
      </c>
      <c r="K642">
        <f t="shared" ref="K642:K705" ca="1" si="29">GAMMAINV(RAND(),$H$2,$I$2)</f>
        <v>0.32178910503934643</v>
      </c>
    </row>
    <row r="643" spans="4:11">
      <c r="D643">
        <f t="shared" ca="1" si="28"/>
        <v>1.1966427923230243</v>
      </c>
      <c r="K643">
        <f t="shared" ca="1" si="29"/>
        <v>0.45639590206448954</v>
      </c>
    </row>
    <row r="644" spans="4:11">
      <c r="D644">
        <f t="shared" ca="1" si="28"/>
        <v>2.9873637192468054</v>
      </c>
      <c r="K644">
        <f t="shared" ca="1" si="29"/>
        <v>3.8489459241147506</v>
      </c>
    </row>
    <row r="645" spans="4:11">
      <c r="D645">
        <f t="shared" ca="1" si="28"/>
        <v>2.0473574939178167</v>
      </c>
      <c r="K645">
        <f t="shared" ca="1" si="29"/>
        <v>1.3870144343509119</v>
      </c>
    </row>
    <row r="646" spans="4:11">
      <c r="D646">
        <f t="shared" ca="1" si="28"/>
        <v>3.9328139281874712</v>
      </c>
      <c r="K646">
        <f t="shared" ca="1" si="29"/>
        <v>5.5859822123722491</v>
      </c>
    </row>
    <row r="647" spans="4:11">
      <c r="D647">
        <f t="shared" ca="1" si="28"/>
        <v>1.7732652011798473</v>
      </c>
      <c r="K647">
        <f t="shared" ca="1" si="29"/>
        <v>3.2908945152548981</v>
      </c>
    </row>
    <row r="648" spans="4:11">
      <c r="D648">
        <f t="shared" ca="1" si="28"/>
        <v>5.6873874644692552</v>
      </c>
      <c r="K648">
        <f t="shared" ca="1" si="29"/>
        <v>1.3038361684754904</v>
      </c>
    </row>
    <row r="649" spans="4:11">
      <c r="D649">
        <f t="shared" ca="1" si="28"/>
        <v>10.363111318674807</v>
      </c>
      <c r="K649">
        <f t="shared" ca="1" si="29"/>
        <v>1.691069829615202</v>
      </c>
    </row>
    <row r="650" spans="4:11">
      <c r="D650">
        <f t="shared" ca="1" si="28"/>
        <v>0.82593425105655682</v>
      </c>
      <c r="K650">
        <f t="shared" ca="1" si="29"/>
        <v>1.5716964913746958</v>
      </c>
    </row>
    <row r="651" spans="4:11">
      <c r="D651">
        <f t="shared" ca="1" si="28"/>
        <v>3.6326145440826743</v>
      </c>
      <c r="K651">
        <f t="shared" ca="1" si="29"/>
        <v>2.2067988014860571</v>
      </c>
    </row>
    <row r="652" spans="4:11">
      <c r="D652">
        <f t="shared" ca="1" si="28"/>
        <v>2.4987864072407104</v>
      </c>
      <c r="K652">
        <f t="shared" ca="1" si="29"/>
        <v>0.59445866600493358</v>
      </c>
    </row>
    <row r="653" spans="4:11">
      <c r="D653">
        <f t="shared" ca="1" si="28"/>
        <v>3.6886564739803394</v>
      </c>
      <c r="K653">
        <f t="shared" ca="1" si="29"/>
        <v>2.0284011370747947</v>
      </c>
    </row>
    <row r="654" spans="4:11">
      <c r="D654">
        <f t="shared" ca="1" si="28"/>
        <v>0.30950436426881212</v>
      </c>
      <c r="K654">
        <f t="shared" ca="1" si="29"/>
        <v>1.4866800260977464</v>
      </c>
    </row>
    <row r="655" spans="4:11">
      <c r="D655">
        <f t="shared" ca="1" si="28"/>
        <v>2.4943995706217299</v>
      </c>
      <c r="K655">
        <f t="shared" ca="1" si="29"/>
        <v>0.65032094348325375</v>
      </c>
    </row>
    <row r="656" spans="4:11">
      <c r="D656">
        <f t="shared" ca="1" si="28"/>
        <v>0.60807017731012469</v>
      </c>
      <c r="K656">
        <f t="shared" ca="1" si="29"/>
        <v>2.4646337776111418</v>
      </c>
    </row>
    <row r="657" spans="4:11">
      <c r="D657">
        <f t="shared" ca="1" si="28"/>
        <v>14.043178334779729</v>
      </c>
      <c r="K657">
        <f t="shared" ca="1" si="29"/>
        <v>2.5471289480804886</v>
      </c>
    </row>
    <row r="658" spans="4:11">
      <c r="D658">
        <f t="shared" ca="1" si="28"/>
        <v>3.9879152052745921</v>
      </c>
      <c r="K658">
        <f t="shared" ca="1" si="29"/>
        <v>1.2872638866623527</v>
      </c>
    </row>
    <row r="659" spans="4:11">
      <c r="D659">
        <f t="shared" ca="1" si="28"/>
        <v>7.994058010727878</v>
      </c>
      <c r="K659">
        <f t="shared" ca="1" si="29"/>
        <v>1.9038356126818439</v>
      </c>
    </row>
    <row r="660" spans="4:11">
      <c r="D660">
        <f t="shared" ca="1" si="28"/>
        <v>1.6294134013017225</v>
      </c>
      <c r="K660">
        <f t="shared" ca="1" si="29"/>
        <v>0.62670175379689019</v>
      </c>
    </row>
    <row r="661" spans="4:11">
      <c r="D661">
        <f t="shared" ca="1" si="28"/>
        <v>4.5849169371679164</v>
      </c>
      <c r="K661">
        <f t="shared" ca="1" si="29"/>
        <v>0.6870456794195916</v>
      </c>
    </row>
    <row r="662" spans="4:11">
      <c r="D662">
        <f t="shared" ca="1" si="28"/>
        <v>0.15759888577811737</v>
      </c>
      <c r="K662">
        <f t="shared" ca="1" si="29"/>
        <v>4.1654604224402352</v>
      </c>
    </row>
    <row r="663" spans="4:11">
      <c r="D663">
        <f t="shared" ca="1" si="28"/>
        <v>2.5738059477869353</v>
      </c>
      <c r="K663">
        <f t="shared" ca="1" si="29"/>
        <v>2.9057168610192763</v>
      </c>
    </row>
    <row r="664" spans="4:11">
      <c r="D664">
        <f t="shared" ca="1" si="28"/>
        <v>9.2790595499174415</v>
      </c>
      <c r="K664">
        <f t="shared" ca="1" si="29"/>
        <v>11.023908503429425</v>
      </c>
    </row>
    <row r="665" spans="4:11">
      <c r="D665">
        <f t="shared" ca="1" si="28"/>
        <v>4.0912731513568623</v>
      </c>
      <c r="K665">
        <f t="shared" ca="1" si="29"/>
        <v>1.0913319678301741</v>
      </c>
    </row>
    <row r="666" spans="4:11">
      <c r="D666">
        <f t="shared" ca="1" si="28"/>
        <v>3.2891176185947222</v>
      </c>
      <c r="K666">
        <f t="shared" ca="1" si="29"/>
        <v>0.3962632780091675</v>
      </c>
    </row>
    <row r="667" spans="4:11">
      <c r="D667">
        <f t="shared" ca="1" si="28"/>
        <v>9.7539189089457459</v>
      </c>
      <c r="K667">
        <f t="shared" ca="1" si="29"/>
        <v>4.1183146106039565</v>
      </c>
    </row>
    <row r="668" spans="4:11">
      <c r="D668">
        <f t="shared" ca="1" si="28"/>
        <v>1.6471147574877434</v>
      </c>
      <c r="K668">
        <f t="shared" ca="1" si="29"/>
        <v>1.1750421987272288</v>
      </c>
    </row>
    <row r="669" spans="4:11">
      <c r="D669">
        <f t="shared" ca="1" si="28"/>
        <v>6.0716761180037189</v>
      </c>
      <c r="K669">
        <f t="shared" ca="1" si="29"/>
        <v>5.6775485749335033</v>
      </c>
    </row>
    <row r="670" spans="4:11">
      <c r="D670">
        <f t="shared" ca="1" si="28"/>
        <v>1.5033011466629866</v>
      </c>
      <c r="K670">
        <f t="shared" ca="1" si="29"/>
        <v>2.3078597658382609</v>
      </c>
    </row>
    <row r="671" spans="4:11">
      <c r="D671">
        <f t="shared" ca="1" si="28"/>
        <v>5.1265812197400731</v>
      </c>
      <c r="K671">
        <f t="shared" ca="1" si="29"/>
        <v>2.780990006689211</v>
      </c>
    </row>
    <row r="672" spans="4:11">
      <c r="D672">
        <f t="shared" ca="1" si="28"/>
        <v>3.251243488319818</v>
      </c>
      <c r="K672">
        <f t="shared" ca="1" si="29"/>
        <v>6.2430208882130273E-2</v>
      </c>
    </row>
    <row r="673" spans="4:11">
      <c r="D673">
        <f t="shared" ca="1" si="28"/>
        <v>8.9357587153175011</v>
      </c>
      <c r="K673">
        <f t="shared" ca="1" si="29"/>
        <v>2.2049543101184259</v>
      </c>
    </row>
    <row r="674" spans="4:11">
      <c r="D674">
        <f t="shared" ca="1" si="28"/>
        <v>2.0425114973305512</v>
      </c>
      <c r="K674">
        <f t="shared" ca="1" si="29"/>
        <v>5.0311476512453321</v>
      </c>
    </row>
    <row r="675" spans="4:11">
      <c r="D675">
        <f t="shared" ca="1" si="28"/>
        <v>0.27261691011130351</v>
      </c>
      <c r="K675">
        <f t="shared" ca="1" si="29"/>
        <v>0.94265559634425067</v>
      </c>
    </row>
    <row r="676" spans="4:11">
      <c r="D676">
        <f t="shared" ca="1" si="28"/>
        <v>1.1462320284183249</v>
      </c>
      <c r="K676">
        <f t="shared" ca="1" si="29"/>
        <v>1.1267625007661612</v>
      </c>
    </row>
    <row r="677" spans="4:11">
      <c r="D677">
        <f t="shared" ca="1" si="28"/>
        <v>9.0465630611193859</v>
      </c>
      <c r="K677">
        <f t="shared" ca="1" si="29"/>
        <v>0.81182502998264083</v>
      </c>
    </row>
    <row r="678" spans="4:11">
      <c r="D678">
        <f t="shared" ca="1" si="28"/>
        <v>2.2837700036003055</v>
      </c>
      <c r="K678">
        <f t="shared" ca="1" si="29"/>
        <v>2.0033718588307146</v>
      </c>
    </row>
    <row r="679" spans="4:11">
      <c r="D679">
        <f t="shared" ca="1" si="28"/>
        <v>1.0063613604401986</v>
      </c>
      <c r="K679">
        <f t="shared" ca="1" si="29"/>
        <v>1.1094867082194804</v>
      </c>
    </row>
    <row r="680" spans="4:11">
      <c r="D680">
        <f t="shared" ca="1" si="28"/>
        <v>6.7457334010813302E-2</v>
      </c>
      <c r="K680">
        <f t="shared" ca="1" si="29"/>
        <v>1.5432858946340389</v>
      </c>
    </row>
    <row r="681" spans="4:11">
      <c r="D681">
        <f t="shared" ca="1" si="28"/>
        <v>0.13177238261064028</v>
      </c>
      <c r="K681">
        <f t="shared" ca="1" si="29"/>
        <v>0.784469289264629</v>
      </c>
    </row>
    <row r="682" spans="4:11">
      <c r="D682">
        <f t="shared" ca="1" si="28"/>
        <v>7.0705060619841777</v>
      </c>
      <c r="K682">
        <f t="shared" ca="1" si="29"/>
        <v>0.84464770548549017</v>
      </c>
    </row>
    <row r="683" spans="4:11">
      <c r="D683">
        <f t="shared" ca="1" si="28"/>
        <v>1.2294747187270501</v>
      </c>
      <c r="K683">
        <f t="shared" ca="1" si="29"/>
        <v>1.5249805090381852</v>
      </c>
    </row>
    <row r="684" spans="4:11">
      <c r="D684">
        <f t="shared" ca="1" si="28"/>
        <v>2.2965146868601138</v>
      </c>
      <c r="K684">
        <f t="shared" ca="1" si="29"/>
        <v>0.66261952354418141</v>
      </c>
    </row>
    <row r="685" spans="4:11">
      <c r="D685">
        <f t="shared" ca="1" si="28"/>
        <v>0.42642966067384092</v>
      </c>
      <c r="K685">
        <f t="shared" ca="1" si="29"/>
        <v>0.36008086539026318</v>
      </c>
    </row>
    <row r="686" spans="4:11">
      <c r="D686">
        <f t="shared" ca="1" si="28"/>
        <v>1.8044644845859819</v>
      </c>
      <c r="K686">
        <f t="shared" ca="1" si="29"/>
        <v>0.57140536040630696</v>
      </c>
    </row>
    <row r="687" spans="4:11">
      <c r="D687">
        <f t="shared" ca="1" si="28"/>
        <v>4.1893302410734954</v>
      </c>
      <c r="K687">
        <f t="shared" ca="1" si="29"/>
        <v>1.765902837466105</v>
      </c>
    </row>
    <row r="688" spans="4:11">
      <c r="D688">
        <f t="shared" ca="1" si="28"/>
        <v>1.2563319330310159</v>
      </c>
      <c r="K688">
        <f t="shared" ca="1" si="29"/>
        <v>3.4342919690167699</v>
      </c>
    </row>
    <row r="689" spans="4:11">
      <c r="D689">
        <f t="shared" ca="1" si="28"/>
        <v>0.1656849711191592</v>
      </c>
      <c r="K689">
        <f t="shared" ca="1" si="29"/>
        <v>4.83673631427666</v>
      </c>
    </row>
    <row r="690" spans="4:11">
      <c r="D690">
        <f t="shared" ca="1" si="28"/>
        <v>13.576944908437884</v>
      </c>
      <c r="K690">
        <f t="shared" ca="1" si="29"/>
        <v>0.10655629861447405</v>
      </c>
    </row>
    <row r="691" spans="4:11">
      <c r="D691">
        <f t="shared" ca="1" si="28"/>
        <v>2.4760170418847096</v>
      </c>
      <c r="K691">
        <f t="shared" ca="1" si="29"/>
        <v>1.5308496569202471E-2</v>
      </c>
    </row>
    <row r="692" spans="4:11">
      <c r="D692">
        <f t="shared" ca="1" si="28"/>
        <v>5.013074615117608</v>
      </c>
      <c r="K692">
        <f t="shared" ca="1" si="29"/>
        <v>7.7294797192677009</v>
      </c>
    </row>
    <row r="693" spans="4:11">
      <c r="D693">
        <f t="shared" ca="1" si="28"/>
        <v>4.6861955408651852</v>
      </c>
      <c r="K693">
        <f t="shared" ca="1" si="29"/>
        <v>1.4660259144887706</v>
      </c>
    </row>
    <row r="694" spans="4:11">
      <c r="D694">
        <f t="shared" ca="1" si="28"/>
        <v>2.7214097328261655</v>
      </c>
      <c r="K694">
        <f t="shared" ca="1" si="29"/>
        <v>1.4551805472998685</v>
      </c>
    </row>
    <row r="695" spans="4:11">
      <c r="D695">
        <f t="shared" ca="1" si="28"/>
        <v>1.2885334065520988</v>
      </c>
      <c r="K695">
        <f t="shared" ca="1" si="29"/>
        <v>1.8731226200811166</v>
      </c>
    </row>
    <row r="696" spans="4:11">
      <c r="D696">
        <f t="shared" ca="1" si="28"/>
        <v>3.9177519031933166</v>
      </c>
      <c r="K696">
        <f t="shared" ca="1" si="29"/>
        <v>3.1252527001933057</v>
      </c>
    </row>
    <row r="697" spans="4:11">
      <c r="D697">
        <f t="shared" ca="1" si="28"/>
        <v>6.6854664579725629</v>
      </c>
      <c r="K697">
        <f t="shared" ca="1" si="29"/>
        <v>7.3559791846961637</v>
      </c>
    </row>
    <row r="698" spans="4:11">
      <c r="D698">
        <f t="shared" ca="1" si="28"/>
        <v>3.3994919529789209</v>
      </c>
      <c r="K698">
        <f t="shared" ca="1" si="29"/>
        <v>8.9542317547577563E-3</v>
      </c>
    </row>
    <row r="699" spans="4:11">
      <c r="D699">
        <f t="shared" ca="1" si="28"/>
        <v>6.0720349208956588</v>
      </c>
      <c r="K699">
        <f t="shared" ca="1" si="29"/>
        <v>1.0933739313771293</v>
      </c>
    </row>
    <row r="700" spans="4:11">
      <c r="D700">
        <f t="shared" ca="1" si="28"/>
        <v>2.1279234973908983</v>
      </c>
      <c r="K700">
        <f t="shared" ca="1" si="29"/>
        <v>6.6439088986668811</v>
      </c>
    </row>
    <row r="701" spans="4:11">
      <c r="D701">
        <f t="shared" ca="1" si="28"/>
        <v>1.6234679908833938</v>
      </c>
      <c r="K701">
        <f t="shared" ca="1" si="29"/>
        <v>5.5809634607250729</v>
      </c>
    </row>
    <row r="702" spans="4:11">
      <c r="D702">
        <f t="shared" ca="1" si="28"/>
        <v>0.86144217222997499</v>
      </c>
      <c r="K702">
        <f t="shared" ca="1" si="29"/>
        <v>0.5653316791720735</v>
      </c>
    </row>
    <row r="703" spans="4:11">
      <c r="D703">
        <f t="shared" ca="1" si="28"/>
        <v>6.5443347350618541</v>
      </c>
      <c r="K703">
        <f t="shared" ca="1" si="29"/>
        <v>0.2670392178219505</v>
      </c>
    </row>
    <row r="704" spans="4:11">
      <c r="D704">
        <f t="shared" ca="1" si="28"/>
        <v>0.93046991389448563</v>
      </c>
      <c r="K704">
        <f t="shared" ca="1" si="29"/>
        <v>1.739845067489405</v>
      </c>
    </row>
    <row r="705" spans="4:11">
      <c r="D705">
        <f t="shared" ca="1" si="28"/>
        <v>6.0014450800868975</v>
      </c>
      <c r="K705">
        <f t="shared" ca="1" si="29"/>
        <v>0.11132353396891947</v>
      </c>
    </row>
    <row r="706" spans="4:11">
      <c r="D706">
        <f t="shared" ref="D706:D769" ca="1" si="30">GAMMAINV(RAND(),$A$2,$B$2)</f>
        <v>12.324535595085354</v>
      </c>
      <c r="K706">
        <f t="shared" ref="K706:K769" ca="1" si="31">GAMMAINV(RAND(),$H$2,$I$2)</f>
        <v>0.17227190719589541</v>
      </c>
    </row>
    <row r="707" spans="4:11">
      <c r="D707">
        <f t="shared" ca="1" si="30"/>
        <v>0.90576465425149522</v>
      </c>
      <c r="K707">
        <f t="shared" ca="1" si="31"/>
        <v>0.59971720508888637</v>
      </c>
    </row>
    <row r="708" spans="4:11">
      <c r="D708">
        <f t="shared" ca="1" si="30"/>
        <v>0.51923431527843511</v>
      </c>
      <c r="K708">
        <f t="shared" ca="1" si="31"/>
        <v>0.67509674807267572</v>
      </c>
    </row>
    <row r="709" spans="4:11">
      <c r="D709">
        <f t="shared" ca="1" si="30"/>
        <v>6.8937344083097116</v>
      </c>
      <c r="K709">
        <f t="shared" ca="1" si="31"/>
        <v>0.32257821303108469</v>
      </c>
    </row>
    <row r="710" spans="4:11">
      <c r="D710">
        <f t="shared" ca="1" si="30"/>
        <v>1.3974186675179423</v>
      </c>
      <c r="K710">
        <f t="shared" ca="1" si="31"/>
        <v>2.684097431248289</v>
      </c>
    </row>
    <row r="711" spans="4:11">
      <c r="D711">
        <f t="shared" ca="1" si="30"/>
        <v>3.9846318427987697</v>
      </c>
      <c r="K711">
        <f t="shared" ca="1" si="31"/>
        <v>3.6852969122733112</v>
      </c>
    </row>
    <row r="712" spans="4:11">
      <c r="D712">
        <f t="shared" ca="1" si="30"/>
        <v>1.1330987895921099</v>
      </c>
      <c r="K712">
        <f t="shared" ca="1" si="31"/>
        <v>2.013223762738475</v>
      </c>
    </row>
    <row r="713" spans="4:11">
      <c r="D713">
        <f t="shared" ca="1" si="30"/>
        <v>12.382693467169219</v>
      </c>
      <c r="K713">
        <f t="shared" ca="1" si="31"/>
        <v>0.79957700891466232</v>
      </c>
    </row>
    <row r="714" spans="4:11">
      <c r="D714">
        <f t="shared" ca="1" si="30"/>
        <v>2.0139539333200238</v>
      </c>
      <c r="K714">
        <f t="shared" ca="1" si="31"/>
        <v>6.457551342868193</v>
      </c>
    </row>
    <row r="715" spans="4:11">
      <c r="D715">
        <f t="shared" ca="1" si="30"/>
        <v>0.4611339562715987</v>
      </c>
      <c r="K715">
        <f t="shared" ca="1" si="31"/>
        <v>6.2579366850679694</v>
      </c>
    </row>
    <row r="716" spans="4:11">
      <c r="D716">
        <f t="shared" ca="1" si="30"/>
        <v>0.80890989045678019</v>
      </c>
      <c r="K716">
        <f t="shared" ca="1" si="31"/>
        <v>0.89060174796069402</v>
      </c>
    </row>
    <row r="717" spans="4:11">
      <c r="D717">
        <f t="shared" ca="1" si="30"/>
        <v>1.6806732939280211</v>
      </c>
      <c r="K717">
        <f t="shared" ca="1" si="31"/>
        <v>6.4160921517101704E-2</v>
      </c>
    </row>
    <row r="718" spans="4:11">
      <c r="D718">
        <f t="shared" ca="1" si="30"/>
        <v>17.140726218603191</v>
      </c>
      <c r="K718">
        <f t="shared" ca="1" si="31"/>
        <v>0.60441942101201329</v>
      </c>
    </row>
    <row r="719" spans="4:11">
      <c r="D719">
        <f t="shared" ca="1" si="30"/>
        <v>4.1564453468437873E-2</v>
      </c>
      <c r="K719">
        <f t="shared" ca="1" si="31"/>
        <v>0.98765467219364123</v>
      </c>
    </row>
    <row r="720" spans="4:11">
      <c r="D720">
        <f t="shared" ca="1" si="30"/>
        <v>15.230262981693652</v>
      </c>
      <c r="K720">
        <f t="shared" ca="1" si="31"/>
        <v>3.5004633014164739</v>
      </c>
    </row>
    <row r="721" spans="4:11">
      <c r="D721">
        <f t="shared" ca="1" si="30"/>
        <v>3.5699674121278679</v>
      </c>
      <c r="K721">
        <f t="shared" ca="1" si="31"/>
        <v>0.23905928165959556</v>
      </c>
    </row>
    <row r="722" spans="4:11">
      <c r="D722">
        <f t="shared" ca="1" si="30"/>
        <v>2.8324489854674564</v>
      </c>
      <c r="K722">
        <f t="shared" ca="1" si="31"/>
        <v>0.2306943654932414</v>
      </c>
    </row>
    <row r="723" spans="4:11">
      <c r="D723">
        <f t="shared" ca="1" si="30"/>
        <v>1.6373386628717532</v>
      </c>
      <c r="K723">
        <f t="shared" ca="1" si="31"/>
        <v>0.51547091357852537</v>
      </c>
    </row>
    <row r="724" spans="4:11">
      <c r="D724">
        <f t="shared" ca="1" si="30"/>
        <v>0.85450209866332738</v>
      </c>
      <c r="K724">
        <f t="shared" ca="1" si="31"/>
        <v>0.85440079916922351</v>
      </c>
    </row>
    <row r="725" spans="4:11">
      <c r="D725">
        <f t="shared" ca="1" si="30"/>
        <v>2.4595467749011393</v>
      </c>
      <c r="K725">
        <f t="shared" ca="1" si="31"/>
        <v>3.0982665616074376</v>
      </c>
    </row>
    <row r="726" spans="4:11">
      <c r="D726">
        <f t="shared" ca="1" si="30"/>
        <v>7.9804152653857692</v>
      </c>
      <c r="K726">
        <f t="shared" ca="1" si="31"/>
        <v>2.1448584576694865</v>
      </c>
    </row>
    <row r="727" spans="4:11">
      <c r="D727">
        <f t="shared" ca="1" si="30"/>
        <v>5.7216123964602819</v>
      </c>
      <c r="K727">
        <f t="shared" ca="1" si="31"/>
        <v>6.1397594453674889E-2</v>
      </c>
    </row>
    <row r="728" spans="4:11">
      <c r="D728">
        <f t="shared" ca="1" si="30"/>
        <v>9.4659613141085153</v>
      </c>
      <c r="K728">
        <f t="shared" ca="1" si="31"/>
        <v>2.4057541074756905</v>
      </c>
    </row>
    <row r="729" spans="4:11">
      <c r="D729">
        <f t="shared" ca="1" si="30"/>
        <v>0.45023320243625231</v>
      </c>
      <c r="K729">
        <f t="shared" ca="1" si="31"/>
        <v>3.0265861922533492</v>
      </c>
    </row>
    <row r="730" spans="4:11">
      <c r="D730">
        <f t="shared" ca="1" si="30"/>
        <v>2.2208944372026904</v>
      </c>
      <c r="K730">
        <f t="shared" ca="1" si="31"/>
        <v>3.4044295470806745</v>
      </c>
    </row>
    <row r="731" spans="4:11">
      <c r="D731">
        <f t="shared" ca="1" si="30"/>
        <v>0.11308974083838802</v>
      </c>
      <c r="K731">
        <f t="shared" ca="1" si="31"/>
        <v>0.48605931313527095</v>
      </c>
    </row>
    <row r="732" spans="4:11">
      <c r="D732">
        <f t="shared" ca="1" si="30"/>
        <v>4.1258527090998331</v>
      </c>
      <c r="K732">
        <f t="shared" ca="1" si="31"/>
        <v>3.3693038498090008E-2</v>
      </c>
    </row>
    <row r="733" spans="4:11">
      <c r="D733">
        <f t="shared" ca="1" si="30"/>
        <v>3.3925692295361367</v>
      </c>
      <c r="K733">
        <f t="shared" ca="1" si="31"/>
        <v>0.35971206531103495</v>
      </c>
    </row>
    <row r="734" spans="4:11">
      <c r="D734">
        <f t="shared" ca="1" si="30"/>
        <v>1.6478110033446085</v>
      </c>
      <c r="K734">
        <f t="shared" ca="1" si="31"/>
        <v>8.7556074825381813</v>
      </c>
    </row>
    <row r="735" spans="4:11">
      <c r="D735">
        <f t="shared" ca="1" si="30"/>
        <v>16.696106317715433</v>
      </c>
      <c r="K735">
        <f t="shared" ca="1" si="31"/>
        <v>0.71992760689495894</v>
      </c>
    </row>
    <row r="736" spans="4:11">
      <c r="D736">
        <f t="shared" ca="1" si="30"/>
        <v>0.41461972399482983</v>
      </c>
      <c r="K736">
        <f t="shared" ca="1" si="31"/>
        <v>5.412820084882874</v>
      </c>
    </row>
    <row r="737" spans="4:11">
      <c r="D737">
        <f t="shared" ca="1" si="30"/>
        <v>2.8949621844160189</v>
      </c>
      <c r="K737">
        <f t="shared" ca="1" si="31"/>
        <v>2.1942390342049531</v>
      </c>
    </row>
    <row r="738" spans="4:11">
      <c r="D738">
        <f t="shared" ca="1" si="30"/>
        <v>6.3985553212459934</v>
      </c>
      <c r="K738">
        <f t="shared" ca="1" si="31"/>
        <v>4.4206769651778846</v>
      </c>
    </row>
    <row r="739" spans="4:11">
      <c r="D739">
        <f t="shared" ca="1" si="30"/>
        <v>0.6825449653429172</v>
      </c>
      <c r="K739">
        <f t="shared" ca="1" si="31"/>
        <v>1.0292176379173599</v>
      </c>
    </row>
    <row r="740" spans="4:11">
      <c r="D740">
        <f t="shared" ca="1" si="30"/>
        <v>6.5260008548992445</v>
      </c>
      <c r="K740">
        <f t="shared" ca="1" si="31"/>
        <v>2.9631405394118451</v>
      </c>
    </row>
    <row r="741" spans="4:11">
      <c r="D741">
        <f t="shared" ca="1" si="30"/>
        <v>3.2379530100037055</v>
      </c>
      <c r="K741">
        <f t="shared" ca="1" si="31"/>
        <v>0.50117965762263239</v>
      </c>
    </row>
    <row r="742" spans="4:11">
      <c r="D742">
        <f t="shared" ca="1" si="30"/>
        <v>1.0283051661229412</v>
      </c>
      <c r="K742">
        <f t="shared" ca="1" si="31"/>
        <v>5.7284583379586217E-3</v>
      </c>
    </row>
    <row r="743" spans="4:11">
      <c r="D743">
        <f t="shared" ca="1" si="30"/>
        <v>22.417109730740123</v>
      </c>
      <c r="K743">
        <f t="shared" ca="1" si="31"/>
        <v>2.9257781741801265</v>
      </c>
    </row>
    <row r="744" spans="4:11">
      <c r="D744">
        <f t="shared" ca="1" si="30"/>
        <v>1.4468457969934105</v>
      </c>
      <c r="K744">
        <f t="shared" ca="1" si="31"/>
        <v>4.2890562346146002</v>
      </c>
    </row>
    <row r="745" spans="4:11">
      <c r="D745">
        <f t="shared" ca="1" si="30"/>
        <v>9.6043894035611785</v>
      </c>
      <c r="K745">
        <f t="shared" ca="1" si="31"/>
        <v>0.10371203824673927</v>
      </c>
    </row>
    <row r="746" spans="4:11">
      <c r="D746">
        <f t="shared" ca="1" si="30"/>
        <v>4.9126304560279195</v>
      </c>
      <c r="K746">
        <f t="shared" ca="1" si="31"/>
        <v>0.17219136132941265</v>
      </c>
    </row>
    <row r="747" spans="4:11">
      <c r="D747">
        <f t="shared" ca="1" si="30"/>
        <v>4.691754576869279</v>
      </c>
      <c r="K747">
        <f t="shared" ca="1" si="31"/>
        <v>0.51675577728975242</v>
      </c>
    </row>
    <row r="748" spans="4:11">
      <c r="D748">
        <f t="shared" ca="1" si="30"/>
        <v>1.7278361635806472</v>
      </c>
      <c r="K748">
        <f t="shared" ca="1" si="31"/>
        <v>5.4092097060304418</v>
      </c>
    </row>
    <row r="749" spans="4:11">
      <c r="D749">
        <f t="shared" ca="1" si="30"/>
        <v>7.1570061008340815</v>
      </c>
      <c r="K749">
        <f t="shared" ca="1" si="31"/>
        <v>0.62892825338997782</v>
      </c>
    </row>
    <row r="750" spans="4:11">
      <c r="D750">
        <f t="shared" ca="1" si="30"/>
        <v>3.3267661665165686</v>
      </c>
      <c r="K750">
        <f t="shared" ca="1" si="31"/>
        <v>1.425327716166382</v>
      </c>
    </row>
    <row r="751" spans="4:11">
      <c r="D751">
        <f t="shared" ca="1" si="30"/>
        <v>2.2217612281735342</v>
      </c>
      <c r="K751">
        <f t="shared" ca="1" si="31"/>
        <v>7.8575774673199934</v>
      </c>
    </row>
    <row r="752" spans="4:11">
      <c r="D752">
        <f t="shared" ca="1" si="30"/>
        <v>3.1482051796473094</v>
      </c>
      <c r="K752">
        <f t="shared" ca="1" si="31"/>
        <v>5.6217276336143254</v>
      </c>
    </row>
    <row r="753" spans="4:11">
      <c r="D753">
        <f t="shared" ca="1" si="30"/>
        <v>13.945765764707151</v>
      </c>
      <c r="K753">
        <f t="shared" ca="1" si="31"/>
        <v>1.4371423003361792</v>
      </c>
    </row>
    <row r="754" spans="4:11">
      <c r="D754">
        <f t="shared" ca="1" si="30"/>
        <v>8.5255404088636837</v>
      </c>
      <c r="K754">
        <f t="shared" ca="1" si="31"/>
        <v>2.1142788541661455</v>
      </c>
    </row>
    <row r="755" spans="4:11">
      <c r="D755">
        <f t="shared" ca="1" si="30"/>
        <v>9.0552387424899443</v>
      </c>
      <c r="K755">
        <f t="shared" ca="1" si="31"/>
        <v>8.0655695929455149</v>
      </c>
    </row>
    <row r="756" spans="4:11">
      <c r="D756">
        <f t="shared" ca="1" si="30"/>
        <v>22.239948375016382</v>
      </c>
      <c r="K756">
        <f t="shared" ca="1" si="31"/>
        <v>2.4172201370016202</v>
      </c>
    </row>
    <row r="757" spans="4:11">
      <c r="D757">
        <f t="shared" ca="1" si="30"/>
        <v>0.73633654357693401</v>
      </c>
      <c r="K757">
        <f t="shared" ca="1" si="31"/>
        <v>1.6677728871890456</v>
      </c>
    </row>
    <row r="758" spans="4:11">
      <c r="D758">
        <f t="shared" ca="1" si="30"/>
        <v>7.0060522292958538</v>
      </c>
      <c r="K758">
        <f t="shared" ca="1" si="31"/>
        <v>1.5978236602957678</v>
      </c>
    </row>
    <row r="759" spans="4:11">
      <c r="D759">
        <f t="shared" ca="1" si="30"/>
        <v>12.971884106354324</v>
      </c>
      <c r="K759">
        <f t="shared" ca="1" si="31"/>
        <v>8.3700724605426906</v>
      </c>
    </row>
    <row r="760" spans="4:11">
      <c r="D760">
        <f t="shared" ca="1" si="30"/>
        <v>1.8073935295204628</v>
      </c>
      <c r="K760">
        <f t="shared" ca="1" si="31"/>
        <v>0.13144621961248515</v>
      </c>
    </row>
    <row r="761" spans="4:11">
      <c r="D761">
        <f t="shared" ca="1" si="30"/>
        <v>0.77544433145682001</v>
      </c>
      <c r="K761">
        <f t="shared" ca="1" si="31"/>
        <v>0.40630866220232442</v>
      </c>
    </row>
    <row r="762" spans="4:11">
      <c r="D762">
        <f t="shared" ca="1" si="30"/>
        <v>6.2308955820675402E-2</v>
      </c>
      <c r="K762">
        <f t="shared" ca="1" si="31"/>
        <v>0.13503261331518818</v>
      </c>
    </row>
    <row r="763" spans="4:11">
      <c r="D763">
        <f t="shared" ca="1" si="30"/>
        <v>8.3440817453409579</v>
      </c>
      <c r="K763">
        <f t="shared" ca="1" si="31"/>
        <v>1.1741844927147946</v>
      </c>
    </row>
    <row r="764" spans="4:11">
      <c r="D764">
        <f t="shared" ca="1" si="30"/>
        <v>1.198798131522556</v>
      </c>
      <c r="K764">
        <f t="shared" ca="1" si="31"/>
        <v>2.4227902960375944</v>
      </c>
    </row>
    <row r="765" spans="4:11">
      <c r="D765">
        <f t="shared" ca="1" si="30"/>
        <v>0.99216208489023439</v>
      </c>
      <c r="K765">
        <f t="shared" ca="1" si="31"/>
        <v>4.3945421015619814</v>
      </c>
    </row>
    <row r="766" spans="4:11">
      <c r="D766">
        <f t="shared" ca="1" si="30"/>
        <v>4.392584585491349</v>
      </c>
      <c r="K766">
        <f t="shared" ca="1" si="31"/>
        <v>2.9971165719996788</v>
      </c>
    </row>
    <row r="767" spans="4:11">
      <c r="D767">
        <f t="shared" ca="1" si="30"/>
        <v>4.02567479851146</v>
      </c>
      <c r="K767">
        <f t="shared" ca="1" si="31"/>
        <v>1.0962587804313273</v>
      </c>
    </row>
    <row r="768" spans="4:11">
      <c r="D768">
        <f t="shared" ca="1" si="30"/>
        <v>19.068169371250079</v>
      </c>
      <c r="K768">
        <f t="shared" ca="1" si="31"/>
        <v>6.8454088004989568</v>
      </c>
    </row>
    <row r="769" spans="4:11">
      <c r="D769">
        <f t="shared" ca="1" si="30"/>
        <v>9.0778686550412466</v>
      </c>
      <c r="K769">
        <f t="shared" ca="1" si="31"/>
        <v>1.456543901832434</v>
      </c>
    </row>
    <row r="770" spans="4:11">
      <c r="D770">
        <f t="shared" ref="D770:D833" ca="1" si="32">GAMMAINV(RAND(),$A$2,$B$2)</f>
        <v>36.788305051090987</v>
      </c>
      <c r="K770">
        <f t="shared" ref="K770:K833" ca="1" si="33">GAMMAINV(RAND(),$H$2,$I$2)</f>
        <v>1.0723739356866307E-2</v>
      </c>
    </row>
    <row r="771" spans="4:11">
      <c r="D771">
        <f t="shared" ca="1" si="32"/>
        <v>25.812221858369796</v>
      </c>
      <c r="K771">
        <f t="shared" ca="1" si="33"/>
        <v>2.495700949807758</v>
      </c>
    </row>
    <row r="772" spans="4:11">
      <c r="D772">
        <f t="shared" ca="1" si="32"/>
        <v>5.5397247485660479</v>
      </c>
      <c r="K772">
        <f t="shared" ca="1" si="33"/>
        <v>2.0013142645207438</v>
      </c>
    </row>
    <row r="773" spans="4:11">
      <c r="D773">
        <f t="shared" ca="1" si="32"/>
        <v>2.1908171830770371</v>
      </c>
      <c r="K773">
        <f t="shared" ca="1" si="33"/>
        <v>0.39610617580737983</v>
      </c>
    </row>
    <row r="774" spans="4:11">
      <c r="D774">
        <f t="shared" ca="1" si="32"/>
        <v>15.814423616691236</v>
      </c>
      <c r="K774">
        <f t="shared" ca="1" si="33"/>
        <v>0.72662937431015151</v>
      </c>
    </row>
    <row r="775" spans="4:11">
      <c r="D775">
        <f t="shared" ca="1" si="32"/>
        <v>4.5441656225487286</v>
      </c>
      <c r="K775">
        <f t="shared" ca="1" si="33"/>
        <v>0.2055324771128853</v>
      </c>
    </row>
    <row r="776" spans="4:11">
      <c r="D776">
        <f t="shared" ca="1" si="32"/>
        <v>0.91147986640875556</v>
      </c>
      <c r="K776">
        <f t="shared" ca="1" si="33"/>
        <v>0.31796959279592418</v>
      </c>
    </row>
    <row r="777" spans="4:11">
      <c r="D777">
        <f t="shared" ca="1" si="32"/>
        <v>13.37325051170545</v>
      </c>
      <c r="K777">
        <f t="shared" ca="1" si="33"/>
        <v>0.75120112676558493</v>
      </c>
    </row>
    <row r="778" spans="4:11">
      <c r="D778">
        <f t="shared" ca="1" si="32"/>
        <v>2.4126765080328232</v>
      </c>
      <c r="K778">
        <f t="shared" ca="1" si="33"/>
        <v>3.3305960496338471</v>
      </c>
    </row>
    <row r="779" spans="4:11">
      <c r="D779">
        <f t="shared" ca="1" si="32"/>
        <v>10.327693576695076</v>
      </c>
      <c r="K779">
        <f t="shared" ca="1" si="33"/>
        <v>0.39809731746890786</v>
      </c>
    </row>
    <row r="780" spans="4:11">
      <c r="D780">
        <f t="shared" ca="1" si="32"/>
        <v>3.428271583069721</v>
      </c>
      <c r="K780">
        <f t="shared" ca="1" si="33"/>
        <v>1.5274048384741081</v>
      </c>
    </row>
    <row r="781" spans="4:11">
      <c r="D781">
        <f t="shared" ca="1" si="32"/>
        <v>4.3202564255445228</v>
      </c>
      <c r="K781">
        <f t="shared" ca="1" si="33"/>
        <v>4.5253142039562029</v>
      </c>
    </row>
    <row r="782" spans="4:11">
      <c r="D782">
        <f t="shared" ca="1" si="32"/>
        <v>2.9132868167881814</v>
      </c>
      <c r="K782">
        <f t="shared" ca="1" si="33"/>
        <v>8.1148021408688997</v>
      </c>
    </row>
    <row r="783" spans="4:11">
      <c r="D783">
        <f t="shared" ca="1" si="32"/>
        <v>4.3878227905746101</v>
      </c>
      <c r="K783">
        <f t="shared" ca="1" si="33"/>
        <v>2.3807719043848206</v>
      </c>
    </row>
    <row r="784" spans="4:11">
      <c r="D784">
        <f t="shared" ca="1" si="32"/>
        <v>0.60765767567957019</v>
      </c>
      <c r="K784">
        <f t="shared" ca="1" si="33"/>
        <v>18.615839226691484</v>
      </c>
    </row>
    <row r="785" spans="4:11">
      <c r="D785">
        <f t="shared" ca="1" si="32"/>
        <v>2.7416520567816915</v>
      </c>
      <c r="K785">
        <f t="shared" ca="1" si="33"/>
        <v>0.19285225452194588</v>
      </c>
    </row>
    <row r="786" spans="4:11">
      <c r="D786">
        <f t="shared" ca="1" si="32"/>
        <v>0.74955813122236914</v>
      </c>
      <c r="K786">
        <f t="shared" ca="1" si="33"/>
        <v>0.71967580079782745</v>
      </c>
    </row>
    <row r="787" spans="4:11">
      <c r="D787">
        <f t="shared" ca="1" si="32"/>
        <v>13.903376933571053</v>
      </c>
      <c r="K787">
        <f t="shared" ca="1" si="33"/>
        <v>0.6667560719554273</v>
      </c>
    </row>
    <row r="788" spans="4:11">
      <c r="D788">
        <f t="shared" ca="1" si="32"/>
        <v>7.7062914080324934</v>
      </c>
      <c r="K788">
        <f t="shared" ca="1" si="33"/>
        <v>4.9909355761244676</v>
      </c>
    </row>
    <row r="789" spans="4:11">
      <c r="D789">
        <f t="shared" ca="1" si="32"/>
        <v>0.22281835079227857</v>
      </c>
      <c r="K789">
        <f t="shared" ca="1" si="33"/>
        <v>4.7363198503145476</v>
      </c>
    </row>
    <row r="790" spans="4:11">
      <c r="D790">
        <f t="shared" ca="1" si="32"/>
        <v>0.39374585893096847</v>
      </c>
      <c r="K790">
        <f t="shared" ca="1" si="33"/>
        <v>7.5313050472672707</v>
      </c>
    </row>
    <row r="791" spans="4:11">
      <c r="D791">
        <f t="shared" ca="1" si="32"/>
        <v>5.7848314052100627E-2</v>
      </c>
      <c r="K791">
        <f t="shared" ca="1" si="33"/>
        <v>7.4372019859854852</v>
      </c>
    </row>
    <row r="792" spans="4:11">
      <c r="D792">
        <f t="shared" ca="1" si="32"/>
        <v>1.0774917766306729</v>
      </c>
      <c r="K792">
        <f t="shared" ca="1" si="33"/>
        <v>2.2958089868769553</v>
      </c>
    </row>
    <row r="793" spans="4:11">
      <c r="D793">
        <f t="shared" ca="1" si="32"/>
        <v>9.7977069631164291</v>
      </c>
      <c r="K793">
        <f t="shared" ca="1" si="33"/>
        <v>2.358996352312098</v>
      </c>
    </row>
    <row r="794" spans="4:11">
      <c r="D794">
        <f t="shared" ca="1" si="32"/>
        <v>6.9431313901489683E-2</v>
      </c>
      <c r="K794">
        <f t="shared" ca="1" si="33"/>
        <v>0.24187352789905436</v>
      </c>
    </row>
    <row r="795" spans="4:11">
      <c r="D795">
        <f t="shared" ca="1" si="32"/>
        <v>14.30690963746898</v>
      </c>
      <c r="K795">
        <f t="shared" ca="1" si="33"/>
        <v>1.5068465064064931</v>
      </c>
    </row>
    <row r="796" spans="4:11">
      <c r="D796">
        <f t="shared" ca="1" si="32"/>
        <v>2.7084762460838343</v>
      </c>
      <c r="K796">
        <f t="shared" ca="1" si="33"/>
        <v>2.2759867397757541</v>
      </c>
    </row>
    <row r="797" spans="4:11">
      <c r="D797">
        <f t="shared" ca="1" si="32"/>
        <v>11.189683789032877</v>
      </c>
      <c r="K797">
        <f t="shared" ca="1" si="33"/>
        <v>9.4045791945037926E-2</v>
      </c>
    </row>
    <row r="798" spans="4:11">
      <c r="D798">
        <f t="shared" ca="1" si="32"/>
        <v>1.3376606051571582</v>
      </c>
      <c r="K798">
        <f t="shared" ca="1" si="33"/>
        <v>0.54590569920139975</v>
      </c>
    </row>
    <row r="799" spans="4:11">
      <c r="D799">
        <f t="shared" ca="1" si="32"/>
        <v>3.2943449155345617</v>
      </c>
      <c r="K799">
        <f t="shared" ca="1" si="33"/>
        <v>2.0010493744676778E-3</v>
      </c>
    </row>
    <row r="800" spans="4:11">
      <c r="D800">
        <f t="shared" ca="1" si="32"/>
        <v>15.386953657314915</v>
      </c>
      <c r="K800">
        <f t="shared" ca="1" si="33"/>
        <v>6.8178780189260841</v>
      </c>
    </row>
    <row r="801" spans="4:11">
      <c r="D801">
        <f t="shared" ca="1" si="32"/>
        <v>3.1178978327468998E-3</v>
      </c>
      <c r="K801">
        <f t="shared" ca="1" si="33"/>
        <v>1.3032694232496529</v>
      </c>
    </row>
    <row r="802" spans="4:11">
      <c r="D802">
        <f t="shared" ca="1" si="32"/>
        <v>2.2189930939334026</v>
      </c>
      <c r="K802">
        <f t="shared" ca="1" si="33"/>
        <v>2.7354364389698533</v>
      </c>
    </row>
    <row r="803" spans="4:11">
      <c r="D803">
        <f t="shared" ca="1" si="32"/>
        <v>12.632028061029626</v>
      </c>
      <c r="K803">
        <f t="shared" ca="1" si="33"/>
        <v>2.1777213271436002</v>
      </c>
    </row>
    <row r="804" spans="4:11">
      <c r="D804">
        <f t="shared" ca="1" si="32"/>
        <v>2.5897155478825171</v>
      </c>
      <c r="K804">
        <f t="shared" ca="1" si="33"/>
        <v>0.21263107160205014</v>
      </c>
    </row>
    <row r="805" spans="4:11">
      <c r="D805">
        <f t="shared" ca="1" si="32"/>
        <v>4.4466465534909378</v>
      </c>
      <c r="K805">
        <f t="shared" ca="1" si="33"/>
        <v>10.590170286986773</v>
      </c>
    </row>
    <row r="806" spans="4:11">
      <c r="D806">
        <f t="shared" ca="1" si="32"/>
        <v>7.6118548426470021</v>
      </c>
      <c r="K806">
        <f t="shared" ca="1" si="33"/>
        <v>7.0710810999230986</v>
      </c>
    </row>
    <row r="807" spans="4:11">
      <c r="D807">
        <f t="shared" ca="1" si="32"/>
        <v>11.335215134185123</v>
      </c>
      <c r="K807">
        <f t="shared" ca="1" si="33"/>
        <v>2.1269616954543302</v>
      </c>
    </row>
    <row r="808" spans="4:11">
      <c r="D808">
        <f t="shared" ca="1" si="32"/>
        <v>4.4781952527583897</v>
      </c>
      <c r="K808">
        <f t="shared" ca="1" si="33"/>
        <v>0.62671566723853411</v>
      </c>
    </row>
    <row r="809" spans="4:11">
      <c r="D809">
        <f t="shared" ca="1" si="32"/>
        <v>8.0366121569171547</v>
      </c>
      <c r="K809">
        <f t="shared" ca="1" si="33"/>
        <v>5.1153679818029124E-2</v>
      </c>
    </row>
    <row r="810" spans="4:11">
      <c r="D810">
        <f t="shared" ca="1" si="32"/>
        <v>13.389126383876395</v>
      </c>
      <c r="K810">
        <f t="shared" ca="1" si="33"/>
        <v>1.716276296133306</v>
      </c>
    </row>
    <row r="811" spans="4:11">
      <c r="D811">
        <f t="shared" ca="1" si="32"/>
        <v>0.89475192835591022</v>
      </c>
      <c r="K811">
        <f t="shared" ca="1" si="33"/>
        <v>2.7852935662160136E-3</v>
      </c>
    </row>
    <row r="812" spans="4:11">
      <c r="D812">
        <f t="shared" ca="1" si="32"/>
        <v>0.78534872440982917</v>
      </c>
      <c r="K812">
        <f t="shared" ca="1" si="33"/>
        <v>1.0392290275401788</v>
      </c>
    </row>
    <row r="813" spans="4:11">
      <c r="D813">
        <f t="shared" ca="1" si="32"/>
        <v>8.7438394767891694</v>
      </c>
      <c r="K813">
        <f t="shared" ca="1" si="33"/>
        <v>1.5434367457685521</v>
      </c>
    </row>
    <row r="814" spans="4:11">
      <c r="D814">
        <f t="shared" ca="1" si="32"/>
        <v>5.5667445472255128</v>
      </c>
      <c r="K814">
        <f t="shared" ca="1" si="33"/>
        <v>2.4966143668310004</v>
      </c>
    </row>
    <row r="815" spans="4:11">
      <c r="D815">
        <f t="shared" ca="1" si="32"/>
        <v>0.27672291913726321</v>
      </c>
      <c r="K815">
        <f t="shared" ca="1" si="33"/>
        <v>11.273154782009929</v>
      </c>
    </row>
    <row r="816" spans="4:11">
      <c r="D816">
        <f t="shared" ca="1" si="32"/>
        <v>3.6613268915814805</v>
      </c>
      <c r="K816">
        <f t="shared" ca="1" si="33"/>
        <v>2.899918492645618E-2</v>
      </c>
    </row>
    <row r="817" spans="4:11">
      <c r="D817">
        <f t="shared" ca="1" si="32"/>
        <v>6.5347907734776616</v>
      </c>
      <c r="K817">
        <f t="shared" ca="1" si="33"/>
        <v>1.0841574214192544</v>
      </c>
    </row>
    <row r="818" spans="4:11">
      <c r="D818">
        <f t="shared" ca="1" si="32"/>
        <v>8.4889691108126328</v>
      </c>
      <c r="K818">
        <f t="shared" ca="1" si="33"/>
        <v>2.9634554269297242</v>
      </c>
    </row>
    <row r="819" spans="4:11">
      <c r="D819">
        <f t="shared" ca="1" si="32"/>
        <v>2.2385832199006188</v>
      </c>
      <c r="K819">
        <f t="shared" ca="1" si="33"/>
        <v>3.314805805998704</v>
      </c>
    </row>
    <row r="820" spans="4:11">
      <c r="D820">
        <f t="shared" ca="1" si="32"/>
        <v>0.62198649143990159</v>
      </c>
      <c r="K820">
        <f t="shared" ca="1" si="33"/>
        <v>12.168310214620693</v>
      </c>
    </row>
    <row r="821" spans="4:11">
      <c r="D821">
        <f t="shared" ca="1" si="32"/>
        <v>1.3355408816750542</v>
      </c>
      <c r="K821">
        <f t="shared" ca="1" si="33"/>
        <v>1.1670497348528293</v>
      </c>
    </row>
    <row r="822" spans="4:11">
      <c r="D822">
        <f t="shared" ca="1" si="32"/>
        <v>2.9681848019346146</v>
      </c>
      <c r="K822">
        <f t="shared" ca="1" si="33"/>
        <v>4.0878725946452281</v>
      </c>
    </row>
    <row r="823" spans="4:11">
      <c r="D823">
        <f t="shared" ca="1" si="32"/>
        <v>6.5647261903646541</v>
      </c>
      <c r="K823">
        <f t="shared" ca="1" si="33"/>
        <v>1.1069392713888493</v>
      </c>
    </row>
    <row r="824" spans="4:11">
      <c r="D824">
        <f t="shared" ca="1" si="32"/>
        <v>11.615958449656503</v>
      </c>
      <c r="K824">
        <f t="shared" ca="1" si="33"/>
        <v>5.4241424526916635</v>
      </c>
    </row>
    <row r="825" spans="4:11">
      <c r="D825">
        <f t="shared" ca="1" si="32"/>
        <v>12.492395933565803</v>
      </c>
      <c r="K825">
        <f t="shared" ca="1" si="33"/>
        <v>3.3286946728603857</v>
      </c>
    </row>
    <row r="826" spans="4:11">
      <c r="D826">
        <f t="shared" ca="1" si="32"/>
        <v>17.388025260532423</v>
      </c>
      <c r="K826">
        <f t="shared" ca="1" si="33"/>
        <v>5.0283616918939558</v>
      </c>
    </row>
    <row r="827" spans="4:11">
      <c r="D827">
        <f t="shared" ca="1" si="32"/>
        <v>3.8887001058111673E-2</v>
      </c>
      <c r="K827">
        <f t="shared" ca="1" si="33"/>
        <v>0.38211289521106517</v>
      </c>
    </row>
    <row r="828" spans="4:11">
      <c r="D828">
        <f t="shared" ca="1" si="32"/>
        <v>2.4166155654810479</v>
      </c>
      <c r="K828">
        <f t="shared" ca="1" si="33"/>
        <v>4.66365232431877</v>
      </c>
    </row>
    <row r="829" spans="4:11">
      <c r="D829">
        <f t="shared" ca="1" si="32"/>
        <v>7.395999469384968</v>
      </c>
      <c r="K829">
        <f t="shared" ca="1" si="33"/>
        <v>1.5655962526255851</v>
      </c>
    </row>
    <row r="830" spans="4:11">
      <c r="D830">
        <f t="shared" ca="1" si="32"/>
        <v>0.53492528593831024</v>
      </c>
      <c r="K830">
        <f t="shared" ca="1" si="33"/>
        <v>3.8118839159102063</v>
      </c>
    </row>
    <row r="831" spans="4:11">
      <c r="D831">
        <f t="shared" ca="1" si="32"/>
        <v>7.4438737192348309E-2</v>
      </c>
      <c r="K831">
        <f t="shared" ca="1" si="33"/>
        <v>0.164009770714722</v>
      </c>
    </row>
    <row r="832" spans="4:11">
      <c r="D832">
        <f t="shared" ca="1" si="32"/>
        <v>0.38759096853326125</v>
      </c>
      <c r="K832">
        <f t="shared" ca="1" si="33"/>
        <v>1.4517551503567969E-2</v>
      </c>
    </row>
    <row r="833" spans="4:11">
      <c r="D833">
        <f t="shared" ca="1" si="32"/>
        <v>12.646793905154674</v>
      </c>
      <c r="K833">
        <f t="shared" ca="1" si="33"/>
        <v>4.8020500414702932E-2</v>
      </c>
    </row>
    <row r="834" spans="4:11">
      <c r="D834">
        <f t="shared" ref="D834:D897" ca="1" si="34">GAMMAINV(RAND(),$A$2,$B$2)</f>
        <v>1.0096437290430966</v>
      </c>
      <c r="K834">
        <f t="shared" ref="K834:K897" ca="1" si="35">GAMMAINV(RAND(),$H$2,$I$2)</f>
        <v>6.7999938679138072</v>
      </c>
    </row>
    <row r="835" spans="4:11">
      <c r="D835">
        <f t="shared" ca="1" si="34"/>
        <v>3.3175420008648251</v>
      </c>
      <c r="K835">
        <f t="shared" ca="1" si="35"/>
        <v>3.1045600857123601</v>
      </c>
    </row>
    <row r="836" spans="4:11">
      <c r="D836">
        <f t="shared" ca="1" si="34"/>
        <v>1.2044923417060907</v>
      </c>
      <c r="K836">
        <f t="shared" ca="1" si="35"/>
        <v>2.9559869065026465</v>
      </c>
    </row>
    <row r="837" spans="4:11">
      <c r="D837">
        <f t="shared" ca="1" si="34"/>
        <v>16.617488379452347</v>
      </c>
      <c r="K837">
        <f t="shared" ca="1" si="35"/>
        <v>1.8092226636250817</v>
      </c>
    </row>
    <row r="838" spans="4:11">
      <c r="D838">
        <f t="shared" ca="1" si="34"/>
        <v>0.21817008944681854</v>
      </c>
      <c r="K838">
        <f t="shared" ca="1" si="35"/>
        <v>2.4913244316050465E-3</v>
      </c>
    </row>
    <row r="839" spans="4:11">
      <c r="D839">
        <f t="shared" ca="1" si="34"/>
        <v>9.0621791233429366E-2</v>
      </c>
      <c r="K839">
        <f t="shared" ca="1" si="35"/>
        <v>3.2427511606525501</v>
      </c>
    </row>
    <row r="840" spans="4:11">
      <c r="D840">
        <f t="shared" ca="1" si="34"/>
        <v>4.8506139664677939</v>
      </c>
      <c r="K840">
        <f t="shared" ca="1" si="35"/>
        <v>0.11494552708666103</v>
      </c>
    </row>
    <row r="841" spans="4:11">
      <c r="D841">
        <f t="shared" ca="1" si="34"/>
        <v>31.211496650971704</v>
      </c>
      <c r="K841">
        <f t="shared" ca="1" si="35"/>
        <v>9.1788660712377845E-2</v>
      </c>
    </row>
    <row r="842" spans="4:11">
      <c r="D842">
        <f t="shared" ca="1" si="34"/>
        <v>6.2191729478000948</v>
      </c>
      <c r="K842">
        <f t="shared" ca="1" si="35"/>
        <v>0.68430971542715002</v>
      </c>
    </row>
    <row r="843" spans="4:11">
      <c r="D843">
        <f t="shared" ca="1" si="34"/>
        <v>1.0370570527279037</v>
      </c>
      <c r="K843">
        <f t="shared" ca="1" si="35"/>
        <v>1.7264366299889731</v>
      </c>
    </row>
    <row r="844" spans="4:11">
      <c r="D844">
        <f t="shared" ca="1" si="34"/>
        <v>9.9798593026137681</v>
      </c>
      <c r="K844">
        <f t="shared" ca="1" si="35"/>
        <v>4.8637313495728449</v>
      </c>
    </row>
    <row r="845" spans="4:11">
      <c r="D845">
        <f t="shared" ca="1" si="34"/>
        <v>6.319985694401776</v>
      </c>
      <c r="K845">
        <f t="shared" ca="1" si="35"/>
        <v>6.4731331119849108E-4</v>
      </c>
    </row>
    <row r="846" spans="4:11">
      <c r="D846">
        <f t="shared" ca="1" si="34"/>
        <v>6.5989572575606594</v>
      </c>
      <c r="K846">
        <f t="shared" ca="1" si="35"/>
        <v>4.6067767149976753</v>
      </c>
    </row>
    <row r="847" spans="4:11">
      <c r="D847">
        <f t="shared" ca="1" si="34"/>
        <v>3.4278365636384667</v>
      </c>
      <c r="K847">
        <f t="shared" ca="1" si="35"/>
        <v>0.82137837545893455</v>
      </c>
    </row>
    <row r="848" spans="4:11">
      <c r="D848">
        <f t="shared" ca="1" si="34"/>
        <v>6.3823459908959368</v>
      </c>
      <c r="K848">
        <f t="shared" ca="1" si="35"/>
        <v>0.66170338627499325</v>
      </c>
    </row>
    <row r="849" spans="4:11">
      <c r="D849">
        <f t="shared" ca="1" si="34"/>
        <v>0.5098448287994175</v>
      </c>
      <c r="K849">
        <f t="shared" ca="1" si="35"/>
        <v>2.6189882898418881</v>
      </c>
    </row>
    <row r="850" spans="4:11">
      <c r="D850">
        <f t="shared" ca="1" si="34"/>
        <v>2.7601404741066817</v>
      </c>
      <c r="K850">
        <f t="shared" ca="1" si="35"/>
        <v>0.42634426276808435</v>
      </c>
    </row>
    <row r="851" spans="4:11">
      <c r="D851">
        <f t="shared" ca="1" si="34"/>
        <v>2.1780106598810356</v>
      </c>
      <c r="K851">
        <f t="shared" ca="1" si="35"/>
        <v>0.8295960725157363</v>
      </c>
    </row>
    <row r="852" spans="4:11">
      <c r="D852">
        <f t="shared" ca="1" si="34"/>
        <v>1.0459645766213095</v>
      </c>
      <c r="K852">
        <f t="shared" ca="1" si="35"/>
        <v>2.4871827373888671</v>
      </c>
    </row>
    <row r="853" spans="4:11">
      <c r="D853">
        <f t="shared" ca="1" si="34"/>
        <v>7.0116743974811886</v>
      </c>
      <c r="K853">
        <f t="shared" ca="1" si="35"/>
        <v>2.0166652635672202</v>
      </c>
    </row>
    <row r="854" spans="4:11">
      <c r="D854">
        <f t="shared" ca="1" si="34"/>
        <v>17.115444521385733</v>
      </c>
      <c r="K854">
        <f t="shared" ca="1" si="35"/>
        <v>1.7691605014364598</v>
      </c>
    </row>
    <row r="855" spans="4:11">
      <c r="D855">
        <f t="shared" ca="1" si="34"/>
        <v>2.3035184416884968</v>
      </c>
      <c r="K855">
        <f t="shared" ca="1" si="35"/>
        <v>0.16344194774311915</v>
      </c>
    </row>
    <row r="856" spans="4:11">
      <c r="D856">
        <f t="shared" ca="1" si="34"/>
        <v>2.6186549315090568</v>
      </c>
      <c r="K856">
        <f t="shared" ca="1" si="35"/>
        <v>1.3118189843445269</v>
      </c>
    </row>
    <row r="857" spans="4:11">
      <c r="D857">
        <f t="shared" ca="1" si="34"/>
        <v>0.49413003804514077</v>
      </c>
      <c r="K857">
        <f t="shared" ca="1" si="35"/>
        <v>9.7467591943891485E-2</v>
      </c>
    </row>
    <row r="858" spans="4:11">
      <c r="D858">
        <f t="shared" ca="1" si="34"/>
        <v>8.3710199762964486</v>
      </c>
      <c r="K858">
        <f t="shared" ca="1" si="35"/>
        <v>0.84405605318097421</v>
      </c>
    </row>
    <row r="859" spans="4:11">
      <c r="D859">
        <f t="shared" ca="1" si="34"/>
        <v>5.8595515151109936</v>
      </c>
      <c r="K859">
        <f t="shared" ca="1" si="35"/>
        <v>1.4194201333555521</v>
      </c>
    </row>
    <row r="860" spans="4:11">
      <c r="D860">
        <f t="shared" ca="1" si="34"/>
        <v>0.61954567209582123</v>
      </c>
      <c r="K860">
        <f t="shared" ca="1" si="35"/>
        <v>0.83334662090933165</v>
      </c>
    </row>
    <row r="861" spans="4:11">
      <c r="D861">
        <f t="shared" ca="1" si="34"/>
        <v>6.2737756260654312</v>
      </c>
      <c r="K861">
        <f t="shared" ca="1" si="35"/>
        <v>4.4641057172603791</v>
      </c>
    </row>
    <row r="862" spans="4:11">
      <c r="D862">
        <f t="shared" ca="1" si="34"/>
        <v>0.82928654693684178</v>
      </c>
      <c r="K862">
        <f t="shared" ca="1" si="35"/>
        <v>2.6935985258737203</v>
      </c>
    </row>
    <row r="863" spans="4:11">
      <c r="D863">
        <f t="shared" ca="1" si="34"/>
        <v>0.73612324015883801</v>
      </c>
      <c r="K863">
        <f t="shared" ca="1" si="35"/>
        <v>1.4514180036723872</v>
      </c>
    </row>
    <row r="864" spans="4:11">
      <c r="D864">
        <f t="shared" ca="1" si="34"/>
        <v>4.772626265614436</v>
      </c>
      <c r="K864">
        <f t="shared" ca="1" si="35"/>
        <v>4.8449208801622028</v>
      </c>
    </row>
    <row r="865" spans="4:11">
      <c r="D865">
        <f t="shared" ca="1" si="34"/>
        <v>7.4585526996328894E-2</v>
      </c>
      <c r="K865">
        <f t="shared" ca="1" si="35"/>
        <v>3.4739954812119267</v>
      </c>
    </row>
    <row r="866" spans="4:11">
      <c r="D866">
        <f t="shared" ca="1" si="34"/>
        <v>0.40145191411373737</v>
      </c>
      <c r="K866">
        <f t="shared" ca="1" si="35"/>
        <v>0.15897238502372707</v>
      </c>
    </row>
    <row r="867" spans="4:11">
      <c r="D867">
        <f t="shared" ca="1" si="34"/>
        <v>15.174792679790347</v>
      </c>
      <c r="K867">
        <f t="shared" ca="1" si="35"/>
        <v>2.355636791472528</v>
      </c>
    </row>
    <row r="868" spans="4:11">
      <c r="D868">
        <f t="shared" ca="1" si="34"/>
        <v>2.196448809988377</v>
      </c>
      <c r="K868">
        <f t="shared" ca="1" si="35"/>
        <v>0.28380820494276315</v>
      </c>
    </row>
    <row r="869" spans="4:11">
      <c r="D869">
        <f t="shared" ca="1" si="34"/>
        <v>25.116026710687031</v>
      </c>
      <c r="K869">
        <f t="shared" ca="1" si="35"/>
        <v>3.8259027081436132</v>
      </c>
    </row>
    <row r="870" spans="4:11">
      <c r="D870">
        <f t="shared" ca="1" si="34"/>
        <v>12.933014334912748</v>
      </c>
      <c r="K870">
        <f t="shared" ca="1" si="35"/>
        <v>0.19717331350126865</v>
      </c>
    </row>
    <row r="871" spans="4:11">
      <c r="D871">
        <f t="shared" ca="1" si="34"/>
        <v>3.3374428232441771</v>
      </c>
      <c r="K871">
        <f t="shared" ca="1" si="35"/>
        <v>3.634300271610134</v>
      </c>
    </row>
    <row r="872" spans="4:11">
      <c r="D872">
        <f t="shared" ca="1" si="34"/>
        <v>7.2350176875045911</v>
      </c>
      <c r="K872">
        <f t="shared" ca="1" si="35"/>
        <v>0.62327445858010111</v>
      </c>
    </row>
    <row r="873" spans="4:11">
      <c r="D873">
        <f t="shared" ca="1" si="34"/>
        <v>1.9773510595370785</v>
      </c>
      <c r="K873">
        <f t="shared" ca="1" si="35"/>
        <v>2.3568605064545078</v>
      </c>
    </row>
    <row r="874" spans="4:11">
      <c r="D874">
        <f t="shared" ca="1" si="34"/>
        <v>3.1739691811390403</v>
      </c>
      <c r="K874">
        <f t="shared" ca="1" si="35"/>
        <v>1.263052318125272</v>
      </c>
    </row>
    <row r="875" spans="4:11">
      <c r="D875">
        <f t="shared" ca="1" si="34"/>
        <v>1.2502711503633424</v>
      </c>
      <c r="K875">
        <f t="shared" ca="1" si="35"/>
        <v>1.5270447809445846</v>
      </c>
    </row>
    <row r="876" spans="4:11">
      <c r="D876">
        <f t="shared" ca="1" si="34"/>
        <v>0.37099920102195771</v>
      </c>
      <c r="K876">
        <f t="shared" ca="1" si="35"/>
        <v>1.8660978995487494E-3</v>
      </c>
    </row>
    <row r="877" spans="4:11">
      <c r="D877">
        <f t="shared" ca="1" si="34"/>
        <v>21.675072974787938</v>
      </c>
      <c r="K877">
        <f t="shared" ca="1" si="35"/>
        <v>5.2458319918120306</v>
      </c>
    </row>
    <row r="878" spans="4:11">
      <c r="D878">
        <f t="shared" ca="1" si="34"/>
        <v>5.4096706584438525</v>
      </c>
      <c r="K878">
        <f t="shared" ca="1" si="35"/>
        <v>2.83536970509995</v>
      </c>
    </row>
    <row r="879" spans="4:11">
      <c r="D879">
        <f t="shared" ca="1" si="34"/>
        <v>3.096400792952239</v>
      </c>
      <c r="K879">
        <f t="shared" ca="1" si="35"/>
        <v>6.9835554919955278</v>
      </c>
    </row>
    <row r="880" spans="4:11">
      <c r="D880">
        <f t="shared" ca="1" si="34"/>
        <v>5.4951900415113109</v>
      </c>
      <c r="K880">
        <f t="shared" ca="1" si="35"/>
        <v>14.749757471680347</v>
      </c>
    </row>
    <row r="881" spans="4:11">
      <c r="D881">
        <f t="shared" ca="1" si="34"/>
        <v>1.1809880918127056</v>
      </c>
      <c r="K881">
        <f t="shared" ca="1" si="35"/>
        <v>0.50433517667445815</v>
      </c>
    </row>
    <row r="882" spans="4:11">
      <c r="D882">
        <f t="shared" ca="1" si="34"/>
        <v>3.9209573866843943</v>
      </c>
      <c r="K882">
        <f t="shared" ca="1" si="35"/>
        <v>12.315882857940014</v>
      </c>
    </row>
    <row r="883" spans="4:11">
      <c r="D883">
        <f t="shared" ca="1" si="34"/>
        <v>0.82673962426978354</v>
      </c>
      <c r="K883">
        <f t="shared" ca="1" si="35"/>
        <v>3.8767286060801185</v>
      </c>
    </row>
    <row r="884" spans="4:11">
      <c r="D884">
        <f t="shared" ca="1" si="34"/>
        <v>3.3638175254684342</v>
      </c>
      <c r="K884">
        <f t="shared" ca="1" si="35"/>
        <v>2.1724925597627918</v>
      </c>
    </row>
    <row r="885" spans="4:11">
      <c r="D885">
        <f t="shared" ca="1" si="34"/>
        <v>12.183000598589633</v>
      </c>
      <c r="K885">
        <f t="shared" ca="1" si="35"/>
        <v>0.75579357845197115</v>
      </c>
    </row>
    <row r="886" spans="4:11">
      <c r="D886">
        <f t="shared" ca="1" si="34"/>
        <v>2.2120439568481576</v>
      </c>
      <c r="K886">
        <f t="shared" ca="1" si="35"/>
        <v>1.1526211660867678</v>
      </c>
    </row>
    <row r="887" spans="4:11">
      <c r="D887">
        <f t="shared" ca="1" si="34"/>
        <v>0.44085939535023022</v>
      </c>
      <c r="K887">
        <f t="shared" ca="1" si="35"/>
        <v>2.2004692250548068</v>
      </c>
    </row>
    <row r="888" spans="4:11">
      <c r="D888">
        <f t="shared" ca="1" si="34"/>
        <v>2.2263667943371752</v>
      </c>
      <c r="K888">
        <f t="shared" ca="1" si="35"/>
        <v>0.50680301383380666</v>
      </c>
    </row>
    <row r="889" spans="4:11">
      <c r="D889">
        <f t="shared" ca="1" si="34"/>
        <v>5.6531000854184619</v>
      </c>
      <c r="K889">
        <f t="shared" ca="1" si="35"/>
        <v>0.54404034933718326</v>
      </c>
    </row>
    <row r="890" spans="4:11">
      <c r="D890">
        <f t="shared" ca="1" si="34"/>
        <v>5.9403267757582032</v>
      </c>
      <c r="K890">
        <f t="shared" ca="1" si="35"/>
        <v>0.41128377057830134</v>
      </c>
    </row>
    <row r="891" spans="4:11">
      <c r="D891">
        <f t="shared" ca="1" si="34"/>
        <v>1.3349644181494216</v>
      </c>
      <c r="K891">
        <f t="shared" ca="1" si="35"/>
        <v>2.7628099615537147</v>
      </c>
    </row>
    <row r="892" spans="4:11">
      <c r="D892">
        <f t="shared" ca="1" si="34"/>
        <v>7.9838716852289782</v>
      </c>
      <c r="K892">
        <f t="shared" ca="1" si="35"/>
        <v>6.0369785589252842</v>
      </c>
    </row>
    <row r="893" spans="4:11">
      <c r="D893">
        <f t="shared" ca="1" si="34"/>
        <v>0.35792927793168638</v>
      </c>
      <c r="K893">
        <f t="shared" ca="1" si="35"/>
        <v>0.16855517286631588</v>
      </c>
    </row>
    <row r="894" spans="4:11">
      <c r="D894">
        <f t="shared" ca="1" si="34"/>
        <v>8.4070208672871196</v>
      </c>
      <c r="K894">
        <f t="shared" ca="1" si="35"/>
        <v>0.35555557691138406</v>
      </c>
    </row>
    <row r="895" spans="4:11">
      <c r="D895">
        <f t="shared" ca="1" si="34"/>
        <v>18.086290766720857</v>
      </c>
      <c r="K895">
        <f t="shared" ca="1" si="35"/>
        <v>2.3327395088871938</v>
      </c>
    </row>
    <row r="896" spans="4:11">
      <c r="D896">
        <f t="shared" ca="1" si="34"/>
        <v>15.151531943196559</v>
      </c>
      <c r="K896">
        <f t="shared" ca="1" si="35"/>
        <v>7.6672753646888161</v>
      </c>
    </row>
    <row r="897" spans="4:11">
      <c r="D897">
        <f t="shared" ca="1" si="34"/>
        <v>4.4625848049474062</v>
      </c>
      <c r="K897">
        <f t="shared" ca="1" si="35"/>
        <v>0.53597559975621656</v>
      </c>
    </row>
    <row r="898" spans="4:11">
      <c r="D898">
        <f t="shared" ref="D898:D961" ca="1" si="36">GAMMAINV(RAND(),$A$2,$B$2)</f>
        <v>0.90412227380009069</v>
      </c>
      <c r="K898">
        <f t="shared" ref="K898:K961" ca="1" si="37">GAMMAINV(RAND(),$H$2,$I$2)</f>
        <v>0.67362504609933271</v>
      </c>
    </row>
    <row r="899" spans="4:11">
      <c r="D899">
        <f t="shared" ca="1" si="36"/>
        <v>2.5138637752089021</v>
      </c>
      <c r="K899">
        <f t="shared" ca="1" si="37"/>
        <v>5.7009649592429579</v>
      </c>
    </row>
    <row r="900" spans="4:11">
      <c r="D900">
        <f t="shared" ca="1" si="36"/>
        <v>22.551402763779812</v>
      </c>
      <c r="K900">
        <f t="shared" ca="1" si="37"/>
        <v>2.9537668117133862</v>
      </c>
    </row>
    <row r="901" spans="4:11">
      <c r="D901">
        <f t="shared" ca="1" si="36"/>
        <v>2.565550447548036</v>
      </c>
      <c r="K901">
        <f t="shared" ca="1" si="37"/>
        <v>0.1077451653445187</v>
      </c>
    </row>
    <row r="902" spans="4:11">
      <c r="D902">
        <f t="shared" ca="1" si="36"/>
        <v>12.795141682175686</v>
      </c>
      <c r="K902">
        <f t="shared" ca="1" si="37"/>
        <v>0.41682823342743291</v>
      </c>
    </row>
    <row r="903" spans="4:11">
      <c r="D903">
        <f t="shared" ca="1" si="36"/>
        <v>7.9353640162906647</v>
      </c>
      <c r="K903">
        <f t="shared" ca="1" si="37"/>
        <v>8.0309736737961601E-2</v>
      </c>
    </row>
    <row r="904" spans="4:11">
      <c r="D904">
        <f t="shared" ca="1" si="36"/>
        <v>1.71641475147098</v>
      </c>
      <c r="K904">
        <f t="shared" ca="1" si="37"/>
        <v>4.9236099821681751</v>
      </c>
    </row>
    <row r="905" spans="4:11">
      <c r="D905">
        <f t="shared" ca="1" si="36"/>
        <v>6.2375029513296596</v>
      </c>
      <c r="K905">
        <f t="shared" ca="1" si="37"/>
        <v>1.3087499211765081</v>
      </c>
    </row>
    <row r="906" spans="4:11">
      <c r="D906">
        <f t="shared" ca="1" si="36"/>
        <v>1.4981319575766037</v>
      </c>
      <c r="K906">
        <f t="shared" ca="1" si="37"/>
        <v>0.47895793429314926</v>
      </c>
    </row>
    <row r="907" spans="4:11">
      <c r="D907">
        <f t="shared" ca="1" si="36"/>
        <v>4.3225636724380916</v>
      </c>
      <c r="K907">
        <f t="shared" ca="1" si="37"/>
        <v>5.0183562190465807</v>
      </c>
    </row>
    <row r="908" spans="4:11">
      <c r="D908">
        <f t="shared" ca="1" si="36"/>
        <v>0.58545867802751772</v>
      </c>
      <c r="K908">
        <f t="shared" ca="1" si="37"/>
        <v>2.6467885364433084</v>
      </c>
    </row>
    <row r="909" spans="4:11">
      <c r="D909">
        <f t="shared" ca="1" si="36"/>
        <v>1.8537968330511094</v>
      </c>
      <c r="K909">
        <f t="shared" ca="1" si="37"/>
        <v>1.5422640583205633</v>
      </c>
    </row>
    <row r="910" spans="4:11">
      <c r="D910">
        <f t="shared" ca="1" si="36"/>
        <v>16.462685180948469</v>
      </c>
      <c r="K910">
        <f t="shared" ca="1" si="37"/>
        <v>0.6361923303248338</v>
      </c>
    </row>
    <row r="911" spans="4:11">
      <c r="D911">
        <f t="shared" ca="1" si="36"/>
        <v>3.4329228045573741</v>
      </c>
      <c r="K911">
        <f t="shared" ca="1" si="37"/>
        <v>5.4346601541838435</v>
      </c>
    </row>
    <row r="912" spans="4:11">
      <c r="D912">
        <f t="shared" ca="1" si="36"/>
        <v>2.9527547293038774</v>
      </c>
      <c r="K912">
        <f t="shared" ca="1" si="37"/>
        <v>0.91416420530331211</v>
      </c>
    </row>
    <row r="913" spans="4:11">
      <c r="D913">
        <f t="shared" ca="1" si="36"/>
        <v>5.8953158276881314</v>
      </c>
      <c r="K913">
        <f t="shared" ca="1" si="37"/>
        <v>1.9506426864867641</v>
      </c>
    </row>
    <row r="914" spans="4:11">
      <c r="D914">
        <f t="shared" ca="1" si="36"/>
        <v>0.81156969186156247</v>
      </c>
      <c r="K914">
        <f t="shared" ca="1" si="37"/>
        <v>0.56519568092680683</v>
      </c>
    </row>
    <row r="915" spans="4:11">
      <c r="D915">
        <f t="shared" ca="1" si="36"/>
        <v>0.53712114697875224</v>
      </c>
      <c r="K915">
        <f t="shared" ca="1" si="37"/>
        <v>2.3265297180699474</v>
      </c>
    </row>
    <row r="916" spans="4:11">
      <c r="D916">
        <f t="shared" ca="1" si="36"/>
        <v>2.7929250491942978</v>
      </c>
      <c r="K916">
        <f t="shared" ca="1" si="37"/>
        <v>5.3914366114500325</v>
      </c>
    </row>
    <row r="917" spans="4:11">
      <c r="D917">
        <f t="shared" ca="1" si="36"/>
        <v>2.1847501369291962</v>
      </c>
      <c r="K917">
        <f t="shared" ca="1" si="37"/>
        <v>4.0952214129137605</v>
      </c>
    </row>
    <row r="918" spans="4:11">
      <c r="D918">
        <f t="shared" ca="1" si="36"/>
        <v>7.2115528595237333</v>
      </c>
      <c r="K918">
        <f t="shared" ca="1" si="37"/>
        <v>12.879623252024874</v>
      </c>
    </row>
    <row r="919" spans="4:11">
      <c r="D919">
        <f t="shared" ca="1" si="36"/>
        <v>16.198870389083233</v>
      </c>
      <c r="K919">
        <f t="shared" ca="1" si="37"/>
        <v>0.40967055646003225</v>
      </c>
    </row>
    <row r="920" spans="4:11">
      <c r="D920">
        <f t="shared" ca="1" si="36"/>
        <v>9.7716828092506312</v>
      </c>
      <c r="K920">
        <f t="shared" ca="1" si="37"/>
        <v>1.5788527067308338</v>
      </c>
    </row>
    <row r="921" spans="4:11">
      <c r="D921">
        <f t="shared" ca="1" si="36"/>
        <v>0.55213744465568904</v>
      </c>
      <c r="K921">
        <f t="shared" ca="1" si="37"/>
        <v>0.35355356222988121</v>
      </c>
    </row>
    <row r="922" spans="4:11">
      <c r="D922">
        <f t="shared" ca="1" si="36"/>
        <v>0.87495005883634236</v>
      </c>
      <c r="K922">
        <f t="shared" ca="1" si="37"/>
        <v>0.95178929698510406</v>
      </c>
    </row>
    <row r="923" spans="4:11">
      <c r="D923">
        <f t="shared" ca="1" si="36"/>
        <v>1.3008534366733162</v>
      </c>
      <c r="K923">
        <f t="shared" ca="1" si="37"/>
        <v>1.4988982124854204</v>
      </c>
    </row>
    <row r="924" spans="4:11">
      <c r="D924">
        <f t="shared" ca="1" si="36"/>
        <v>0.5178381774368277</v>
      </c>
      <c r="K924">
        <f t="shared" ca="1" si="37"/>
        <v>0.23406240484466101</v>
      </c>
    </row>
    <row r="925" spans="4:11">
      <c r="D925">
        <f t="shared" ca="1" si="36"/>
        <v>4.466988520455816</v>
      </c>
      <c r="K925">
        <f t="shared" ca="1" si="37"/>
        <v>6.3238428288233089E-2</v>
      </c>
    </row>
    <row r="926" spans="4:11">
      <c r="D926">
        <f t="shared" ca="1" si="36"/>
        <v>8.4152760146482528</v>
      </c>
      <c r="K926">
        <f t="shared" ca="1" si="37"/>
        <v>0.44552988250684045</v>
      </c>
    </row>
    <row r="927" spans="4:11">
      <c r="D927">
        <f t="shared" ca="1" si="36"/>
        <v>0.82296566957243455</v>
      </c>
      <c r="K927">
        <f t="shared" ca="1" si="37"/>
        <v>1.5200372047182227</v>
      </c>
    </row>
    <row r="928" spans="4:11">
      <c r="D928">
        <f t="shared" ca="1" si="36"/>
        <v>3.8560444578781237</v>
      </c>
      <c r="K928">
        <f t="shared" ca="1" si="37"/>
        <v>0.50249707593304604</v>
      </c>
    </row>
    <row r="929" spans="4:11">
      <c r="D929">
        <f t="shared" ca="1" si="36"/>
        <v>9.6783041680489816</v>
      </c>
      <c r="K929">
        <f t="shared" ca="1" si="37"/>
        <v>2.245082584372784</v>
      </c>
    </row>
    <row r="930" spans="4:11">
      <c r="D930">
        <f t="shared" ca="1" si="36"/>
        <v>14.325718659465561</v>
      </c>
      <c r="K930">
        <f t="shared" ca="1" si="37"/>
        <v>4.1938363845173878</v>
      </c>
    </row>
    <row r="931" spans="4:11">
      <c r="D931">
        <f t="shared" ca="1" si="36"/>
        <v>20.608410945645019</v>
      </c>
      <c r="K931">
        <f t="shared" ca="1" si="37"/>
        <v>2.0463975942414168</v>
      </c>
    </row>
    <row r="932" spans="4:11">
      <c r="D932">
        <f t="shared" ca="1" si="36"/>
        <v>8.3248106198598428</v>
      </c>
      <c r="K932">
        <f t="shared" ca="1" si="37"/>
        <v>2.156821054359142</v>
      </c>
    </row>
    <row r="933" spans="4:11">
      <c r="D933">
        <f t="shared" ca="1" si="36"/>
        <v>10.120202623424348</v>
      </c>
      <c r="K933">
        <f t="shared" ca="1" si="37"/>
        <v>1.0934351516875567</v>
      </c>
    </row>
    <row r="934" spans="4:11">
      <c r="D934">
        <f t="shared" ca="1" si="36"/>
        <v>0.36949470286795782</v>
      </c>
      <c r="K934">
        <f t="shared" ca="1" si="37"/>
        <v>1.5513745299418327</v>
      </c>
    </row>
    <row r="935" spans="4:11">
      <c r="D935">
        <f t="shared" ca="1" si="36"/>
        <v>0.58632124877813907</v>
      </c>
      <c r="K935">
        <f t="shared" ca="1" si="37"/>
        <v>2.1369890261661677</v>
      </c>
    </row>
    <row r="936" spans="4:11">
      <c r="D936">
        <f t="shared" ca="1" si="36"/>
        <v>2.6675554303624054</v>
      </c>
      <c r="K936">
        <f t="shared" ca="1" si="37"/>
        <v>7.4243410270034538</v>
      </c>
    </row>
    <row r="937" spans="4:11">
      <c r="D937">
        <f t="shared" ca="1" si="36"/>
        <v>7.7837990989127714</v>
      </c>
      <c r="K937">
        <f t="shared" ca="1" si="37"/>
        <v>2.1741667946682428</v>
      </c>
    </row>
    <row r="938" spans="4:11">
      <c r="D938">
        <f t="shared" ca="1" si="36"/>
        <v>2.6497979345121845</v>
      </c>
      <c r="K938">
        <f t="shared" ca="1" si="37"/>
        <v>1.1105223882871225</v>
      </c>
    </row>
    <row r="939" spans="4:11">
      <c r="D939">
        <f t="shared" ca="1" si="36"/>
        <v>0.49330266261747791</v>
      </c>
      <c r="K939">
        <f t="shared" ca="1" si="37"/>
        <v>3.1631427144429791</v>
      </c>
    </row>
    <row r="940" spans="4:11">
      <c r="D940">
        <f t="shared" ca="1" si="36"/>
        <v>14.917860975812484</v>
      </c>
      <c r="K940">
        <f t="shared" ca="1" si="37"/>
        <v>0.33984251705467872</v>
      </c>
    </row>
    <row r="941" spans="4:11">
      <c r="D941">
        <f t="shared" ca="1" si="36"/>
        <v>1.8212206243101114</v>
      </c>
      <c r="K941">
        <f t="shared" ca="1" si="37"/>
        <v>1.7606264595319949</v>
      </c>
    </row>
    <row r="942" spans="4:11">
      <c r="D942">
        <f t="shared" ca="1" si="36"/>
        <v>6.0598180078955881</v>
      </c>
      <c r="K942">
        <f t="shared" ca="1" si="37"/>
        <v>1.2275981272694509</v>
      </c>
    </row>
    <row r="943" spans="4:11">
      <c r="D943">
        <f t="shared" ca="1" si="36"/>
        <v>0.43597179925841767</v>
      </c>
      <c r="K943">
        <f t="shared" ca="1" si="37"/>
        <v>2.0840017913058695</v>
      </c>
    </row>
    <row r="944" spans="4:11">
      <c r="D944">
        <f t="shared" ca="1" si="36"/>
        <v>0.2309701501779699</v>
      </c>
      <c r="K944">
        <f t="shared" ca="1" si="37"/>
        <v>6.0438208001628302E-3</v>
      </c>
    </row>
    <row r="945" spans="4:11">
      <c r="D945">
        <f t="shared" ca="1" si="36"/>
        <v>6.0227861042225737</v>
      </c>
      <c r="K945">
        <f t="shared" ca="1" si="37"/>
        <v>0.15614319519594305</v>
      </c>
    </row>
    <row r="946" spans="4:11">
      <c r="D946">
        <f t="shared" ca="1" si="36"/>
        <v>5.4205596063809125</v>
      </c>
      <c r="K946">
        <f t="shared" ca="1" si="37"/>
        <v>2.4581417131218899</v>
      </c>
    </row>
    <row r="947" spans="4:11">
      <c r="D947">
        <f t="shared" ca="1" si="36"/>
        <v>1.1322821275056505</v>
      </c>
      <c r="K947">
        <f t="shared" ca="1" si="37"/>
        <v>0.10303706424685091</v>
      </c>
    </row>
    <row r="948" spans="4:11">
      <c r="D948">
        <f t="shared" ca="1" si="36"/>
        <v>1.0465885023539143</v>
      </c>
      <c r="K948">
        <f t="shared" ca="1" si="37"/>
        <v>0.68272406771907135</v>
      </c>
    </row>
    <row r="949" spans="4:11">
      <c r="D949">
        <f t="shared" ca="1" si="36"/>
        <v>0.72437321625889606</v>
      </c>
      <c r="K949">
        <f t="shared" ca="1" si="37"/>
        <v>0.11699820083291357</v>
      </c>
    </row>
    <row r="950" spans="4:11">
      <c r="D950">
        <f t="shared" ca="1" si="36"/>
        <v>16.195456407709983</v>
      </c>
      <c r="K950">
        <f t="shared" ca="1" si="37"/>
        <v>1.2155691747825048</v>
      </c>
    </row>
    <row r="951" spans="4:11">
      <c r="D951">
        <f t="shared" ca="1" si="36"/>
        <v>0.72664294593521062</v>
      </c>
      <c r="K951">
        <f t="shared" ca="1" si="37"/>
        <v>0.9197808291626588</v>
      </c>
    </row>
    <row r="952" spans="4:11">
      <c r="D952">
        <f t="shared" ca="1" si="36"/>
        <v>1.8489882062781171</v>
      </c>
      <c r="K952">
        <f t="shared" ca="1" si="37"/>
        <v>3.2515513600939085</v>
      </c>
    </row>
    <row r="953" spans="4:11">
      <c r="D953">
        <f t="shared" ca="1" si="36"/>
        <v>0.21449349030913023</v>
      </c>
      <c r="K953">
        <f t="shared" ca="1" si="37"/>
        <v>2.9570730202562942E-3</v>
      </c>
    </row>
    <row r="954" spans="4:11">
      <c r="D954">
        <f t="shared" ca="1" si="36"/>
        <v>3.3127648742698899</v>
      </c>
      <c r="K954">
        <f t="shared" ca="1" si="37"/>
        <v>9.250277861941349</v>
      </c>
    </row>
    <row r="955" spans="4:11">
      <c r="D955">
        <f t="shared" ca="1" si="36"/>
        <v>4.3026857759412795</v>
      </c>
      <c r="K955">
        <f t="shared" ca="1" si="37"/>
        <v>3.1535114339634465</v>
      </c>
    </row>
    <row r="956" spans="4:11">
      <c r="D956">
        <f t="shared" ca="1" si="36"/>
        <v>7.2245051737335135</v>
      </c>
      <c r="K956">
        <f t="shared" ca="1" si="37"/>
        <v>0.30511491003415303</v>
      </c>
    </row>
    <row r="957" spans="4:11">
      <c r="D957">
        <f t="shared" ca="1" si="36"/>
        <v>8.2582946537541027</v>
      </c>
      <c r="K957">
        <f t="shared" ca="1" si="37"/>
        <v>0.4035499307892092</v>
      </c>
    </row>
    <row r="958" spans="4:11">
      <c r="D958">
        <f t="shared" ca="1" si="36"/>
        <v>2.7202645356633424</v>
      </c>
      <c r="K958">
        <f t="shared" ca="1" si="37"/>
        <v>1.321644594778872</v>
      </c>
    </row>
    <row r="959" spans="4:11">
      <c r="D959">
        <f t="shared" ca="1" si="36"/>
        <v>25.300830831635977</v>
      </c>
      <c r="K959">
        <f t="shared" ca="1" si="37"/>
        <v>2.824999095073534</v>
      </c>
    </row>
    <row r="960" spans="4:11">
      <c r="D960">
        <f t="shared" ca="1" si="36"/>
        <v>13.319692458239036</v>
      </c>
      <c r="K960">
        <f t="shared" ca="1" si="37"/>
        <v>1.065114289369546</v>
      </c>
    </row>
    <row r="961" spans="4:11">
      <c r="D961">
        <f t="shared" ca="1" si="36"/>
        <v>9.0813028860871654</v>
      </c>
      <c r="K961">
        <f t="shared" ca="1" si="37"/>
        <v>0.18430197783044339</v>
      </c>
    </row>
    <row r="962" spans="4:11">
      <c r="D962">
        <f t="shared" ref="D962:D1025" ca="1" si="38">GAMMAINV(RAND(),$A$2,$B$2)</f>
        <v>4.2633567497157987</v>
      </c>
      <c r="K962">
        <f t="shared" ref="K962:K1025" ca="1" si="39">GAMMAINV(RAND(),$H$2,$I$2)</f>
        <v>0.36064156400043812</v>
      </c>
    </row>
    <row r="963" spans="4:11">
      <c r="D963">
        <f t="shared" ca="1" si="38"/>
        <v>1.7897837019968219</v>
      </c>
      <c r="K963">
        <f t="shared" ca="1" si="39"/>
        <v>2.4661045772852237</v>
      </c>
    </row>
    <row r="964" spans="4:11">
      <c r="D964">
        <f t="shared" ca="1" si="38"/>
        <v>5.6542942592440966</v>
      </c>
      <c r="K964">
        <f t="shared" ca="1" si="39"/>
        <v>0.41472145121558412</v>
      </c>
    </row>
    <row r="965" spans="4:11">
      <c r="D965">
        <f t="shared" ca="1" si="38"/>
        <v>8.5175343352414723E-2</v>
      </c>
      <c r="K965">
        <f t="shared" ca="1" si="39"/>
        <v>1.3396894362040377</v>
      </c>
    </row>
    <row r="966" spans="4:11">
      <c r="D966">
        <f t="shared" ca="1" si="38"/>
        <v>1.7237853667127578</v>
      </c>
      <c r="K966">
        <f t="shared" ca="1" si="39"/>
        <v>10.940938053130036</v>
      </c>
    </row>
    <row r="967" spans="4:11">
      <c r="D967">
        <f t="shared" ca="1" si="38"/>
        <v>3.4811866131410882</v>
      </c>
      <c r="K967">
        <f t="shared" ca="1" si="39"/>
        <v>1.0357040013190106</v>
      </c>
    </row>
    <row r="968" spans="4:11">
      <c r="D968">
        <f t="shared" ca="1" si="38"/>
        <v>15.785197059165785</v>
      </c>
      <c r="K968">
        <f t="shared" ca="1" si="39"/>
        <v>0.60265702628633178</v>
      </c>
    </row>
    <row r="969" spans="4:11">
      <c r="D969">
        <f t="shared" ca="1" si="38"/>
        <v>12.543972591547636</v>
      </c>
      <c r="K969">
        <f t="shared" ca="1" si="39"/>
        <v>3.8010900485817983E-2</v>
      </c>
    </row>
    <row r="970" spans="4:11">
      <c r="D970">
        <f t="shared" ca="1" si="38"/>
        <v>6.536006941583782</v>
      </c>
      <c r="K970">
        <f t="shared" ca="1" si="39"/>
        <v>0.10677857003457392</v>
      </c>
    </row>
    <row r="971" spans="4:11">
      <c r="D971">
        <f t="shared" ca="1" si="38"/>
        <v>0.76992396622805148</v>
      </c>
      <c r="K971">
        <f t="shared" ca="1" si="39"/>
        <v>2.2253255517031274</v>
      </c>
    </row>
    <row r="972" spans="4:11">
      <c r="D972">
        <f t="shared" ca="1" si="38"/>
        <v>0.80655690295652183</v>
      </c>
      <c r="K972">
        <f t="shared" ca="1" si="39"/>
        <v>0.84625700479881605</v>
      </c>
    </row>
    <row r="973" spans="4:11">
      <c r="D973">
        <f t="shared" ca="1" si="38"/>
        <v>5.2372597754641976</v>
      </c>
      <c r="K973">
        <f t="shared" ca="1" si="39"/>
        <v>2.0485881243206299</v>
      </c>
    </row>
    <row r="974" spans="4:11">
      <c r="D974">
        <f t="shared" ca="1" si="38"/>
        <v>2.1209851062978302</v>
      </c>
      <c r="K974">
        <f t="shared" ca="1" si="39"/>
        <v>4.0505063488900372</v>
      </c>
    </row>
    <row r="975" spans="4:11">
      <c r="D975">
        <f t="shared" ca="1" si="38"/>
        <v>8.758130337625456</v>
      </c>
      <c r="K975">
        <f t="shared" ca="1" si="39"/>
        <v>1.0160979827454963</v>
      </c>
    </row>
    <row r="976" spans="4:11">
      <c r="D976">
        <f t="shared" ca="1" si="38"/>
        <v>3.5117482369931183</v>
      </c>
      <c r="K976">
        <f t="shared" ca="1" si="39"/>
        <v>2.6272276553873217</v>
      </c>
    </row>
    <row r="977" spans="4:11">
      <c r="D977">
        <f t="shared" ca="1" si="38"/>
        <v>0.57022935461459601</v>
      </c>
      <c r="K977">
        <f t="shared" ca="1" si="39"/>
        <v>2.0110474330510941</v>
      </c>
    </row>
    <row r="978" spans="4:11">
      <c r="D978">
        <f t="shared" ca="1" si="38"/>
        <v>9.5652348912177345</v>
      </c>
      <c r="K978">
        <f t="shared" ca="1" si="39"/>
        <v>2.4898111427530223</v>
      </c>
    </row>
    <row r="979" spans="4:11">
      <c r="D979">
        <f t="shared" ca="1" si="38"/>
        <v>3.2412332557642163</v>
      </c>
      <c r="K979">
        <f t="shared" ca="1" si="39"/>
        <v>6.0654467110498356</v>
      </c>
    </row>
    <row r="980" spans="4:11">
      <c r="D980">
        <f t="shared" ca="1" si="38"/>
        <v>2.1180141593294195</v>
      </c>
      <c r="K980">
        <f t="shared" ca="1" si="39"/>
        <v>1.8714081240710985</v>
      </c>
    </row>
    <row r="981" spans="4:11">
      <c r="D981">
        <f t="shared" ca="1" si="38"/>
        <v>14.86757693988476</v>
      </c>
      <c r="K981">
        <f t="shared" ca="1" si="39"/>
        <v>5.3542028901639949</v>
      </c>
    </row>
    <row r="982" spans="4:11">
      <c r="D982">
        <f t="shared" ca="1" si="38"/>
        <v>3.8908250286084398E-2</v>
      </c>
      <c r="K982">
        <f t="shared" ca="1" si="39"/>
        <v>1.3203841294308525</v>
      </c>
    </row>
    <row r="983" spans="4:11">
      <c r="D983">
        <f t="shared" ca="1" si="38"/>
        <v>0.73324713916798268</v>
      </c>
      <c r="K983">
        <f t="shared" ca="1" si="39"/>
        <v>0.33874847185513357</v>
      </c>
    </row>
    <row r="984" spans="4:11">
      <c r="D984">
        <f t="shared" ca="1" si="38"/>
        <v>1.7916025693682429</v>
      </c>
      <c r="K984">
        <f t="shared" ca="1" si="39"/>
        <v>8.5473747844723107</v>
      </c>
    </row>
    <row r="985" spans="4:11">
      <c r="D985">
        <f t="shared" ca="1" si="38"/>
        <v>1.0905727981336852</v>
      </c>
      <c r="K985">
        <f t="shared" ca="1" si="39"/>
        <v>2.1558710510712924</v>
      </c>
    </row>
    <row r="986" spans="4:11">
      <c r="D986">
        <f t="shared" ca="1" si="38"/>
        <v>7.5651389282122246</v>
      </c>
      <c r="K986">
        <f t="shared" ca="1" si="39"/>
        <v>3.7967576718920615</v>
      </c>
    </row>
    <row r="987" spans="4:11">
      <c r="D987">
        <f t="shared" ca="1" si="38"/>
        <v>13.413064872039254</v>
      </c>
      <c r="K987">
        <f t="shared" ca="1" si="39"/>
        <v>3.1047939651705594</v>
      </c>
    </row>
    <row r="988" spans="4:11">
      <c r="D988">
        <f t="shared" ca="1" si="38"/>
        <v>2.8514609928966328</v>
      </c>
      <c r="K988">
        <f t="shared" ca="1" si="39"/>
        <v>1.6057454094819996</v>
      </c>
    </row>
    <row r="989" spans="4:11">
      <c r="D989">
        <f t="shared" ca="1" si="38"/>
        <v>12.537255028250236</v>
      </c>
      <c r="K989">
        <f t="shared" ca="1" si="39"/>
        <v>2.891372792577954</v>
      </c>
    </row>
    <row r="990" spans="4:11">
      <c r="D990">
        <f t="shared" ca="1" si="38"/>
        <v>2.7123681992449633</v>
      </c>
      <c r="K990">
        <f t="shared" ca="1" si="39"/>
        <v>1.4115549224770816</v>
      </c>
    </row>
    <row r="991" spans="4:11">
      <c r="D991">
        <f t="shared" ca="1" si="38"/>
        <v>2.1738963004239755</v>
      </c>
      <c r="K991">
        <f t="shared" ca="1" si="39"/>
        <v>3.9817872289620221E-2</v>
      </c>
    </row>
    <row r="992" spans="4:11">
      <c r="D992">
        <f t="shared" ca="1" si="38"/>
        <v>3.6009563954522097</v>
      </c>
      <c r="K992">
        <f t="shared" ca="1" si="39"/>
        <v>6.9862558027453753E-2</v>
      </c>
    </row>
    <row r="993" spans="4:11">
      <c r="D993">
        <f t="shared" ca="1" si="38"/>
        <v>8.1608226181854704</v>
      </c>
      <c r="K993">
        <f t="shared" ca="1" si="39"/>
        <v>2.2236991559050994</v>
      </c>
    </row>
    <row r="994" spans="4:11">
      <c r="D994">
        <f t="shared" ca="1" si="38"/>
        <v>1.4563293515156595</v>
      </c>
      <c r="K994">
        <f t="shared" ca="1" si="39"/>
        <v>0.5818164887688515</v>
      </c>
    </row>
    <row r="995" spans="4:11">
      <c r="D995">
        <f t="shared" ca="1" si="38"/>
        <v>6.3442307313031083</v>
      </c>
      <c r="K995">
        <f t="shared" ca="1" si="39"/>
        <v>2.3973682515736131E-2</v>
      </c>
    </row>
    <row r="996" spans="4:11">
      <c r="D996">
        <f t="shared" ca="1" si="38"/>
        <v>0.93720110635764864</v>
      </c>
      <c r="K996">
        <f t="shared" ca="1" si="39"/>
        <v>0.28337587079007409</v>
      </c>
    </row>
    <row r="997" spans="4:11">
      <c r="D997">
        <f t="shared" ca="1" si="38"/>
        <v>2.5083315271472317</v>
      </c>
      <c r="K997">
        <f t="shared" ca="1" si="39"/>
        <v>1.061328008582981</v>
      </c>
    </row>
    <row r="998" spans="4:11">
      <c r="D998">
        <f t="shared" ca="1" si="38"/>
        <v>5.1240485556577511</v>
      </c>
      <c r="K998">
        <f t="shared" ca="1" si="39"/>
        <v>5.6152054287022448</v>
      </c>
    </row>
    <row r="999" spans="4:11">
      <c r="D999">
        <f t="shared" ca="1" si="38"/>
        <v>9.3987666851229399</v>
      </c>
      <c r="K999">
        <f t="shared" ca="1" si="39"/>
        <v>5.9461346424123231</v>
      </c>
    </row>
    <row r="1000" spans="4:11">
      <c r="D1000">
        <f t="shared" ca="1" si="38"/>
        <v>2.1853532668636833</v>
      </c>
      <c r="K1000">
        <f t="shared" ca="1" si="39"/>
        <v>8.9248064057331593E-3</v>
      </c>
    </row>
    <row r="1001" spans="4:11">
      <c r="D1001">
        <f t="shared" ca="1" si="38"/>
        <v>6.5953763440580744</v>
      </c>
      <c r="K1001">
        <f t="shared" ca="1" si="39"/>
        <v>1.5654481256709452</v>
      </c>
    </row>
    <row r="1002" spans="4:11">
      <c r="D1002">
        <f t="shared" ca="1" si="38"/>
        <v>2.5961559032668635</v>
      </c>
      <c r="K1002">
        <f t="shared" ca="1" si="39"/>
        <v>0.79920526514525347</v>
      </c>
    </row>
    <row r="1003" spans="4:11">
      <c r="D1003">
        <f t="shared" ca="1" si="38"/>
        <v>0.12655469141992126</v>
      </c>
      <c r="K1003">
        <f t="shared" ca="1" si="39"/>
        <v>2.9892643312877132</v>
      </c>
    </row>
    <row r="1004" spans="4:11">
      <c r="D1004">
        <f t="shared" ca="1" si="38"/>
        <v>4.0153011720837775</v>
      </c>
      <c r="K1004">
        <f t="shared" ca="1" si="39"/>
        <v>1.486223762943669</v>
      </c>
    </row>
    <row r="1005" spans="4:11">
      <c r="D1005">
        <f t="shared" ca="1" si="38"/>
        <v>1.4842717790122952</v>
      </c>
      <c r="K1005">
        <f t="shared" ca="1" si="39"/>
        <v>0.77409215384554719</v>
      </c>
    </row>
    <row r="1006" spans="4:11">
      <c r="D1006">
        <f t="shared" ca="1" si="38"/>
        <v>1.4752937151243866</v>
      </c>
      <c r="K1006">
        <f t="shared" ca="1" si="39"/>
        <v>3.0313040039644381</v>
      </c>
    </row>
    <row r="1007" spans="4:11">
      <c r="D1007">
        <f t="shared" ca="1" si="38"/>
        <v>0.63372049492470039</v>
      </c>
      <c r="K1007">
        <f t="shared" ca="1" si="39"/>
        <v>1.8350212908637129</v>
      </c>
    </row>
    <row r="1008" spans="4:11">
      <c r="D1008">
        <f t="shared" ca="1" si="38"/>
        <v>8.0657484369767651</v>
      </c>
      <c r="K1008">
        <f t="shared" ca="1" si="39"/>
        <v>1.2798590160919656</v>
      </c>
    </row>
    <row r="1009" spans="4:11">
      <c r="D1009">
        <f t="shared" ca="1" si="38"/>
        <v>1.1069870525275056</v>
      </c>
      <c r="K1009">
        <f t="shared" ca="1" si="39"/>
        <v>0.21737134133318525</v>
      </c>
    </row>
    <row r="1010" spans="4:11">
      <c r="D1010">
        <f t="shared" ca="1" si="38"/>
        <v>0.51292571656627728</v>
      </c>
      <c r="K1010">
        <f t="shared" ca="1" si="39"/>
        <v>5.3005688807897542</v>
      </c>
    </row>
    <row r="1011" spans="4:11">
      <c r="D1011">
        <f t="shared" ca="1" si="38"/>
        <v>0.17120728595848705</v>
      </c>
      <c r="K1011">
        <f t="shared" ca="1" si="39"/>
        <v>2.9404284097489102</v>
      </c>
    </row>
    <row r="1012" spans="4:11">
      <c r="D1012">
        <f t="shared" ca="1" si="38"/>
        <v>2.6268001923814461</v>
      </c>
      <c r="K1012">
        <f t="shared" ca="1" si="39"/>
        <v>0.64451554847593329</v>
      </c>
    </row>
    <row r="1013" spans="4:11">
      <c r="D1013">
        <f t="shared" ca="1" si="38"/>
        <v>10.485188498177145</v>
      </c>
      <c r="K1013">
        <f t="shared" ca="1" si="39"/>
        <v>2.0774128464010682</v>
      </c>
    </row>
    <row r="1014" spans="4:11">
      <c r="D1014">
        <f t="shared" ca="1" si="38"/>
        <v>4.3804963530115621</v>
      </c>
      <c r="K1014">
        <f t="shared" ca="1" si="39"/>
        <v>2.8421497476314919</v>
      </c>
    </row>
    <row r="1015" spans="4:11">
      <c r="D1015">
        <f t="shared" ca="1" si="38"/>
        <v>3.479961165215383</v>
      </c>
      <c r="K1015">
        <f t="shared" ca="1" si="39"/>
        <v>0.11128696103046173</v>
      </c>
    </row>
    <row r="1016" spans="4:11">
      <c r="D1016">
        <f t="shared" ca="1" si="38"/>
        <v>0.42718545090432569</v>
      </c>
      <c r="K1016">
        <f t="shared" ca="1" si="39"/>
        <v>0.18400049445292399</v>
      </c>
    </row>
    <row r="1017" spans="4:11">
      <c r="D1017">
        <f t="shared" ca="1" si="38"/>
        <v>9.1120891716327037</v>
      </c>
      <c r="K1017">
        <f t="shared" ca="1" si="39"/>
        <v>0.77016255150426938</v>
      </c>
    </row>
    <row r="1018" spans="4:11">
      <c r="D1018">
        <f t="shared" ca="1" si="38"/>
        <v>8.3257485630997081</v>
      </c>
      <c r="K1018">
        <f t="shared" ca="1" si="39"/>
        <v>3.0523503363937188</v>
      </c>
    </row>
    <row r="1019" spans="4:11">
      <c r="D1019">
        <f t="shared" ca="1" si="38"/>
        <v>10.319237790450412</v>
      </c>
      <c r="K1019">
        <f t="shared" ca="1" si="39"/>
        <v>12.227398396153252</v>
      </c>
    </row>
    <row r="1020" spans="4:11">
      <c r="D1020">
        <f t="shared" ca="1" si="38"/>
        <v>2.3298178992344258</v>
      </c>
      <c r="K1020">
        <f t="shared" ca="1" si="39"/>
        <v>6.8762714465290777</v>
      </c>
    </row>
    <row r="1021" spans="4:11">
      <c r="D1021">
        <f t="shared" ca="1" si="38"/>
        <v>8.2878072953430681</v>
      </c>
      <c r="K1021">
        <f t="shared" ca="1" si="39"/>
        <v>2.2806293621754747</v>
      </c>
    </row>
    <row r="1022" spans="4:11">
      <c r="D1022">
        <f t="shared" ca="1" si="38"/>
        <v>0.30557290828818662</v>
      </c>
      <c r="K1022">
        <f t="shared" ca="1" si="39"/>
        <v>0.35498378551618237</v>
      </c>
    </row>
    <row r="1023" spans="4:11">
      <c r="D1023">
        <f t="shared" ca="1" si="38"/>
        <v>0.1934020956752569</v>
      </c>
      <c r="K1023">
        <f t="shared" ca="1" si="39"/>
        <v>5.0204601834064526</v>
      </c>
    </row>
    <row r="1024" spans="4:11">
      <c r="D1024">
        <f t="shared" ca="1" si="38"/>
        <v>1.071356382127489</v>
      </c>
      <c r="K1024">
        <f t="shared" ca="1" si="39"/>
        <v>3.7713667345500852</v>
      </c>
    </row>
    <row r="1025" spans="4:11">
      <c r="D1025">
        <f t="shared" ca="1" si="38"/>
        <v>7.5567532780273581</v>
      </c>
      <c r="K1025">
        <f t="shared" ca="1" si="39"/>
        <v>4.9520949664742222</v>
      </c>
    </row>
    <row r="1026" spans="4:11">
      <c r="D1026">
        <f t="shared" ref="D1026:D1089" ca="1" si="40">GAMMAINV(RAND(),$A$2,$B$2)</f>
        <v>2.7507452995746888</v>
      </c>
      <c r="K1026">
        <f t="shared" ref="K1026:K1089" ca="1" si="41">GAMMAINV(RAND(),$H$2,$I$2)</f>
        <v>0.90376045151134221</v>
      </c>
    </row>
    <row r="1027" spans="4:11">
      <c r="D1027">
        <f t="shared" ca="1" si="40"/>
        <v>6.7955667851585329</v>
      </c>
      <c r="K1027">
        <f t="shared" ca="1" si="41"/>
        <v>1.0765515436542574</v>
      </c>
    </row>
    <row r="1028" spans="4:11">
      <c r="D1028">
        <f t="shared" ca="1" si="40"/>
        <v>4.1194533009573178</v>
      </c>
      <c r="K1028">
        <f t="shared" ca="1" si="41"/>
        <v>5.8889075075302664</v>
      </c>
    </row>
    <row r="1029" spans="4:11">
      <c r="D1029">
        <f t="shared" ca="1" si="40"/>
        <v>3.0561344871709748</v>
      </c>
      <c r="K1029">
        <f t="shared" ca="1" si="41"/>
        <v>1.7643202451751132</v>
      </c>
    </row>
    <row r="1030" spans="4:11">
      <c r="D1030">
        <f t="shared" ca="1" si="40"/>
        <v>3.7514390087205252</v>
      </c>
      <c r="K1030">
        <f t="shared" ca="1" si="41"/>
        <v>3.6072104184716389</v>
      </c>
    </row>
    <row r="1031" spans="4:11">
      <c r="D1031">
        <f t="shared" ca="1" si="40"/>
        <v>5.4910380992819583</v>
      </c>
      <c r="K1031">
        <f t="shared" ca="1" si="41"/>
        <v>0.58671452166917448</v>
      </c>
    </row>
    <row r="1032" spans="4:11">
      <c r="D1032">
        <f t="shared" ca="1" si="40"/>
        <v>5.0787638667531247</v>
      </c>
      <c r="K1032">
        <f t="shared" ca="1" si="41"/>
        <v>2.1175371818638835</v>
      </c>
    </row>
    <row r="1033" spans="4:11">
      <c r="D1033">
        <f t="shared" ca="1" si="40"/>
        <v>8.0501203207711178</v>
      </c>
      <c r="K1033">
        <f t="shared" ca="1" si="41"/>
        <v>0.30644781802288623</v>
      </c>
    </row>
    <row r="1034" spans="4:11">
      <c r="D1034">
        <f t="shared" ca="1" si="40"/>
        <v>11.794080133568531</v>
      </c>
      <c r="K1034">
        <f t="shared" ca="1" si="41"/>
        <v>0.26025341260804657</v>
      </c>
    </row>
    <row r="1035" spans="4:11">
      <c r="D1035">
        <f t="shared" ca="1" si="40"/>
        <v>3.8121582255495143</v>
      </c>
      <c r="K1035">
        <f t="shared" ca="1" si="41"/>
        <v>0.40102567365153263</v>
      </c>
    </row>
    <row r="1036" spans="4:11">
      <c r="D1036">
        <f t="shared" ca="1" si="40"/>
        <v>6.1625630996336831</v>
      </c>
      <c r="K1036">
        <f t="shared" ca="1" si="41"/>
        <v>0.58759382011159178</v>
      </c>
    </row>
    <row r="1037" spans="4:11">
      <c r="D1037">
        <f t="shared" ca="1" si="40"/>
        <v>15.79321907981808</v>
      </c>
      <c r="K1037">
        <f t="shared" ca="1" si="41"/>
        <v>0.23184271906840864</v>
      </c>
    </row>
    <row r="1038" spans="4:11">
      <c r="D1038">
        <f t="shared" ca="1" si="40"/>
        <v>5.9145979901100763</v>
      </c>
      <c r="K1038">
        <f t="shared" ca="1" si="41"/>
        <v>0.16442009766317284</v>
      </c>
    </row>
    <row r="1039" spans="4:11">
      <c r="D1039">
        <f t="shared" ca="1" si="40"/>
        <v>2.287351895189575</v>
      </c>
      <c r="K1039">
        <f t="shared" ca="1" si="41"/>
        <v>0.16014294648253663</v>
      </c>
    </row>
    <row r="1040" spans="4:11">
      <c r="D1040">
        <f t="shared" ca="1" si="40"/>
        <v>1.8874755101590193</v>
      </c>
      <c r="K1040">
        <f t="shared" ca="1" si="41"/>
        <v>2.835468746377753</v>
      </c>
    </row>
    <row r="1041" spans="4:11">
      <c r="D1041">
        <f t="shared" ca="1" si="40"/>
        <v>0.73407822943971679</v>
      </c>
      <c r="K1041">
        <f t="shared" ca="1" si="41"/>
        <v>0.28906487723904939</v>
      </c>
    </row>
    <row r="1042" spans="4:11">
      <c r="D1042">
        <f t="shared" ca="1" si="40"/>
        <v>2.1240125909179154E-2</v>
      </c>
      <c r="K1042">
        <f t="shared" ca="1" si="41"/>
        <v>5.059277538229475</v>
      </c>
    </row>
    <row r="1043" spans="4:11">
      <c r="D1043">
        <f t="shared" ca="1" si="40"/>
        <v>3.6140505231770907</v>
      </c>
      <c r="K1043">
        <f t="shared" ca="1" si="41"/>
        <v>2.0692871876462826</v>
      </c>
    </row>
    <row r="1044" spans="4:11">
      <c r="D1044">
        <f t="shared" ca="1" si="40"/>
        <v>0.2901666384095154</v>
      </c>
      <c r="K1044">
        <f t="shared" ca="1" si="41"/>
        <v>1.6182567204680951</v>
      </c>
    </row>
    <row r="1045" spans="4:11">
      <c r="D1045">
        <f t="shared" ca="1" si="40"/>
        <v>3.5399772871552386</v>
      </c>
      <c r="K1045">
        <f t="shared" ca="1" si="41"/>
        <v>1.892990731374089</v>
      </c>
    </row>
    <row r="1046" spans="4:11">
      <c r="D1046">
        <f t="shared" ca="1" si="40"/>
        <v>1.3789416474437193</v>
      </c>
      <c r="K1046">
        <f t="shared" ca="1" si="41"/>
        <v>2.3340112438359597</v>
      </c>
    </row>
    <row r="1047" spans="4:11">
      <c r="D1047">
        <f t="shared" ca="1" si="40"/>
        <v>0.2579327068387286</v>
      </c>
      <c r="K1047">
        <f t="shared" ca="1" si="41"/>
        <v>7.9307814637599061E-2</v>
      </c>
    </row>
    <row r="1048" spans="4:11">
      <c r="D1048">
        <f t="shared" ca="1" si="40"/>
        <v>0.93419657120580335</v>
      </c>
      <c r="K1048">
        <f t="shared" ca="1" si="41"/>
        <v>0.25783188315507677</v>
      </c>
    </row>
    <row r="1049" spans="4:11">
      <c r="D1049">
        <f t="shared" ca="1" si="40"/>
        <v>2.8394896259065963</v>
      </c>
      <c r="K1049">
        <f t="shared" ca="1" si="41"/>
        <v>0.33779940321850055</v>
      </c>
    </row>
    <row r="1050" spans="4:11">
      <c r="D1050">
        <f t="shared" ca="1" si="40"/>
        <v>5.0966190693964339</v>
      </c>
      <c r="K1050">
        <f t="shared" ca="1" si="41"/>
        <v>1.5435444920616384</v>
      </c>
    </row>
    <row r="1051" spans="4:11">
      <c r="D1051">
        <f t="shared" ca="1" si="40"/>
        <v>0.9490674806276469</v>
      </c>
      <c r="K1051">
        <f t="shared" ca="1" si="41"/>
        <v>0.69552234435617444</v>
      </c>
    </row>
    <row r="1052" spans="4:11">
      <c r="D1052">
        <f t="shared" ca="1" si="40"/>
        <v>1.4148403012090527</v>
      </c>
      <c r="K1052">
        <f t="shared" ca="1" si="41"/>
        <v>2.7335141170168233</v>
      </c>
    </row>
    <row r="1053" spans="4:11">
      <c r="D1053">
        <f t="shared" ca="1" si="40"/>
        <v>8.8805569755467708</v>
      </c>
      <c r="K1053">
        <f t="shared" ca="1" si="41"/>
        <v>0.74678029451570715</v>
      </c>
    </row>
    <row r="1054" spans="4:11">
      <c r="D1054">
        <f t="shared" ca="1" si="40"/>
        <v>11.512104438796381</v>
      </c>
      <c r="K1054">
        <f t="shared" ca="1" si="41"/>
        <v>1.7129107196346536</v>
      </c>
    </row>
    <row r="1055" spans="4:11">
      <c r="D1055">
        <f t="shared" ca="1" si="40"/>
        <v>4.9064321212928697</v>
      </c>
      <c r="K1055">
        <f t="shared" ca="1" si="41"/>
        <v>0.51967869437143821</v>
      </c>
    </row>
    <row r="1056" spans="4:11">
      <c r="D1056">
        <f t="shared" ca="1" si="40"/>
        <v>0.94440279615791822</v>
      </c>
      <c r="K1056">
        <f t="shared" ca="1" si="41"/>
        <v>0.89148966746900626</v>
      </c>
    </row>
    <row r="1057" spans="4:11">
      <c r="D1057">
        <f t="shared" ca="1" si="40"/>
        <v>0.22749502541254846</v>
      </c>
      <c r="K1057">
        <f t="shared" ca="1" si="41"/>
        <v>2.2351684615361984</v>
      </c>
    </row>
    <row r="1058" spans="4:11">
      <c r="D1058">
        <f t="shared" ca="1" si="40"/>
        <v>5.0170992001353447</v>
      </c>
      <c r="K1058">
        <f t="shared" ca="1" si="41"/>
        <v>0.51133879050684339</v>
      </c>
    </row>
    <row r="1059" spans="4:11">
      <c r="D1059">
        <f t="shared" ca="1" si="40"/>
        <v>2.9141612708373197</v>
      </c>
      <c r="K1059">
        <f t="shared" ca="1" si="41"/>
        <v>3.00994078738655</v>
      </c>
    </row>
    <row r="1060" spans="4:11">
      <c r="D1060">
        <f t="shared" ca="1" si="40"/>
        <v>7.6402665906251297</v>
      </c>
      <c r="K1060">
        <f t="shared" ca="1" si="41"/>
        <v>2.2564254758107909</v>
      </c>
    </row>
    <row r="1061" spans="4:11">
      <c r="D1061">
        <f t="shared" ca="1" si="40"/>
        <v>2.143184523198026</v>
      </c>
      <c r="K1061">
        <f t="shared" ca="1" si="41"/>
        <v>9.0320337112673421</v>
      </c>
    </row>
    <row r="1062" spans="4:11">
      <c r="D1062">
        <f t="shared" ca="1" si="40"/>
        <v>11.215561972114937</v>
      </c>
      <c r="K1062">
        <f t="shared" ca="1" si="41"/>
        <v>1.2962603409218731</v>
      </c>
    </row>
    <row r="1063" spans="4:11">
      <c r="D1063">
        <f t="shared" ca="1" si="40"/>
        <v>1.5881143759172738</v>
      </c>
      <c r="K1063">
        <f t="shared" ca="1" si="41"/>
        <v>2.2524678790620802</v>
      </c>
    </row>
    <row r="1064" spans="4:11">
      <c r="D1064">
        <f t="shared" ca="1" si="40"/>
        <v>12.894806106685152</v>
      </c>
      <c r="K1064">
        <f t="shared" ca="1" si="41"/>
        <v>0.49538191725178982</v>
      </c>
    </row>
    <row r="1065" spans="4:11">
      <c r="D1065">
        <f t="shared" ca="1" si="40"/>
        <v>1.4922719641122377</v>
      </c>
      <c r="K1065">
        <f t="shared" ca="1" si="41"/>
        <v>0.22020269713223428</v>
      </c>
    </row>
    <row r="1066" spans="4:11">
      <c r="D1066">
        <f t="shared" ca="1" si="40"/>
        <v>4.4298546861043118</v>
      </c>
      <c r="K1066">
        <f t="shared" ca="1" si="41"/>
        <v>1.7069872368132422</v>
      </c>
    </row>
    <row r="1067" spans="4:11">
      <c r="D1067">
        <f t="shared" ca="1" si="40"/>
        <v>18.866363654463946</v>
      </c>
      <c r="K1067">
        <f t="shared" ca="1" si="41"/>
        <v>0.88037240543156314</v>
      </c>
    </row>
    <row r="1068" spans="4:11">
      <c r="D1068">
        <f t="shared" ca="1" si="40"/>
        <v>3.3838815593142764</v>
      </c>
      <c r="K1068">
        <f t="shared" ca="1" si="41"/>
        <v>2.1353012525539103</v>
      </c>
    </row>
    <row r="1069" spans="4:11">
      <c r="D1069">
        <f t="shared" ca="1" si="40"/>
        <v>5.3426851279624312</v>
      </c>
      <c r="K1069">
        <f t="shared" ca="1" si="41"/>
        <v>1.182349513909597</v>
      </c>
    </row>
    <row r="1070" spans="4:11">
      <c r="D1070">
        <f t="shared" ca="1" si="40"/>
        <v>9.2090070499263774</v>
      </c>
      <c r="K1070">
        <f t="shared" ca="1" si="41"/>
        <v>6.0369940988051818E-2</v>
      </c>
    </row>
    <row r="1071" spans="4:11">
      <c r="D1071">
        <f t="shared" ca="1" si="40"/>
        <v>11.089221496161581</v>
      </c>
      <c r="K1071">
        <f t="shared" ca="1" si="41"/>
        <v>3.0197168257283877</v>
      </c>
    </row>
    <row r="1072" spans="4:11">
      <c r="D1072">
        <f t="shared" ca="1" si="40"/>
        <v>1.3515538570011012</v>
      </c>
      <c r="K1072">
        <f t="shared" ca="1" si="41"/>
        <v>1.6066027281370348</v>
      </c>
    </row>
    <row r="1073" spans="4:11">
      <c r="D1073">
        <f t="shared" ca="1" si="40"/>
        <v>3.3524674100083818</v>
      </c>
      <c r="K1073">
        <f t="shared" ca="1" si="41"/>
        <v>0.80923394814912286</v>
      </c>
    </row>
    <row r="1074" spans="4:11">
      <c r="D1074">
        <f t="shared" ca="1" si="40"/>
        <v>4.3414817567578119</v>
      </c>
      <c r="K1074">
        <f t="shared" ca="1" si="41"/>
        <v>0.89713139322934699</v>
      </c>
    </row>
    <row r="1075" spans="4:11">
      <c r="D1075">
        <f t="shared" ca="1" si="40"/>
        <v>9.2286314485360847</v>
      </c>
      <c r="K1075">
        <f t="shared" ca="1" si="41"/>
        <v>0.10606369346262962</v>
      </c>
    </row>
    <row r="1076" spans="4:11">
      <c r="D1076">
        <f t="shared" ca="1" si="40"/>
        <v>9.0723592570802758</v>
      </c>
      <c r="K1076">
        <f t="shared" ca="1" si="41"/>
        <v>2.9327046392442755</v>
      </c>
    </row>
    <row r="1077" spans="4:11">
      <c r="D1077">
        <f t="shared" ca="1" si="40"/>
        <v>0.60907116911092563</v>
      </c>
      <c r="K1077">
        <f t="shared" ca="1" si="41"/>
        <v>1.9924508494842876E-2</v>
      </c>
    </row>
    <row r="1078" spans="4:11">
      <c r="D1078">
        <f t="shared" ca="1" si="40"/>
        <v>3.913749460784735</v>
      </c>
      <c r="K1078">
        <f t="shared" ca="1" si="41"/>
        <v>1.7181522272169327</v>
      </c>
    </row>
    <row r="1079" spans="4:11">
      <c r="D1079">
        <f t="shared" ca="1" si="40"/>
        <v>1.3105738381855443</v>
      </c>
      <c r="K1079">
        <f t="shared" ca="1" si="41"/>
        <v>0.35125581811566242</v>
      </c>
    </row>
    <row r="1080" spans="4:11">
      <c r="D1080">
        <f t="shared" ca="1" si="40"/>
        <v>2.1622850375191645</v>
      </c>
      <c r="K1080">
        <f t="shared" ca="1" si="41"/>
        <v>0.4409440918401546</v>
      </c>
    </row>
    <row r="1081" spans="4:11">
      <c r="D1081">
        <f t="shared" ca="1" si="40"/>
        <v>5.7094566686505601</v>
      </c>
      <c r="K1081">
        <f t="shared" ca="1" si="41"/>
        <v>2.0992287677615433</v>
      </c>
    </row>
    <row r="1082" spans="4:11">
      <c r="D1082">
        <f t="shared" ca="1" si="40"/>
        <v>1.081171961817637</v>
      </c>
      <c r="K1082">
        <f t="shared" ca="1" si="41"/>
        <v>1.2801609486809169</v>
      </c>
    </row>
    <row r="1083" spans="4:11">
      <c r="D1083">
        <f t="shared" ca="1" si="40"/>
        <v>16.11548471922243</v>
      </c>
      <c r="K1083">
        <f t="shared" ca="1" si="41"/>
        <v>4.8783448914087817</v>
      </c>
    </row>
    <row r="1084" spans="4:11">
      <c r="D1084">
        <f t="shared" ca="1" si="40"/>
        <v>15.649052650598929</v>
      </c>
      <c r="K1084">
        <f t="shared" ca="1" si="41"/>
        <v>2.5117073315325431</v>
      </c>
    </row>
    <row r="1085" spans="4:11">
      <c r="D1085">
        <f t="shared" ca="1" si="40"/>
        <v>3.9228187618516328</v>
      </c>
      <c r="K1085">
        <f t="shared" ca="1" si="41"/>
        <v>0.53624859572485195</v>
      </c>
    </row>
    <row r="1086" spans="4:11">
      <c r="D1086">
        <f t="shared" ca="1" si="40"/>
        <v>5.2651075785153996</v>
      </c>
      <c r="K1086">
        <f t="shared" ca="1" si="41"/>
        <v>1.5511203172442185</v>
      </c>
    </row>
    <row r="1087" spans="4:11">
      <c r="D1087">
        <f t="shared" ca="1" si="40"/>
        <v>7.3184684291539082</v>
      </c>
      <c r="K1087">
        <f t="shared" ca="1" si="41"/>
        <v>0.20315040583470539</v>
      </c>
    </row>
    <row r="1088" spans="4:11">
      <c r="D1088">
        <f t="shared" ca="1" si="40"/>
        <v>4.1930934621286333</v>
      </c>
      <c r="K1088">
        <f t="shared" ca="1" si="41"/>
        <v>4.6295880010526265</v>
      </c>
    </row>
    <row r="1089" spans="4:11">
      <c r="D1089">
        <f t="shared" ca="1" si="40"/>
        <v>0.47915810787366375</v>
      </c>
      <c r="K1089">
        <f t="shared" ca="1" si="41"/>
        <v>5.0549510396358492</v>
      </c>
    </row>
    <row r="1090" spans="4:11">
      <c r="D1090">
        <f t="shared" ref="D1090:D1153" ca="1" si="42">GAMMAINV(RAND(),$A$2,$B$2)</f>
        <v>0.86193114608486376</v>
      </c>
      <c r="K1090">
        <f t="shared" ref="K1090:K1153" ca="1" si="43">GAMMAINV(RAND(),$H$2,$I$2)</f>
        <v>2.0173474168662509</v>
      </c>
    </row>
    <row r="1091" spans="4:11">
      <c r="D1091">
        <f t="shared" ca="1" si="42"/>
        <v>8.8465037750262816</v>
      </c>
      <c r="K1091">
        <f t="shared" ca="1" si="43"/>
        <v>0.20330906969916301</v>
      </c>
    </row>
    <row r="1092" spans="4:11">
      <c r="D1092">
        <f t="shared" ca="1" si="42"/>
        <v>4.3552664540279142</v>
      </c>
      <c r="K1092">
        <f t="shared" ca="1" si="43"/>
        <v>1.3723725243076679</v>
      </c>
    </row>
    <row r="1093" spans="4:11">
      <c r="D1093">
        <f t="shared" ca="1" si="42"/>
        <v>20.599865691172546</v>
      </c>
      <c r="K1093">
        <f t="shared" ca="1" si="43"/>
        <v>2.3306514911606859</v>
      </c>
    </row>
    <row r="1094" spans="4:11">
      <c r="D1094">
        <f t="shared" ca="1" si="42"/>
        <v>5.7817119760535771</v>
      </c>
      <c r="K1094">
        <f t="shared" ca="1" si="43"/>
        <v>4.7407917994193305E-2</v>
      </c>
    </row>
    <row r="1095" spans="4:11">
      <c r="D1095">
        <f t="shared" ca="1" si="42"/>
        <v>3.8633928671737516</v>
      </c>
      <c r="K1095">
        <f t="shared" ca="1" si="43"/>
        <v>1.4667901908357921</v>
      </c>
    </row>
    <row r="1096" spans="4:11">
      <c r="D1096">
        <f t="shared" ca="1" si="42"/>
        <v>7.0792640608695123</v>
      </c>
      <c r="K1096">
        <f t="shared" ca="1" si="43"/>
        <v>1.3476417786770432</v>
      </c>
    </row>
    <row r="1097" spans="4:11">
      <c r="D1097">
        <f t="shared" ca="1" si="42"/>
        <v>0.22348965239531343</v>
      </c>
      <c r="K1097">
        <f t="shared" ca="1" si="43"/>
        <v>3.8868360163207134</v>
      </c>
    </row>
    <row r="1098" spans="4:11">
      <c r="D1098">
        <f t="shared" ca="1" si="42"/>
        <v>19.340145310883472</v>
      </c>
      <c r="K1098">
        <f t="shared" ca="1" si="43"/>
        <v>2.2277767531985404</v>
      </c>
    </row>
    <row r="1099" spans="4:11">
      <c r="D1099">
        <f t="shared" ca="1" si="42"/>
        <v>2.122441225829613</v>
      </c>
      <c r="K1099">
        <f t="shared" ca="1" si="43"/>
        <v>0.64267273200952535</v>
      </c>
    </row>
    <row r="1100" spans="4:11">
      <c r="D1100">
        <f t="shared" ca="1" si="42"/>
        <v>9.4775154718856136</v>
      </c>
      <c r="K1100">
        <f t="shared" ca="1" si="43"/>
        <v>0.95865235217338585</v>
      </c>
    </row>
    <row r="1101" spans="4:11">
      <c r="D1101">
        <f t="shared" ca="1" si="42"/>
        <v>6.340717345161238</v>
      </c>
      <c r="K1101">
        <f t="shared" ca="1" si="43"/>
        <v>0.78366949278070663</v>
      </c>
    </row>
    <row r="1102" spans="4:11">
      <c r="D1102">
        <f t="shared" ca="1" si="42"/>
        <v>4.7309037624259602</v>
      </c>
      <c r="K1102">
        <f t="shared" ca="1" si="43"/>
        <v>2.5702119298675642E-2</v>
      </c>
    </row>
    <row r="1103" spans="4:11">
      <c r="D1103">
        <f t="shared" ca="1" si="42"/>
        <v>2.9087609024347367</v>
      </c>
      <c r="K1103">
        <f t="shared" ca="1" si="43"/>
        <v>1.1542940636877166</v>
      </c>
    </row>
    <row r="1104" spans="4:11">
      <c r="D1104">
        <f t="shared" ca="1" si="42"/>
        <v>1.6739685269774376</v>
      </c>
      <c r="K1104">
        <f t="shared" ca="1" si="43"/>
        <v>0.27868225042929462</v>
      </c>
    </row>
    <row r="1105" spans="4:11">
      <c r="D1105">
        <f t="shared" ca="1" si="42"/>
        <v>26.418935400152094</v>
      </c>
      <c r="K1105">
        <f t="shared" ca="1" si="43"/>
        <v>1.1884786719728</v>
      </c>
    </row>
    <row r="1106" spans="4:11">
      <c r="D1106">
        <f t="shared" ca="1" si="42"/>
        <v>1.5042365206532873</v>
      </c>
      <c r="K1106">
        <f t="shared" ca="1" si="43"/>
        <v>0.72594956328971771</v>
      </c>
    </row>
    <row r="1107" spans="4:11">
      <c r="D1107">
        <f t="shared" ca="1" si="42"/>
        <v>3.2139800506771099</v>
      </c>
      <c r="K1107">
        <f t="shared" ca="1" si="43"/>
        <v>12.55947523858012</v>
      </c>
    </row>
    <row r="1108" spans="4:11">
      <c r="D1108">
        <f t="shared" ca="1" si="42"/>
        <v>7.7030627321149279</v>
      </c>
      <c r="K1108">
        <f t="shared" ca="1" si="43"/>
        <v>7.9737676969206479</v>
      </c>
    </row>
    <row r="1109" spans="4:11">
      <c r="D1109">
        <f t="shared" ca="1" si="42"/>
        <v>1.3235870011910298</v>
      </c>
      <c r="K1109">
        <f t="shared" ca="1" si="43"/>
        <v>0.46761333238133529</v>
      </c>
    </row>
    <row r="1110" spans="4:11">
      <c r="D1110">
        <f t="shared" ca="1" si="42"/>
        <v>1.9318339207188795</v>
      </c>
      <c r="K1110">
        <f t="shared" ca="1" si="43"/>
        <v>1.9608066555586712</v>
      </c>
    </row>
    <row r="1111" spans="4:11">
      <c r="D1111">
        <f t="shared" ca="1" si="42"/>
        <v>17.667477218854266</v>
      </c>
      <c r="K1111">
        <f t="shared" ca="1" si="43"/>
        <v>4.9272091838041341</v>
      </c>
    </row>
    <row r="1112" spans="4:11">
      <c r="D1112">
        <f t="shared" ca="1" si="42"/>
        <v>1.4389603783386291</v>
      </c>
      <c r="K1112">
        <f t="shared" ca="1" si="43"/>
        <v>2.953293634831283</v>
      </c>
    </row>
    <row r="1113" spans="4:11">
      <c r="D1113">
        <f t="shared" ca="1" si="42"/>
        <v>3.4329275312375058</v>
      </c>
      <c r="K1113">
        <f t="shared" ca="1" si="43"/>
        <v>3.6968926799450941</v>
      </c>
    </row>
    <row r="1114" spans="4:11">
      <c r="D1114">
        <f t="shared" ca="1" si="42"/>
        <v>4.4249092390876701</v>
      </c>
      <c r="K1114">
        <f t="shared" ca="1" si="43"/>
        <v>1.0646199500554236</v>
      </c>
    </row>
    <row r="1115" spans="4:11">
      <c r="D1115">
        <f t="shared" ca="1" si="42"/>
        <v>1.2335713274399085</v>
      </c>
      <c r="K1115">
        <f t="shared" ca="1" si="43"/>
        <v>1.9647080527738288E-2</v>
      </c>
    </row>
    <row r="1116" spans="4:11">
      <c r="D1116">
        <f t="shared" ca="1" si="42"/>
        <v>4.557600155273386</v>
      </c>
      <c r="K1116">
        <f t="shared" ca="1" si="43"/>
        <v>0.22450101557741636</v>
      </c>
    </row>
    <row r="1117" spans="4:11">
      <c r="D1117">
        <f t="shared" ca="1" si="42"/>
        <v>1.7136148723123563</v>
      </c>
      <c r="K1117">
        <f t="shared" ca="1" si="43"/>
        <v>1.3442874653955004</v>
      </c>
    </row>
    <row r="1118" spans="4:11">
      <c r="D1118">
        <f t="shared" ca="1" si="42"/>
        <v>0.88082141434626959</v>
      </c>
      <c r="K1118">
        <f t="shared" ca="1" si="43"/>
        <v>3.7498692889194194</v>
      </c>
    </row>
    <row r="1119" spans="4:11">
      <c r="D1119">
        <f t="shared" ca="1" si="42"/>
        <v>2.489648301829547</v>
      </c>
      <c r="K1119">
        <f t="shared" ca="1" si="43"/>
        <v>3.6209763069543427E-3</v>
      </c>
    </row>
    <row r="1120" spans="4:11">
      <c r="D1120">
        <f t="shared" ca="1" si="42"/>
        <v>3.3045849124396298</v>
      </c>
      <c r="K1120">
        <f t="shared" ca="1" si="43"/>
        <v>5.8751065765877364</v>
      </c>
    </row>
    <row r="1121" spans="4:11">
      <c r="D1121">
        <f t="shared" ca="1" si="42"/>
        <v>1.3128189325893245</v>
      </c>
      <c r="K1121">
        <f t="shared" ca="1" si="43"/>
        <v>1.9192986860630805</v>
      </c>
    </row>
    <row r="1122" spans="4:11">
      <c r="D1122">
        <f t="shared" ca="1" si="42"/>
        <v>6.0003595448275924</v>
      </c>
      <c r="K1122">
        <f t="shared" ca="1" si="43"/>
        <v>7.8052376675841835</v>
      </c>
    </row>
    <row r="1123" spans="4:11">
      <c r="D1123">
        <f t="shared" ca="1" si="42"/>
        <v>6.645803225264995</v>
      </c>
      <c r="K1123">
        <f t="shared" ca="1" si="43"/>
        <v>2.98734373905714</v>
      </c>
    </row>
    <row r="1124" spans="4:11">
      <c r="D1124">
        <f t="shared" ca="1" si="42"/>
        <v>1.1049767470555469</v>
      </c>
      <c r="K1124">
        <f t="shared" ca="1" si="43"/>
        <v>9.3823814321604182</v>
      </c>
    </row>
    <row r="1125" spans="4:11">
      <c r="D1125">
        <f t="shared" ca="1" si="42"/>
        <v>1.5267326416811762</v>
      </c>
      <c r="K1125">
        <f t="shared" ca="1" si="43"/>
        <v>0.99648820703934149</v>
      </c>
    </row>
    <row r="1126" spans="4:11">
      <c r="D1126">
        <f t="shared" ca="1" si="42"/>
        <v>7.3615178740435017</v>
      </c>
      <c r="K1126">
        <f t="shared" ca="1" si="43"/>
        <v>2.3166861301220125</v>
      </c>
    </row>
    <row r="1127" spans="4:11">
      <c r="D1127">
        <f t="shared" ca="1" si="42"/>
        <v>2.7896128922850814</v>
      </c>
      <c r="K1127">
        <f t="shared" ca="1" si="43"/>
        <v>3.4909203637351176</v>
      </c>
    </row>
    <row r="1128" spans="4:11">
      <c r="D1128">
        <f t="shared" ca="1" si="42"/>
        <v>5.5214404788653795</v>
      </c>
      <c r="K1128">
        <f t="shared" ca="1" si="43"/>
        <v>8.555365973666067</v>
      </c>
    </row>
    <row r="1129" spans="4:11">
      <c r="D1129">
        <f t="shared" ca="1" si="42"/>
        <v>1.1158645257783948</v>
      </c>
      <c r="K1129">
        <f t="shared" ca="1" si="43"/>
        <v>3.0576007111381855</v>
      </c>
    </row>
    <row r="1130" spans="4:11">
      <c r="D1130">
        <f t="shared" ca="1" si="42"/>
        <v>1.2635714596051906</v>
      </c>
      <c r="K1130">
        <f t="shared" ca="1" si="43"/>
        <v>0.49823831651292128</v>
      </c>
    </row>
    <row r="1131" spans="4:11">
      <c r="D1131">
        <f t="shared" ca="1" si="42"/>
        <v>1.7858107134140627E-2</v>
      </c>
      <c r="K1131">
        <f t="shared" ca="1" si="43"/>
        <v>0.40560493948671694</v>
      </c>
    </row>
    <row r="1132" spans="4:11">
      <c r="D1132">
        <f t="shared" ca="1" si="42"/>
        <v>5.7284903478937732</v>
      </c>
      <c r="K1132">
        <f t="shared" ca="1" si="43"/>
        <v>0.90137678514646846</v>
      </c>
    </row>
    <row r="1133" spans="4:11">
      <c r="D1133">
        <f t="shared" ca="1" si="42"/>
        <v>0.26638572355137535</v>
      </c>
      <c r="K1133">
        <f t="shared" ca="1" si="43"/>
        <v>0.68922170192299648</v>
      </c>
    </row>
    <row r="1134" spans="4:11">
      <c r="D1134">
        <f t="shared" ca="1" si="42"/>
        <v>2.3840975367676238</v>
      </c>
      <c r="K1134">
        <f t="shared" ca="1" si="43"/>
        <v>4.6561148404929771</v>
      </c>
    </row>
    <row r="1135" spans="4:11">
      <c r="D1135">
        <f t="shared" ca="1" si="42"/>
        <v>9.7768356296960499E-3</v>
      </c>
      <c r="K1135">
        <f t="shared" ca="1" si="43"/>
        <v>1.1125298369357455</v>
      </c>
    </row>
    <row r="1136" spans="4:11">
      <c r="D1136">
        <f t="shared" ca="1" si="42"/>
        <v>5.5551891734944014</v>
      </c>
      <c r="K1136">
        <f t="shared" ca="1" si="43"/>
        <v>1.8872810646032918E-2</v>
      </c>
    </row>
    <row r="1137" spans="4:11">
      <c r="D1137">
        <f t="shared" ca="1" si="42"/>
        <v>1.8209745054656814</v>
      </c>
      <c r="K1137">
        <f t="shared" ca="1" si="43"/>
        <v>0.4835707976748328</v>
      </c>
    </row>
    <row r="1138" spans="4:11">
      <c r="D1138">
        <f t="shared" ca="1" si="42"/>
        <v>5.9283765967405859</v>
      </c>
      <c r="K1138">
        <f t="shared" ca="1" si="43"/>
        <v>1.0997205508610124</v>
      </c>
    </row>
    <row r="1139" spans="4:11">
      <c r="D1139">
        <f t="shared" ca="1" si="42"/>
        <v>0.96075758236997943</v>
      </c>
      <c r="K1139">
        <f t="shared" ca="1" si="43"/>
        <v>1.5392678042166388E-2</v>
      </c>
    </row>
    <row r="1140" spans="4:11">
      <c r="D1140">
        <f t="shared" ca="1" si="42"/>
        <v>16.113682407052288</v>
      </c>
      <c r="K1140">
        <f t="shared" ca="1" si="43"/>
        <v>0.91717980735942684</v>
      </c>
    </row>
    <row r="1141" spans="4:11">
      <c r="D1141">
        <f t="shared" ca="1" si="42"/>
        <v>8.4977462532404208E-2</v>
      </c>
      <c r="K1141">
        <f t="shared" ca="1" si="43"/>
        <v>0.21622875239386252</v>
      </c>
    </row>
    <row r="1142" spans="4:11">
      <c r="D1142">
        <f t="shared" ca="1" si="42"/>
        <v>4.451201917219942</v>
      </c>
      <c r="K1142">
        <f t="shared" ca="1" si="43"/>
        <v>1.2102543899816811</v>
      </c>
    </row>
    <row r="1143" spans="4:11">
      <c r="D1143">
        <f t="shared" ca="1" si="42"/>
        <v>1.1511035991232519E-2</v>
      </c>
      <c r="K1143">
        <f t="shared" ca="1" si="43"/>
        <v>0.55071397857471305</v>
      </c>
    </row>
    <row r="1144" spans="4:11">
      <c r="D1144">
        <f t="shared" ca="1" si="42"/>
        <v>11.659134092247328</v>
      </c>
      <c r="K1144">
        <f t="shared" ca="1" si="43"/>
        <v>8.4064039399742967</v>
      </c>
    </row>
    <row r="1145" spans="4:11">
      <c r="D1145">
        <f t="shared" ca="1" si="42"/>
        <v>14.379418950204609</v>
      </c>
      <c r="K1145">
        <f t="shared" ca="1" si="43"/>
        <v>2.4847044013087647</v>
      </c>
    </row>
    <row r="1146" spans="4:11">
      <c r="D1146">
        <f t="shared" ca="1" si="42"/>
        <v>12.361175156570944</v>
      </c>
      <c r="K1146">
        <f t="shared" ca="1" si="43"/>
        <v>1.6774514552384212</v>
      </c>
    </row>
    <row r="1147" spans="4:11">
      <c r="D1147">
        <f t="shared" ca="1" si="42"/>
        <v>4.8648302528006919</v>
      </c>
      <c r="K1147">
        <f t="shared" ca="1" si="43"/>
        <v>2.7363985663897861</v>
      </c>
    </row>
    <row r="1148" spans="4:11">
      <c r="D1148">
        <f t="shared" ca="1" si="42"/>
        <v>2.9485354632234539</v>
      </c>
      <c r="K1148">
        <f t="shared" ca="1" si="43"/>
        <v>1.4434932746684508</v>
      </c>
    </row>
    <row r="1149" spans="4:11">
      <c r="D1149">
        <f t="shared" ca="1" si="42"/>
        <v>7.8189242829723984</v>
      </c>
      <c r="K1149">
        <f t="shared" ca="1" si="43"/>
        <v>4.2958548402862338</v>
      </c>
    </row>
    <row r="1150" spans="4:11">
      <c r="D1150">
        <f t="shared" ca="1" si="42"/>
        <v>2.0925173514671975</v>
      </c>
      <c r="K1150">
        <f t="shared" ca="1" si="43"/>
        <v>4.3286667163338913E-2</v>
      </c>
    </row>
    <row r="1151" spans="4:11">
      <c r="D1151">
        <f t="shared" ca="1" si="42"/>
        <v>2.6398344637258457</v>
      </c>
      <c r="K1151">
        <f t="shared" ca="1" si="43"/>
        <v>0.49295418424677639</v>
      </c>
    </row>
    <row r="1152" spans="4:11">
      <c r="D1152">
        <f t="shared" ca="1" si="42"/>
        <v>8.3479500954166674</v>
      </c>
      <c r="K1152">
        <f t="shared" ca="1" si="43"/>
        <v>3.7069531943942975</v>
      </c>
    </row>
    <row r="1153" spans="4:11">
      <c r="D1153">
        <f t="shared" ca="1" si="42"/>
        <v>21.526453205973077</v>
      </c>
      <c r="K1153">
        <f t="shared" ca="1" si="43"/>
        <v>1.5134512822840862</v>
      </c>
    </row>
    <row r="1154" spans="4:11">
      <c r="D1154">
        <f t="shared" ref="D1154:D1217" ca="1" si="44">GAMMAINV(RAND(),$A$2,$B$2)</f>
        <v>16.403691556085626</v>
      </c>
      <c r="K1154">
        <f t="shared" ref="K1154:K1217" ca="1" si="45">GAMMAINV(RAND(),$H$2,$I$2)</f>
        <v>3.9925813132958945</v>
      </c>
    </row>
    <row r="1155" spans="4:11">
      <c r="D1155">
        <f t="shared" ca="1" si="44"/>
        <v>5.0272641025866438</v>
      </c>
      <c r="K1155">
        <f t="shared" ca="1" si="45"/>
        <v>10.275174618706611</v>
      </c>
    </row>
    <row r="1156" spans="4:11">
      <c r="D1156">
        <f t="shared" ca="1" si="44"/>
        <v>7.5637056288048363</v>
      </c>
      <c r="K1156">
        <f t="shared" ca="1" si="45"/>
        <v>4.7804529588673486</v>
      </c>
    </row>
    <row r="1157" spans="4:11">
      <c r="D1157">
        <f t="shared" ca="1" si="44"/>
        <v>0.1554215702764844</v>
      </c>
      <c r="K1157">
        <f t="shared" ca="1" si="45"/>
        <v>6.6966807899868428</v>
      </c>
    </row>
    <row r="1158" spans="4:11">
      <c r="D1158">
        <f t="shared" ca="1" si="44"/>
        <v>0.86219450937947739</v>
      </c>
      <c r="K1158">
        <f t="shared" ca="1" si="45"/>
        <v>8.2591954343437107E-2</v>
      </c>
    </row>
    <row r="1159" spans="4:11">
      <c r="D1159">
        <f t="shared" ca="1" si="44"/>
        <v>0.12130559862910906</v>
      </c>
      <c r="K1159">
        <f t="shared" ca="1" si="45"/>
        <v>0.6012807403948377</v>
      </c>
    </row>
    <row r="1160" spans="4:11">
      <c r="D1160">
        <f t="shared" ca="1" si="44"/>
        <v>4.1662518079602015E-2</v>
      </c>
      <c r="K1160">
        <f t="shared" ca="1" si="45"/>
        <v>3.108563200841342</v>
      </c>
    </row>
    <row r="1161" spans="4:11">
      <c r="D1161">
        <f t="shared" ca="1" si="44"/>
        <v>5.7787650855777422</v>
      </c>
      <c r="K1161">
        <f t="shared" ca="1" si="45"/>
        <v>0.11720318377572284</v>
      </c>
    </row>
    <row r="1162" spans="4:11">
      <c r="D1162">
        <f t="shared" ca="1" si="44"/>
        <v>0.92665969286142458</v>
      </c>
      <c r="K1162">
        <f t="shared" ca="1" si="45"/>
        <v>1.2428744714454201</v>
      </c>
    </row>
    <row r="1163" spans="4:11">
      <c r="D1163">
        <f t="shared" ca="1" si="44"/>
        <v>9.1780255467261469</v>
      </c>
      <c r="K1163">
        <f t="shared" ca="1" si="45"/>
        <v>2.4153261299097544</v>
      </c>
    </row>
    <row r="1164" spans="4:11">
      <c r="D1164">
        <f t="shared" ca="1" si="44"/>
        <v>3.8011785415137203</v>
      </c>
      <c r="K1164">
        <f t="shared" ca="1" si="45"/>
        <v>0.25740619425006073</v>
      </c>
    </row>
    <row r="1165" spans="4:11">
      <c r="D1165">
        <f t="shared" ca="1" si="44"/>
        <v>0.18160690885063352</v>
      </c>
      <c r="K1165">
        <f t="shared" ca="1" si="45"/>
        <v>5.7194157458746133</v>
      </c>
    </row>
    <row r="1166" spans="4:11">
      <c r="D1166">
        <f t="shared" ca="1" si="44"/>
        <v>0.60170820064758579</v>
      </c>
      <c r="K1166">
        <f t="shared" ca="1" si="45"/>
        <v>1.6691298631773139</v>
      </c>
    </row>
    <row r="1167" spans="4:11">
      <c r="D1167">
        <f t="shared" ca="1" si="44"/>
        <v>0.34901379979768543</v>
      </c>
      <c r="K1167">
        <f t="shared" ca="1" si="45"/>
        <v>0.26902222547958987</v>
      </c>
    </row>
    <row r="1168" spans="4:11">
      <c r="D1168">
        <f t="shared" ca="1" si="44"/>
        <v>6.8192288343419616</v>
      </c>
      <c r="K1168">
        <f t="shared" ca="1" si="45"/>
        <v>0.85547186550512366</v>
      </c>
    </row>
    <row r="1169" spans="4:11">
      <c r="D1169">
        <f t="shared" ca="1" si="44"/>
        <v>1.6371467437459555</v>
      </c>
      <c r="K1169">
        <f t="shared" ca="1" si="45"/>
        <v>1.7183231921662983</v>
      </c>
    </row>
    <row r="1170" spans="4:11">
      <c r="D1170">
        <f t="shared" ca="1" si="44"/>
        <v>43.903896414467923</v>
      </c>
      <c r="K1170">
        <f t="shared" ca="1" si="45"/>
        <v>1.7887083125285903</v>
      </c>
    </row>
    <row r="1171" spans="4:11">
      <c r="D1171">
        <f t="shared" ca="1" si="44"/>
        <v>1.3720422624702349</v>
      </c>
      <c r="K1171">
        <f t="shared" ca="1" si="45"/>
        <v>0.20269627763369719</v>
      </c>
    </row>
    <row r="1172" spans="4:11">
      <c r="D1172">
        <f t="shared" ca="1" si="44"/>
        <v>6.3396007385758235</v>
      </c>
      <c r="K1172">
        <f t="shared" ca="1" si="45"/>
        <v>0.47940472410779889</v>
      </c>
    </row>
    <row r="1173" spans="4:11">
      <c r="D1173">
        <f t="shared" ca="1" si="44"/>
        <v>0.20409449196899332</v>
      </c>
      <c r="K1173">
        <f t="shared" ca="1" si="45"/>
        <v>0.80019074539359636</v>
      </c>
    </row>
    <row r="1174" spans="4:11">
      <c r="D1174">
        <f t="shared" ca="1" si="44"/>
        <v>0.43131434103291066</v>
      </c>
      <c r="K1174">
        <f t="shared" ca="1" si="45"/>
        <v>0.47157473427544117</v>
      </c>
    </row>
    <row r="1175" spans="4:11">
      <c r="D1175">
        <f t="shared" ca="1" si="44"/>
        <v>2.4518616593266715</v>
      </c>
      <c r="K1175">
        <f t="shared" ca="1" si="45"/>
        <v>10.824296805357633</v>
      </c>
    </row>
    <row r="1176" spans="4:11">
      <c r="D1176">
        <f t="shared" ca="1" si="44"/>
        <v>15.64290633518824</v>
      </c>
      <c r="K1176">
        <f t="shared" ca="1" si="45"/>
        <v>1.7867662321999287</v>
      </c>
    </row>
    <row r="1177" spans="4:11">
      <c r="D1177">
        <f t="shared" ca="1" si="44"/>
        <v>1.5073684994391523</v>
      </c>
      <c r="K1177">
        <f t="shared" ca="1" si="45"/>
        <v>10.898677476693127</v>
      </c>
    </row>
    <row r="1178" spans="4:11">
      <c r="D1178">
        <f t="shared" ca="1" si="44"/>
        <v>12.693568635313735</v>
      </c>
      <c r="K1178">
        <f t="shared" ca="1" si="45"/>
        <v>3.0885870681553973</v>
      </c>
    </row>
    <row r="1179" spans="4:11">
      <c r="D1179">
        <f t="shared" ca="1" si="44"/>
        <v>1.9661874799402637E-2</v>
      </c>
      <c r="K1179">
        <f t="shared" ca="1" si="45"/>
        <v>11.951191950425063</v>
      </c>
    </row>
    <row r="1180" spans="4:11">
      <c r="D1180">
        <f t="shared" ca="1" si="44"/>
        <v>2.3089627554551271</v>
      </c>
      <c r="K1180">
        <f t="shared" ca="1" si="45"/>
        <v>2.4090856718547702</v>
      </c>
    </row>
    <row r="1181" spans="4:11">
      <c r="D1181">
        <f t="shared" ca="1" si="44"/>
        <v>0.78117846695126647</v>
      </c>
      <c r="K1181">
        <f t="shared" ca="1" si="45"/>
        <v>1.3624267988472547</v>
      </c>
    </row>
    <row r="1182" spans="4:11">
      <c r="D1182">
        <f t="shared" ca="1" si="44"/>
        <v>11.894335456870394</v>
      </c>
      <c r="K1182">
        <f t="shared" ca="1" si="45"/>
        <v>7.2073580127743941</v>
      </c>
    </row>
    <row r="1183" spans="4:11">
      <c r="D1183">
        <f t="shared" ca="1" si="44"/>
        <v>2.2091594748647809</v>
      </c>
      <c r="K1183">
        <f t="shared" ca="1" si="45"/>
        <v>8.7973962663062153</v>
      </c>
    </row>
    <row r="1184" spans="4:11">
      <c r="D1184">
        <f t="shared" ca="1" si="44"/>
        <v>4.6224093787424678</v>
      </c>
      <c r="K1184">
        <f t="shared" ca="1" si="45"/>
        <v>6.0875593187490793</v>
      </c>
    </row>
    <row r="1185" spans="4:11">
      <c r="D1185">
        <f t="shared" ca="1" si="44"/>
        <v>3.5771003620918007</v>
      </c>
      <c r="K1185">
        <f t="shared" ca="1" si="45"/>
        <v>7.3172662437985085</v>
      </c>
    </row>
    <row r="1186" spans="4:11">
      <c r="D1186">
        <f t="shared" ca="1" si="44"/>
        <v>5.8905207477059278</v>
      </c>
      <c r="K1186">
        <f t="shared" ca="1" si="45"/>
        <v>1.5304664196575719</v>
      </c>
    </row>
    <row r="1187" spans="4:11">
      <c r="D1187">
        <f t="shared" ca="1" si="44"/>
        <v>0.35107003679653825</v>
      </c>
      <c r="K1187">
        <f t="shared" ca="1" si="45"/>
        <v>0.84929614421424149</v>
      </c>
    </row>
    <row r="1188" spans="4:11">
      <c r="D1188">
        <f t="shared" ca="1" si="44"/>
        <v>0.18681194675009061</v>
      </c>
      <c r="K1188">
        <f t="shared" ca="1" si="45"/>
        <v>1.4759079492325791</v>
      </c>
    </row>
    <row r="1189" spans="4:11">
      <c r="D1189">
        <f t="shared" ca="1" si="44"/>
        <v>0.21674202441269458</v>
      </c>
      <c r="K1189">
        <f t="shared" ca="1" si="45"/>
        <v>0.29188240522478803</v>
      </c>
    </row>
    <row r="1190" spans="4:11">
      <c r="D1190">
        <f t="shared" ca="1" si="44"/>
        <v>0.30284120511804613</v>
      </c>
      <c r="K1190">
        <f t="shared" ca="1" si="45"/>
        <v>5.5485255135275242</v>
      </c>
    </row>
    <row r="1191" spans="4:11">
      <c r="D1191">
        <f t="shared" ca="1" si="44"/>
        <v>2.6528133738419717</v>
      </c>
      <c r="K1191">
        <f t="shared" ca="1" si="45"/>
        <v>0.669554571438431</v>
      </c>
    </row>
    <row r="1192" spans="4:11">
      <c r="D1192">
        <f t="shared" ca="1" si="44"/>
        <v>0.15826069713813806</v>
      </c>
      <c r="K1192">
        <f t="shared" ca="1" si="45"/>
        <v>4.4128443152923698</v>
      </c>
    </row>
    <row r="1193" spans="4:11">
      <c r="D1193">
        <f t="shared" ca="1" si="44"/>
        <v>11.620173726354846</v>
      </c>
      <c r="K1193">
        <f t="shared" ca="1" si="45"/>
        <v>0.57651018606747484</v>
      </c>
    </row>
    <row r="1194" spans="4:11">
      <c r="D1194">
        <f t="shared" ca="1" si="44"/>
        <v>1.9581926738880631</v>
      </c>
      <c r="K1194">
        <f t="shared" ca="1" si="45"/>
        <v>0.71831766670942843</v>
      </c>
    </row>
    <row r="1195" spans="4:11">
      <c r="D1195">
        <f t="shared" ca="1" si="44"/>
        <v>1.9672392918054604</v>
      </c>
      <c r="K1195">
        <f t="shared" ca="1" si="45"/>
        <v>0.67545051132228817</v>
      </c>
    </row>
    <row r="1196" spans="4:11">
      <c r="D1196">
        <f t="shared" ca="1" si="44"/>
        <v>0.82984655159966625</v>
      </c>
      <c r="K1196">
        <f t="shared" ca="1" si="45"/>
        <v>0.96301685150963845</v>
      </c>
    </row>
    <row r="1197" spans="4:11">
      <c r="D1197">
        <f t="shared" ca="1" si="44"/>
        <v>20.747075936611701</v>
      </c>
      <c r="K1197">
        <f t="shared" ca="1" si="45"/>
        <v>3.3859655999473119</v>
      </c>
    </row>
    <row r="1198" spans="4:11">
      <c r="D1198">
        <f t="shared" ca="1" si="44"/>
        <v>8.2236061369864437</v>
      </c>
      <c r="K1198">
        <f t="shared" ca="1" si="45"/>
        <v>2.8328174990090824</v>
      </c>
    </row>
    <row r="1199" spans="4:11">
      <c r="D1199">
        <f t="shared" ca="1" si="44"/>
        <v>4.0685095986583626</v>
      </c>
      <c r="K1199">
        <f t="shared" ca="1" si="45"/>
        <v>0.45269043025668498</v>
      </c>
    </row>
    <row r="1200" spans="4:11">
      <c r="D1200">
        <f t="shared" ca="1" si="44"/>
        <v>0.87473200779775495</v>
      </c>
      <c r="K1200">
        <f t="shared" ca="1" si="45"/>
        <v>2.1759172188973555</v>
      </c>
    </row>
    <row r="1201" spans="4:11">
      <c r="D1201">
        <f t="shared" ca="1" si="44"/>
        <v>4.3703549558520454</v>
      </c>
      <c r="K1201">
        <f t="shared" ca="1" si="45"/>
        <v>1.4072393924058213</v>
      </c>
    </row>
    <row r="1202" spans="4:11">
      <c r="D1202">
        <f t="shared" ca="1" si="44"/>
        <v>8.0463043067671656</v>
      </c>
      <c r="K1202">
        <f t="shared" ca="1" si="45"/>
        <v>3.7879938704707792</v>
      </c>
    </row>
    <row r="1203" spans="4:11">
      <c r="D1203">
        <f t="shared" ca="1" si="44"/>
        <v>5.1127268480279628</v>
      </c>
      <c r="K1203">
        <f t="shared" ca="1" si="45"/>
        <v>1.1501115784570644</v>
      </c>
    </row>
    <row r="1204" spans="4:11">
      <c r="D1204">
        <f t="shared" ca="1" si="44"/>
        <v>3.9597685863087619</v>
      </c>
      <c r="K1204">
        <f t="shared" ca="1" si="45"/>
        <v>3.287529058861514</v>
      </c>
    </row>
    <row r="1205" spans="4:11">
      <c r="D1205">
        <f t="shared" ca="1" si="44"/>
        <v>5.3227465452783491</v>
      </c>
      <c r="K1205">
        <f t="shared" ca="1" si="45"/>
        <v>0.99718592539625317</v>
      </c>
    </row>
    <row r="1206" spans="4:11">
      <c r="D1206">
        <f t="shared" ca="1" si="44"/>
        <v>5.8452483356581535</v>
      </c>
      <c r="K1206">
        <f t="shared" ca="1" si="45"/>
        <v>0.66708403101062008</v>
      </c>
    </row>
    <row r="1207" spans="4:11">
      <c r="D1207">
        <f t="shared" ca="1" si="44"/>
        <v>2.1352860472176456</v>
      </c>
      <c r="K1207">
        <f t="shared" ca="1" si="45"/>
        <v>2.6395404770840756</v>
      </c>
    </row>
    <row r="1208" spans="4:11">
      <c r="D1208">
        <f t="shared" ca="1" si="44"/>
        <v>1.2875503396376011</v>
      </c>
      <c r="K1208">
        <f t="shared" ca="1" si="45"/>
        <v>0.65787436395972021</v>
      </c>
    </row>
    <row r="1209" spans="4:11">
      <c r="D1209">
        <f t="shared" ca="1" si="44"/>
        <v>7.0947492944174169</v>
      </c>
      <c r="K1209">
        <f t="shared" ca="1" si="45"/>
        <v>0.92841689106939751</v>
      </c>
    </row>
    <row r="1210" spans="4:11">
      <c r="D1210">
        <f t="shared" ca="1" si="44"/>
        <v>6.1366176488804385</v>
      </c>
      <c r="K1210">
        <f t="shared" ca="1" si="45"/>
        <v>1.683332559125065</v>
      </c>
    </row>
    <row r="1211" spans="4:11">
      <c r="D1211">
        <f t="shared" ca="1" si="44"/>
        <v>3.798587896887784</v>
      </c>
      <c r="K1211">
        <f t="shared" ca="1" si="45"/>
        <v>2.9679203061367136</v>
      </c>
    </row>
    <row r="1212" spans="4:11">
      <c r="D1212">
        <f t="shared" ca="1" si="44"/>
        <v>1.0659319162155998</v>
      </c>
      <c r="K1212">
        <f t="shared" ca="1" si="45"/>
        <v>1.3525578624906238</v>
      </c>
    </row>
    <row r="1213" spans="4:11">
      <c r="D1213">
        <f t="shared" ca="1" si="44"/>
        <v>15.123825352800043</v>
      </c>
      <c r="K1213">
        <f t="shared" ca="1" si="45"/>
        <v>4.5858335161359527</v>
      </c>
    </row>
    <row r="1214" spans="4:11">
      <c r="D1214">
        <f t="shared" ca="1" si="44"/>
        <v>4.3211124114105459</v>
      </c>
      <c r="K1214">
        <f t="shared" ca="1" si="45"/>
        <v>7.2579918292919192</v>
      </c>
    </row>
    <row r="1215" spans="4:11">
      <c r="D1215">
        <f t="shared" ca="1" si="44"/>
        <v>5.0515030290599601</v>
      </c>
      <c r="K1215">
        <f t="shared" ca="1" si="45"/>
        <v>2.5149346547203768</v>
      </c>
    </row>
    <row r="1216" spans="4:11">
      <c r="D1216">
        <f t="shared" ca="1" si="44"/>
        <v>8.0899014121629236</v>
      </c>
      <c r="K1216">
        <f t="shared" ca="1" si="45"/>
        <v>0.30438754011539204</v>
      </c>
    </row>
    <row r="1217" spans="4:11">
      <c r="D1217">
        <f t="shared" ca="1" si="44"/>
        <v>12.562083423669623</v>
      </c>
      <c r="K1217">
        <f t="shared" ca="1" si="45"/>
        <v>0.52313265373008577</v>
      </c>
    </row>
    <row r="1218" spans="4:11">
      <c r="D1218">
        <f t="shared" ref="D1218:D1281" ca="1" si="46">GAMMAINV(RAND(),$A$2,$B$2)</f>
        <v>2.382142383459148</v>
      </c>
      <c r="K1218">
        <f t="shared" ref="K1218:K1281" ca="1" si="47">GAMMAINV(RAND(),$H$2,$I$2)</f>
        <v>2.1026814099736786</v>
      </c>
    </row>
    <row r="1219" spans="4:11">
      <c r="D1219">
        <f t="shared" ca="1" si="46"/>
        <v>0.21671882334379616</v>
      </c>
      <c r="K1219">
        <f t="shared" ca="1" si="47"/>
        <v>2.9390591259839995</v>
      </c>
    </row>
    <row r="1220" spans="4:11">
      <c r="D1220">
        <f t="shared" ca="1" si="46"/>
        <v>1.9928769685427268</v>
      </c>
      <c r="K1220">
        <f t="shared" ca="1" si="47"/>
        <v>0.47150182121471473</v>
      </c>
    </row>
    <row r="1221" spans="4:11">
      <c r="D1221">
        <f t="shared" ca="1" si="46"/>
        <v>3.0617643038935141</v>
      </c>
      <c r="K1221">
        <f t="shared" ca="1" si="47"/>
        <v>2.5418476451720746</v>
      </c>
    </row>
    <row r="1222" spans="4:11">
      <c r="D1222">
        <f t="shared" ca="1" si="46"/>
        <v>6.2696777030571553</v>
      </c>
      <c r="K1222">
        <f t="shared" ca="1" si="47"/>
        <v>5.9738845350329974</v>
      </c>
    </row>
    <row r="1223" spans="4:11">
      <c r="D1223">
        <f t="shared" ca="1" si="46"/>
        <v>5.5805663305524895</v>
      </c>
      <c r="K1223">
        <f t="shared" ca="1" si="47"/>
        <v>3.3057819335856244</v>
      </c>
    </row>
    <row r="1224" spans="4:11">
      <c r="D1224">
        <f t="shared" ca="1" si="46"/>
        <v>2.838288131116717</v>
      </c>
      <c r="K1224">
        <f t="shared" ca="1" si="47"/>
        <v>0.13060956625113068</v>
      </c>
    </row>
    <row r="1225" spans="4:11">
      <c r="D1225">
        <f t="shared" ca="1" si="46"/>
        <v>1.8080327860685466</v>
      </c>
      <c r="K1225">
        <f t="shared" ca="1" si="47"/>
        <v>2.6047075422171106</v>
      </c>
    </row>
    <row r="1226" spans="4:11">
      <c r="D1226">
        <f t="shared" ca="1" si="46"/>
        <v>4.8811431345126177</v>
      </c>
      <c r="K1226">
        <f t="shared" ca="1" si="47"/>
        <v>0.17937387794255294</v>
      </c>
    </row>
    <row r="1227" spans="4:11">
      <c r="D1227">
        <f t="shared" ca="1" si="46"/>
        <v>18.089404976017008</v>
      </c>
      <c r="K1227">
        <f t="shared" ca="1" si="47"/>
        <v>1.5343173461394053</v>
      </c>
    </row>
    <row r="1228" spans="4:11">
      <c r="D1228">
        <f t="shared" ca="1" si="46"/>
        <v>0.85907787010804948</v>
      </c>
      <c r="K1228">
        <f t="shared" ca="1" si="47"/>
        <v>0.19052264155943549</v>
      </c>
    </row>
    <row r="1229" spans="4:11">
      <c r="D1229">
        <f t="shared" ca="1" si="46"/>
        <v>6.5291695702213524</v>
      </c>
      <c r="K1229">
        <f t="shared" ca="1" si="47"/>
        <v>4.3542093192727194</v>
      </c>
    </row>
    <row r="1230" spans="4:11">
      <c r="D1230">
        <f t="shared" ca="1" si="46"/>
        <v>0.84706001377421836</v>
      </c>
      <c r="K1230">
        <f t="shared" ca="1" si="47"/>
        <v>0.13300797869864572</v>
      </c>
    </row>
    <row r="1231" spans="4:11">
      <c r="D1231">
        <f t="shared" ca="1" si="46"/>
        <v>7.4281794147646032</v>
      </c>
      <c r="K1231">
        <f t="shared" ca="1" si="47"/>
        <v>0.34153262963464071</v>
      </c>
    </row>
    <row r="1232" spans="4:11">
      <c r="D1232">
        <f t="shared" ca="1" si="46"/>
        <v>0.62483905465264633</v>
      </c>
      <c r="K1232">
        <f t="shared" ca="1" si="47"/>
        <v>0.39454921895122663</v>
      </c>
    </row>
    <row r="1233" spans="4:11">
      <c r="D1233">
        <f t="shared" ca="1" si="46"/>
        <v>3.3989199524770601</v>
      </c>
      <c r="K1233">
        <f t="shared" ca="1" si="47"/>
        <v>2.8763424021905788</v>
      </c>
    </row>
    <row r="1234" spans="4:11">
      <c r="D1234">
        <f t="shared" ca="1" si="46"/>
        <v>4.5354395583831124</v>
      </c>
      <c r="K1234">
        <f t="shared" ca="1" si="47"/>
        <v>0.13658023510269246</v>
      </c>
    </row>
    <row r="1235" spans="4:11">
      <c r="D1235">
        <f t="shared" ca="1" si="46"/>
        <v>0.54584863209029844</v>
      </c>
      <c r="K1235">
        <f t="shared" ca="1" si="47"/>
        <v>2.6218508762583186</v>
      </c>
    </row>
    <row r="1236" spans="4:11">
      <c r="D1236">
        <f t="shared" ca="1" si="46"/>
        <v>4.3182069482278376</v>
      </c>
      <c r="K1236">
        <f t="shared" ca="1" si="47"/>
        <v>3.0041575791948088E-3</v>
      </c>
    </row>
    <row r="1237" spans="4:11">
      <c r="D1237">
        <f t="shared" ca="1" si="46"/>
        <v>0.39629700829363679</v>
      </c>
      <c r="K1237">
        <f t="shared" ca="1" si="47"/>
        <v>2.59643339055064</v>
      </c>
    </row>
    <row r="1238" spans="4:11">
      <c r="D1238">
        <f t="shared" ca="1" si="46"/>
        <v>10.703465229667398</v>
      </c>
      <c r="K1238">
        <f t="shared" ca="1" si="47"/>
        <v>4.3069275481987496E-2</v>
      </c>
    </row>
    <row r="1239" spans="4:11">
      <c r="D1239">
        <f t="shared" ca="1" si="46"/>
        <v>1.5889316573202832</v>
      </c>
      <c r="K1239">
        <f t="shared" ca="1" si="47"/>
        <v>0.58872002778828114</v>
      </c>
    </row>
    <row r="1240" spans="4:11">
      <c r="D1240">
        <f t="shared" ca="1" si="46"/>
        <v>3.3839277541978294</v>
      </c>
      <c r="K1240">
        <f t="shared" ca="1" si="47"/>
        <v>3.4781496584658171</v>
      </c>
    </row>
    <row r="1241" spans="4:11">
      <c r="D1241">
        <f t="shared" ca="1" si="46"/>
        <v>12.20057625686777</v>
      </c>
      <c r="K1241">
        <f t="shared" ca="1" si="47"/>
        <v>2.5352535697735359</v>
      </c>
    </row>
    <row r="1242" spans="4:11">
      <c r="D1242">
        <f t="shared" ca="1" si="46"/>
        <v>15.972121177193891</v>
      </c>
      <c r="K1242">
        <f t="shared" ca="1" si="47"/>
        <v>0.21052915273722711</v>
      </c>
    </row>
    <row r="1243" spans="4:11">
      <c r="D1243">
        <f t="shared" ca="1" si="46"/>
        <v>8.2667432682703641</v>
      </c>
      <c r="K1243">
        <f t="shared" ca="1" si="47"/>
        <v>3.5008441356760533</v>
      </c>
    </row>
    <row r="1244" spans="4:11">
      <c r="D1244">
        <f t="shared" ca="1" si="46"/>
        <v>2.1830964088187175</v>
      </c>
      <c r="K1244">
        <f t="shared" ca="1" si="47"/>
        <v>2.5537677451175131</v>
      </c>
    </row>
    <row r="1245" spans="4:11">
      <c r="D1245">
        <f t="shared" ca="1" si="46"/>
        <v>17.275108689415262</v>
      </c>
      <c r="K1245">
        <f t="shared" ca="1" si="47"/>
        <v>4.6305746233879314E-2</v>
      </c>
    </row>
    <row r="1246" spans="4:11">
      <c r="D1246">
        <f t="shared" ca="1" si="46"/>
        <v>2.7767616657099436</v>
      </c>
      <c r="K1246">
        <f t="shared" ca="1" si="47"/>
        <v>5.098842804738041</v>
      </c>
    </row>
    <row r="1247" spans="4:11">
      <c r="D1247">
        <f t="shared" ca="1" si="46"/>
        <v>3.1991482848144542E-2</v>
      </c>
      <c r="K1247">
        <f t="shared" ca="1" si="47"/>
        <v>7.6213644331186785</v>
      </c>
    </row>
    <row r="1248" spans="4:11">
      <c r="D1248">
        <f t="shared" ca="1" si="46"/>
        <v>7.6052228537543467</v>
      </c>
      <c r="K1248">
        <f t="shared" ca="1" si="47"/>
        <v>2.1690982702666206</v>
      </c>
    </row>
    <row r="1249" spans="4:11">
      <c r="D1249">
        <f t="shared" ca="1" si="46"/>
        <v>1.7142053097251839</v>
      </c>
      <c r="K1249">
        <f t="shared" ca="1" si="47"/>
        <v>3.4079088787812859</v>
      </c>
    </row>
    <row r="1250" spans="4:11">
      <c r="D1250">
        <f t="shared" ca="1" si="46"/>
        <v>2.1398457099538062</v>
      </c>
      <c r="K1250">
        <f t="shared" ca="1" si="47"/>
        <v>1.3321922460321884</v>
      </c>
    </row>
    <row r="1251" spans="4:11">
      <c r="D1251">
        <f t="shared" ca="1" si="46"/>
        <v>9.4733930722537423</v>
      </c>
      <c r="K1251">
        <f t="shared" ca="1" si="47"/>
        <v>0.31469120623763602</v>
      </c>
    </row>
    <row r="1252" spans="4:11">
      <c r="D1252">
        <f t="shared" ca="1" si="46"/>
        <v>0.15786935944407671</v>
      </c>
      <c r="K1252">
        <f t="shared" ca="1" si="47"/>
        <v>0.56656127935858724</v>
      </c>
    </row>
    <row r="1253" spans="4:11">
      <c r="D1253">
        <f t="shared" ca="1" si="46"/>
        <v>4.5449884914056118E-2</v>
      </c>
      <c r="K1253">
        <f t="shared" ca="1" si="47"/>
        <v>1.5920125596326424</v>
      </c>
    </row>
    <row r="1254" spans="4:11">
      <c r="D1254">
        <f t="shared" ca="1" si="46"/>
        <v>9.1541381158056794</v>
      </c>
      <c r="K1254">
        <f t="shared" ca="1" si="47"/>
        <v>4.5649565867929081</v>
      </c>
    </row>
    <row r="1255" spans="4:11">
      <c r="D1255">
        <f t="shared" ca="1" si="46"/>
        <v>5.2427559061117641</v>
      </c>
      <c r="K1255">
        <f t="shared" ca="1" si="47"/>
        <v>6.2514116917444955</v>
      </c>
    </row>
    <row r="1256" spans="4:11">
      <c r="D1256">
        <f t="shared" ca="1" si="46"/>
        <v>3.2401070140863908</v>
      </c>
      <c r="K1256">
        <f t="shared" ca="1" si="47"/>
        <v>2.0770032101764997</v>
      </c>
    </row>
    <row r="1257" spans="4:11">
      <c r="D1257">
        <f t="shared" ca="1" si="46"/>
        <v>0.24581920029103266</v>
      </c>
      <c r="K1257">
        <f t="shared" ca="1" si="47"/>
        <v>0.13621776355322762</v>
      </c>
    </row>
    <row r="1258" spans="4:11">
      <c r="D1258">
        <f t="shared" ca="1" si="46"/>
        <v>6.3120584708772878</v>
      </c>
      <c r="K1258">
        <f t="shared" ca="1" si="47"/>
        <v>1.7015157059808126</v>
      </c>
    </row>
    <row r="1259" spans="4:11">
      <c r="D1259">
        <f t="shared" ca="1" si="46"/>
        <v>0.96676764352216171</v>
      </c>
      <c r="K1259">
        <f t="shared" ca="1" si="47"/>
        <v>2.5776390189296459</v>
      </c>
    </row>
    <row r="1260" spans="4:11">
      <c r="D1260">
        <f t="shared" ca="1" si="46"/>
        <v>8.0355045574596744</v>
      </c>
      <c r="K1260">
        <f t="shared" ca="1" si="47"/>
        <v>2.5873584498313988</v>
      </c>
    </row>
    <row r="1261" spans="4:11">
      <c r="D1261">
        <f t="shared" ca="1" si="46"/>
        <v>5.1364450604031671</v>
      </c>
      <c r="K1261">
        <f t="shared" ca="1" si="47"/>
        <v>1.8269503277601511</v>
      </c>
    </row>
    <row r="1262" spans="4:11">
      <c r="D1262">
        <f t="shared" ca="1" si="46"/>
        <v>5.3511353332055798</v>
      </c>
      <c r="K1262">
        <f t="shared" ca="1" si="47"/>
        <v>0.15811429689151829</v>
      </c>
    </row>
    <row r="1263" spans="4:11">
      <c r="D1263">
        <f t="shared" ca="1" si="46"/>
        <v>0.14515456011908384</v>
      </c>
      <c r="K1263">
        <f t="shared" ca="1" si="47"/>
        <v>3.1582041342336149</v>
      </c>
    </row>
    <row r="1264" spans="4:11">
      <c r="D1264">
        <f t="shared" ca="1" si="46"/>
        <v>21.85016413143336</v>
      </c>
      <c r="K1264">
        <f t="shared" ca="1" si="47"/>
        <v>4.344532018353636</v>
      </c>
    </row>
    <row r="1265" spans="4:11">
      <c r="D1265">
        <f t="shared" ca="1" si="46"/>
        <v>12.041494608118956</v>
      </c>
      <c r="K1265">
        <f t="shared" ca="1" si="47"/>
        <v>5.8878077505336399E-2</v>
      </c>
    </row>
    <row r="1266" spans="4:11">
      <c r="D1266">
        <f t="shared" ca="1" si="46"/>
        <v>14.428618040097877</v>
      </c>
      <c r="K1266">
        <f t="shared" ca="1" si="47"/>
        <v>2.9976366088039469E-2</v>
      </c>
    </row>
    <row r="1267" spans="4:11">
      <c r="D1267">
        <f t="shared" ca="1" si="46"/>
        <v>3.9836361231779529</v>
      </c>
      <c r="K1267">
        <f t="shared" ca="1" si="47"/>
        <v>1.0241691373129687</v>
      </c>
    </row>
    <row r="1268" spans="4:11">
      <c r="D1268">
        <f t="shared" ca="1" si="46"/>
        <v>4.3369250353252049</v>
      </c>
      <c r="K1268">
        <f t="shared" ca="1" si="47"/>
        <v>5.4532244367625626</v>
      </c>
    </row>
    <row r="1269" spans="4:11">
      <c r="D1269">
        <f t="shared" ca="1" si="46"/>
        <v>0.22398749293114495</v>
      </c>
      <c r="K1269">
        <f t="shared" ca="1" si="47"/>
        <v>1.46748922409328</v>
      </c>
    </row>
    <row r="1270" spans="4:11">
      <c r="D1270">
        <f t="shared" ca="1" si="46"/>
        <v>8.9942918911847265</v>
      </c>
      <c r="K1270">
        <f t="shared" ca="1" si="47"/>
        <v>0.23069815487815609</v>
      </c>
    </row>
    <row r="1271" spans="4:11">
      <c r="D1271">
        <f t="shared" ca="1" si="46"/>
        <v>1.0901257317155548</v>
      </c>
      <c r="K1271">
        <f t="shared" ca="1" si="47"/>
        <v>0.2246884999056048</v>
      </c>
    </row>
    <row r="1272" spans="4:11">
      <c r="D1272">
        <f t="shared" ca="1" si="46"/>
        <v>1.6670311132692741</v>
      </c>
      <c r="K1272">
        <f t="shared" ca="1" si="47"/>
        <v>7.5164520527997905</v>
      </c>
    </row>
    <row r="1273" spans="4:11">
      <c r="D1273">
        <f t="shared" ca="1" si="46"/>
        <v>13.931142157832465</v>
      </c>
      <c r="K1273">
        <f t="shared" ca="1" si="47"/>
        <v>2.6264795783354433</v>
      </c>
    </row>
    <row r="1274" spans="4:11">
      <c r="D1274">
        <f t="shared" ca="1" si="46"/>
        <v>8.5427992214598945</v>
      </c>
      <c r="K1274">
        <f t="shared" ca="1" si="47"/>
        <v>1.7327494280362772</v>
      </c>
    </row>
    <row r="1275" spans="4:11">
      <c r="D1275">
        <f t="shared" ca="1" si="46"/>
        <v>1.1740007359977982</v>
      </c>
      <c r="K1275">
        <f t="shared" ca="1" si="47"/>
        <v>0.3037423769242743</v>
      </c>
    </row>
    <row r="1276" spans="4:11">
      <c r="D1276">
        <f t="shared" ca="1" si="46"/>
        <v>8.6426153540031763</v>
      </c>
      <c r="K1276">
        <f t="shared" ca="1" si="47"/>
        <v>1.1494796300296213</v>
      </c>
    </row>
    <row r="1277" spans="4:11">
      <c r="D1277">
        <f t="shared" ca="1" si="46"/>
        <v>7.6236228718980765</v>
      </c>
      <c r="K1277">
        <f t="shared" ca="1" si="47"/>
        <v>1.5164240177813051</v>
      </c>
    </row>
    <row r="1278" spans="4:11">
      <c r="D1278">
        <f t="shared" ca="1" si="46"/>
        <v>0.15034523741295042</v>
      </c>
      <c r="K1278">
        <f t="shared" ca="1" si="47"/>
        <v>2.1689375443039163</v>
      </c>
    </row>
    <row r="1279" spans="4:11">
      <c r="D1279">
        <f t="shared" ca="1" si="46"/>
        <v>14.387474024548947</v>
      </c>
      <c r="K1279">
        <f t="shared" ca="1" si="47"/>
        <v>1.1000075633987629</v>
      </c>
    </row>
    <row r="1280" spans="4:11">
      <c r="D1280">
        <f t="shared" ca="1" si="46"/>
        <v>10.368428505271869</v>
      </c>
      <c r="K1280">
        <f t="shared" ca="1" si="47"/>
        <v>3.2273733559068205</v>
      </c>
    </row>
    <row r="1281" spans="4:11">
      <c r="D1281">
        <f t="shared" ca="1" si="46"/>
        <v>1.3620323387786315</v>
      </c>
      <c r="K1281">
        <f t="shared" ca="1" si="47"/>
        <v>0.16382837734129696</v>
      </c>
    </row>
    <row r="1282" spans="4:11">
      <c r="D1282">
        <f t="shared" ref="D1282:D1345" ca="1" si="48">GAMMAINV(RAND(),$A$2,$B$2)</f>
        <v>1.9749355330955694</v>
      </c>
      <c r="K1282">
        <f t="shared" ref="K1282:K1345" ca="1" si="49">GAMMAINV(RAND(),$H$2,$I$2)</f>
        <v>7.9300699279128022</v>
      </c>
    </row>
    <row r="1283" spans="4:11">
      <c r="D1283">
        <f t="shared" ca="1" si="48"/>
        <v>3.8092758733546423</v>
      </c>
      <c r="K1283">
        <f t="shared" ca="1" si="49"/>
        <v>1.09079950936979</v>
      </c>
    </row>
    <row r="1284" spans="4:11">
      <c r="D1284">
        <f t="shared" ca="1" si="48"/>
        <v>0.22897883466211522</v>
      </c>
      <c r="K1284">
        <f t="shared" ca="1" si="49"/>
        <v>1.0963889534738347</v>
      </c>
    </row>
    <row r="1285" spans="4:11">
      <c r="D1285">
        <f t="shared" ca="1" si="48"/>
        <v>3.3654553484281911</v>
      </c>
      <c r="K1285">
        <f t="shared" ca="1" si="49"/>
        <v>0.39927058280296701</v>
      </c>
    </row>
    <row r="1286" spans="4:11">
      <c r="D1286">
        <f t="shared" ca="1" si="48"/>
        <v>4.8457369974007261</v>
      </c>
      <c r="K1286">
        <f t="shared" ca="1" si="49"/>
        <v>0.18418694906115318</v>
      </c>
    </row>
    <row r="1287" spans="4:11">
      <c r="D1287">
        <f t="shared" ca="1" si="48"/>
        <v>0.62848389521577963</v>
      </c>
      <c r="K1287">
        <f t="shared" ca="1" si="49"/>
        <v>4.2021833645214777</v>
      </c>
    </row>
    <row r="1288" spans="4:11">
      <c r="D1288">
        <f t="shared" ca="1" si="48"/>
        <v>10.281980904611842</v>
      </c>
      <c r="K1288">
        <f t="shared" ca="1" si="49"/>
        <v>4.1201772067703128</v>
      </c>
    </row>
    <row r="1289" spans="4:11">
      <c r="D1289">
        <f t="shared" ca="1" si="48"/>
        <v>5.2314024936058559</v>
      </c>
      <c r="K1289">
        <f t="shared" ca="1" si="49"/>
        <v>1.1039188158890725</v>
      </c>
    </row>
    <row r="1290" spans="4:11">
      <c r="D1290">
        <f t="shared" ca="1" si="48"/>
        <v>2.773434766987136</v>
      </c>
      <c r="K1290">
        <f t="shared" ca="1" si="49"/>
        <v>3.6038384013145311E-2</v>
      </c>
    </row>
    <row r="1291" spans="4:11">
      <c r="D1291">
        <f t="shared" ca="1" si="48"/>
        <v>0.28629389687416384</v>
      </c>
      <c r="K1291">
        <f t="shared" ca="1" si="49"/>
        <v>5.6020170639488054</v>
      </c>
    </row>
    <row r="1292" spans="4:11">
      <c r="D1292">
        <f t="shared" ca="1" si="48"/>
        <v>3.7888694458905308</v>
      </c>
      <c r="K1292">
        <f t="shared" ca="1" si="49"/>
        <v>1.3010690534262164</v>
      </c>
    </row>
    <row r="1293" spans="4:11">
      <c r="D1293">
        <f t="shared" ca="1" si="48"/>
        <v>1.69680393070947</v>
      </c>
      <c r="K1293">
        <f t="shared" ca="1" si="49"/>
        <v>0.75512566957145744</v>
      </c>
    </row>
    <row r="1294" spans="4:11">
      <c r="D1294">
        <f t="shared" ca="1" si="48"/>
        <v>2.4383686623445593</v>
      </c>
      <c r="K1294">
        <f t="shared" ca="1" si="49"/>
        <v>0.55807424731750821</v>
      </c>
    </row>
    <row r="1295" spans="4:11">
      <c r="D1295">
        <f t="shared" ca="1" si="48"/>
        <v>6.5995170467834818E-2</v>
      </c>
      <c r="K1295">
        <f t="shared" ca="1" si="49"/>
        <v>4.8838949960073936</v>
      </c>
    </row>
    <row r="1296" spans="4:11">
      <c r="D1296">
        <f t="shared" ca="1" si="48"/>
        <v>1.3443050450669705</v>
      </c>
      <c r="K1296">
        <f t="shared" ca="1" si="49"/>
        <v>2.6491681559127747</v>
      </c>
    </row>
    <row r="1297" spans="4:11">
      <c r="D1297">
        <f t="shared" ca="1" si="48"/>
        <v>5.3475899813220718</v>
      </c>
      <c r="K1297">
        <f t="shared" ca="1" si="49"/>
        <v>3.2396493265732156</v>
      </c>
    </row>
    <row r="1298" spans="4:11">
      <c r="D1298">
        <f t="shared" ca="1" si="48"/>
        <v>3.2231698937028668</v>
      </c>
      <c r="K1298">
        <f t="shared" ca="1" si="49"/>
        <v>0.37708323458763904</v>
      </c>
    </row>
    <row r="1299" spans="4:11">
      <c r="D1299">
        <f t="shared" ca="1" si="48"/>
        <v>5.2945835387523861</v>
      </c>
      <c r="K1299">
        <f t="shared" ca="1" si="49"/>
        <v>0.56264106611224163</v>
      </c>
    </row>
    <row r="1300" spans="4:11">
      <c r="D1300">
        <f t="shared" ca="1" si="48"/>
        <v>7.4121462500311424</v>
      </c>
      <c r="K1300">
        <f t="shared" ca="1" si="49"/>
        <v>1.3517174459415018</v>
      </c>
    </row>
    <row r="1301" spans="4:11">
      <c r="D1301">
        <f t="shared" ca="1" si="48"/>
        <v>1.687787560283772</v>
      </c>
      <c r="K1301">
        <f t="shared" ca="1" si="49"/>
        <v>0.60079413286302441</v>
      </c>
    </row>
    <row r="1302" spans="4:11">
      <c r="D1302">
        <f t="shared" ca="1" si="48"/>
        <v>1.6698976773185583</v>
      </c>
      <c r="K1302">
        <f t="shared" ca="1" si="49"/>
        <v>4.7892086450904675E-2</v>
      </c>
    </row>
    <row r="1303" spans="4:11">
      <c r="D1303">
        <f t="shared" ca="1" si="48"/>
        <v>1.4850953094645489</v>
      </c>
      <c r="K1303">
        <f t="shared" ca="1" si="49"/>
        <v>4.6272346126782136</v>
      </c>
    </row>
    <row r="1304" spans="4:11">
      <c r="D1304">
        <f t="shared" ca="1" si="48"/>
        <v>0.33434187195158138</v>
      </c>
      <c r="K1304">
        <f t="shared" ca="1" si="49"/>
        <v>2.8774808824433382</v>
      </c>
    </row>
    <row r="1305" spans="4:11">
      <c r="D1305">
        <f t="shared" ca="1" si="48"/>
        <v>15.68917750447277</v>
      </c>
      <c r="K1305">
        <f t="shared" ca="1" si="49"/>
        <v>6.5292506963019843</v>
      </c>
    </row>
    <row r="1306" spans="4:11">
      <c r="D1306">
        <f t="shared" ca="1" si="48"/>
        <v>18.178108337332091</v>
      </c>
      <c r="K1306">
        <f t="shared" ca="1" si="49"/>
        <v>0.24234198297735793</v>
      </c>
    </row>
    <row r="1307" spans="4:11">
      <c r="D1307">
        <f t="shared" ca="1" si="48"/>
        <v>0.5375271092613001</v>
      </c>
      <c r="K1307">
        <f t="shared" ca="1" si="49"/>
        <v>1.1604218367185681</v>
      </c>
    </row>
    <row r="1308" spans="4:11">
      <c r="D1308">
        <f t="shared" ca="1" si="48"/>
        <v>6.6281145217073103</v>
      </c>
      <c r="K1308">
        <f t="shared" ca="1" si="49"/>
        <v>0.53645371112502405</v>
      </c>
    </row>
    <row r="1309" spans="4:11">
      <c r="D1309">
        <f t="shared" ca="1" si="48"/>
        <v>2.0854556521056589</v>
      </c>
      <c r="K1309">
        <f t="shared" ca="1" si="49"/>
        <v>2.4839924479089488</v>
      </c>
    </row>
    <row r="1310" spans="4:11">
      <c r="D1310">
        <f t="shared" ca="1" si="48"/>
        <v>10.852918725975364</v>
      </c>
      <c r="K1310">
        <f t="shared" ca="1" si="49"/>
        <v>4.9997861624300644</v>
      </c>
    </row>
    <row r="1311" spans="4:11">
      <c r="D1311">
        <f t="shared" ca="1" si="48"/>
        <v>3.1710001097092109</v>
      </c>
      <c r="K1311">
        <f t="shared" ca="1" si="49"/>
        <v>4.0485744440874356</v>
      </c>
    </row>
    <row r="1312" spans="4:11">
      <c r="D1312">
        <f t="shared" ca="1" si="48"/>
        <v>1.1337528678408511</v>
      </c>
      <c r="K1312">
        <f t="shared" ca="1" si="49"/>
        <v>2.0196598886194748</v>
      </c>
    </row>
    <row r="1313" spans="4:11">
      <c r="D1313">
        <f t="shared" ca="1" si="48"/>
        <v>2.5674337838049484</v>
      </c>
      <c r="K1313">
        <f t="shared" ca="1" si="49"/>
        <v>2.295362775594568</v>
      </c>
    </row>
    <row r="1314" spans="4:11">
      <c r="D1314">
        <f t="shared" ca="1" si="48"/>
        <v>1.6999310521574804</v>
      </c>
      <c r="K1314">
        <f t="shared" ca="1" si="49"/>
        <v>2.1403639885990184</v>
      </c>
    </row>
    <row r="1315" spans="4:11">
      <c r="D1315">
        <f t="shared" ca="1" si="48"/>
        <v>0.19731088235022226</v>
      </c>
      <c r="K1315">
        <f t="shared" ca="1" si="49"/>
        <v>1.3016540309036762</v>
      </c>
    </row>
    <row r="1316" spans="4:11">
      <c r="D1316">
        <f t="shared" ca="1" si="48"/>
        <v>0.82791062769646895</v>
      </c>
      <c r="K1316">
        <f t="shared" ca="1" si="49"/>
        <v>1.273335604703719</v>
      </c>
    </row>
    <row r="1317" spans="4:11">
      <c r="D1317">
        <f t="shared" ca="1" si="48"/>
        <v>3.1027062290273895</v>
      </c>
      <c r="K1317">
        <f t="shared" ca="1" si="49"/>
        <v>0.28561236977020843</v>
      </c>
    </row>
    <row r="1318" spans="4:11">
      <c r="D1318">
        <f t="shared" ca="1" si="48"/>
        <v>2.3253000380147189</v>
      </c>
      <c r="K1318">
        <f t="shared" ca="1" si="49"/>
        <v>4.6066235403966065</v>
      </c>
    </row>
    <row r="1319" spans="4:11">
      <c r="D1319">
        <f t="shared" ca="1" si="48"/>
        <v>7.154699582581685</v>
      </c>
      <c r="K1319">
        <f t="shared" ca="1" si="49"/>
        <v>0.22267684079248623</v>
      </c>
    </row>
    <row r="1320" spans="4:11">
      <c r="D1320">
        <f t="shared" ca="1" si="48"/>
        <v>0.49371022647452012</v>
      </c>
      <c r="K1320">
        <f t="shared" ca="1" si="49"/>
        <v>2.3315280449796267</v>
      </c>
    </row>
    <row r="1321" spans="4:11">
      <c r="D1321">
        <f t="shared" ca="1" si="48"/>
        <v>3.8789921525857682</v>
      </c>
      <c r="K1321">
        <f t="shared" ca="1" si="49"/>
        <v>6.1130648257948471E-3</v>
      </c>
    </row>
    <row r="1322" spans="4:11">
      <c r="D1322">
        <f t="shared" ca="1" si="48"/>
        <v>3.1087573477839205</v>
      </c>
      <c r="K1322">
        <f t="shared" ca="1" si="49"/>
        <v>1.0368444286342888</v>
      </c>
    </row>
    <row r="1323" spans="4:11">
      <c r="D1323">
        <f t="shared" ca="1" si="48"/>
        <v>2.2166870801927336</v>
      </c>
      <c r="K1323">
        <f t="shared" ca="1" si="49"/>
        <v>6.9338803672515361</v>
      </c>
    </row>
    <row r="1324" spans="4:11">
      <c r="D1324">
        <f t="shared" ca="1" si="48"/>
        <v>2.1166126329978594</v>
      </c>
      <c r="K1324">
        <f t="shared" ca="1" si="49"/>
        <v>2.0950322956903848</v>
      </c>
    </row>
    <row r="1325" spans="4:11">
      <c r="D1325">
        <f t="shared" ca="1" si="48"/>
        <v>2.1778736756927515</v>
      </c>
      <c r="K1325">
        <f t="shared" ca="1" si="49"/>
        <v>1.0385054574958787</v>
      </c>
    </row>
    <row r="1326" spans="4:11">
      <c r="D1326">
        <f t="shared" ca="1" si="48"/>
        <v>1.8942828165923946</v>
      </c>
      <c r="K1326">
        <f t="shared" ca="1" si="49"/>
        <v>0.12323265643034484</v>
      </c>
    </row>
    <row r="1327" spans="4:11">
      <c r="D1327">
        <f t="shared" ca="1" si="48"/>
        <v>0.12652725251244024</v>
      </c>
      <c r="K1327">
        <f t="shared" ca="1" si="49"/>
        <v>2.0393169159984001</v>
      </c>
    </row>
    <row r="1328" spans="4:11">
      <c r="D1328">
        <f t="shared" ca="1" si="48"/>
        <v>6.4973765529215282</v>
      </c>
      <c r="K1328">
        <f t="shared" ca="1" si="49"/>
        <v>4.1840004563103186</v>
      </c>
    </row>
    <row r="1329" spans="4:11">
      <c r="D1329">
        <f t="shared" ca="1" si="48"/>
        <v>6.0448033973354693</v>
      </c>
      <c r="K1329">
        <f t="shared" ca="1" si="49"/>
        <v>0.63094870059731667</v>
      </c>
    </row>
    <row r="1330" spans="4:11">
      <c r="D1330">
        <f t="shared" ca="1" si="48"/>
        <v>8.3896834097249879</v>
      </c>
      <c r="K1330">
        <f t="shared" ca="1" si="49"/>
        <v>1.5684331978123951</v>
      </c>
    </row>
    <row r="1331" spans="4:11">
      <c r="D1331">
        <f t="shared" ca="1" si="48"/>
        <v>0.24294959893655177</v>
      </c>
      <c r="K1331">
        <f t="shared" ca="1" si="49"/>
        <v>2.1563175892025583</v>
      </c>
    </row>
    <row r="1332" spans="4:11">
      <c r="D1332">
        <f t="shared" ca="1" si="48"/>
        <v>0.47376193557417412</v>
      </c>
      <c r="K1332">
        <f t="shared" ca="1" si="49"/>
        <v>5.6124112272998659</v>
      </c>
    </row>
    <row r="1333" spans="4:11">
      <c r="D1333">
        <f t="shared" ca="1" si="48"/>
        <v>12.494154046421091</v>
      </c>
      <c r="K1333">
        <f t="shared" ca="1" si="49"/>
        <v>0.30440250609644204</v>
      </c>
    </row>
    <row r="1334" spans="4:11">
      <c r="D1334">
        <f t="shared" ca="1" si="48"/>
        <v>27.149342006225268</v>
      </c>
      <c r="K1334">
        <f t="shared" ca="1" si="49"/>
        <v>0.48969249628958689</v>
      </c>
    </row>
    <row r="1335" spans="4:11">
      <c r="D1335">
        <f t="shared" ca="1" si="48"/>
        <v>8.6517704939279909</v>
      </c>
      <c r="K1335">
        <f t="shared" ca="1" si="49"/>
        <v>6.686710144817253</v>
      </c>
    </row>
    <row r="1336" spans="4:11">
      <c r="D1336">
        <f t="shared" ca="1" si="48"/>
        <v>2.5221382776524628</v>
      </c>
      <c r="K1336">
        <f t="shared" ca="1" si="49"/>
        <v>0.23141295492177566</v>
      </c>
    </row>
    <row r="1337" spans="4:11">
      <c r="D1337">
        <f t="shared" ca="1" si="48"/>
        <v>0.18312847918542391</v>
      </c>
      <c r="K1337">
        <f t="shared" ca="1" si="49"/>
        <v>2.3103750439562756</v>
      </c>
    </row>
    <row r="1338" spans="4:11">
      <c r="D1338">
        <f t="shared" ca="1" si="48"/>
        <v>24.988615508391362</v>
      </c>
      <c r="K1338">
        <f t="shared" ca="1" si="49"/>
        <v>2.542533912080816E-2</v>
      </c>
    </row>
    <row r="1339" spans="4:11">
      <c r="D1339">
        <f t="shared" ca="1" si="48"/>
        <v>6.0148742117522982</v>
      </c>
      <c r="K1339">
        <f t="shared" ca="1" si="49"/>
        <v>3.5611351877999695</v>
      </c>
    </row>
    <row r="1340" spans="4:11">
      <c r="D1340">
        <f t="shared" ca="1" si="48"/>
        <v>2.6058585965932419</v>
      </c>
      <c r="K1340">
        <f t="shared" ca="1" si="49"/>
        <v>0.35222589366003154</v>
      </c>
    </row>
    <row r="1341" spans="4:11">
      <c r="D1341">
        <f t="shared" ca="1" si="48"/>
        <v>0.61259165284112549</v>
      </c>
      <c r="K1341">
        <f t="shared" ca="1" si="49"/>
        <v>1.8498107641322052</v>
      </c>
    </row>
    <row r="1342" spans="4:11">
      <c r="D1342">
        <f t="shared" ca="1" si="48"/>
        <v>2.8931489535632175E-2</v>
      </c>
      <c r="K1342">
        <f t="shared" ca="1" si="49"/>
        <v>1.77127758924038</v>
      </c>
    </row>
    <row r="1343" spans="4:11">
      <c r="D1343">
        <f t="shared" ca="1" si="48"/>
        <v>20.379245668999395</v>
      </c>
      <c r="K1343">
        <f t="shared" ca="1" si="49"/>
        <v>7.9217925723497427</v>
      </c>
    </row>
    <row r="1344" spans="4:11">
      <c r="D1344">
        <f t="shared" ca="1" si="48"/>
        <v>1.8665798092310433</v>
      </c>
      <c r="K1344">
        <f t="shared" ca="1" si="49"/>
        <v>1.0348488391243587</v>
      </c>
    </row>
    <row r="1345" spans="4:11">
      <c r="D1345">
        <f t="shared" ca="1" si="48"/>
        <v>0.23028110219999948</v>
      </c>
      <c r="K1345">
        <f t="shared" ca="1" si="49"/>
        <v>7.4175313858275373</v>
      </c>
    </row>
    <row r="1346" spans="4:11">
      <c r="D1346">
        <f t="shared" ref="D1346:D1409" ca="1" si="50">GAMMAINV(RAND(),$A$2,$B$2)</f>
        <v>7.1988637864937122</v>
      </c>
      <c r="K1346">
        <f t="shared" ref="K1346:K1409" ca="1" si="51">GAMMAINV(RAND(),$H$2,$I$2)</f>
        <v>1.3661202530685315</v>
      </c>
    </row>
    <row r="1347" spans="4:11">
      <c r="D1347">
        <f t="shared" ca="1" si="50"/>
        <v>11.2455513900012</v>
      </c>
      <c r="K1347">
        <f t="shared" ca="1" si="51"/>
        <v>4.7389606800990016</v>
      </c>
    </row>
    <row r="1348" spans="4:11">
      <c r="D1348">
        <f t="shared" ca="1" si="50"/>
        <v>2.5667082081715202</v>
      </c>
      <c r="K1348">
        <f t="shared" ca="1" si="51"/>
        <v>0.80285892529465541</v>
      </c>
    </row>
    <row r="1349" spans="4:11">
      <c r="D1349">
        <f t="shared" ca="1" si="50"/>
        <v>8.2894987377829743</v>
      </c>
      <c r="K1349">
        <f t="shared" ca="1" si="51"/>
        <v>3.4357853536407728</v>
      </c>
    </row>
    <row r="1350" spans="4:11">
      <c r="D1350">
        <f t="shared" ca="1" si="50"/>
        <v>5.3827651296129648</v>
      </c>
      <c r="K1350">
        <f t="shared" ca="1" si="51"/>
        <v>4.9461711316992028E-3</v>
      </c>
    </row>
    <row r="1351" spans="4:11">
      <c r="D1351">
        <f t="shared" ca="1" si="50"/>
        <v>5.200705580237182</v>
      </c>
      <c r="K1351">
        <f t="shared" ca="1" si="51"/>
        <v>4.7693716518333158</v>
      </c>
    </row>
    <row r="1352" spans="4:11">
      <c r="D1352">
        <f t="shared" ca="1" si="50"/>
        <v>1.8108398053809962</v>
      </c>
      <c r="K1352">
        <f t="shared" ca="1" si="51"/>
        <v>0.35856919137842835</v>
      </c>
    </row>
    <row r="1353" spans="4:11">
      <c r="D1353">
        <f t="shared" ca="1" si="50"/>
        <v>2.6035521074431509</v>
      </c>
      <c r="K1353">
        <f t="shared" ca="1" si="51"/>
        <v>0.50204442185647946</v>
      </c>
    </row>
    <row r="1354" spans="4:11">
      <c r="D1354">
        <f t="shared" ca="1" si="50"/>
        <v>7.4073438764923711</v>
      </c>
      <c r="K1354">
        <f t="shared" ca="1" si="51"/>
        <v>3.8740642012768767</v>
      </c>
    </row>
    <row r="1355" spans="4:11">
      <c r="D1355">
        <f t="shared" ca="1" si="50"/>
        <v>1.656779895080351</v>
      </c>
      <c r="K1355">
        <f t="shared" ca="1" si="51"/>
        <v>0.85410425252139532</v>
      </c>
    </row>
    <row r="1356" spans="4:11">
      <c r="D1356">
        <f t="shared" ca="1" si="50"/>
        <v>6.2573904159288691</v>
      </c>
      <c r="K1356">
        <f t="shared" ca="1" si="51"/>
        <v>2.2211049090119701</v>
      </c>
    </row>
    <row r="1357" spans="4:11">
      <c r="D1357">
        <f t="shared" ca="1" si="50"/>
        <v>3.2866864771485371</v>
      </c>
      <c r="K1357">
        <f t="shared" ca="1" si="51"/>
        <v>0.34937457624497847</v>
      </c>
    </row>
    <row r="1358" spans="4:11">
      <c r="D1358">
        <f t="shared" ca="1" si="50"/>
        <v>0.69782838652179069</v>
      </c>
      <c r="K1358">
        <f t="shared" ca="1" si="51"/>
        <v>1.5987318085890005</v>
      </c>
    </row>
    <row r="1359" spans="4:11">
      <c r="D1359">
        <f t="shared" ca="1" si="50"/>
        <v>0.61848190252912172</v>
      </c>
      <c r="K1359">
        <f t="shared" ca="1" si="51"/>
        <v>3.0868761122297199</v>
      </c>
    </row>
    <row r="1360" spans="4:11">
      <c r="D1360">
        <f t="shared" ca="1" si="50"/>
        <v>2.4200468942515458</v>
      </c>
      <c r="K1360">
        <f t="shared" ca="1" si="51"/>
        <v>3.2373224529415143</v>
      </c>
    </row>
    <row r="1361" spans="4:11">
      <c r="D1361">
        <f t="shared" ca="1" si="50"/>
        <v>1.2408974323220989</v>
      </c>
      <c r="K1361">
        <f t="shared" ca="1" si="51"/>
        <v>2.0313514221045716</v>
      </c>
    </row>
    <row r="1362" spans="4:11">
      <c r="D1362">
        <f t="shared" ca="1" si="50"/>
        <v>2.2718717031621489</v>
      </c>
      <c r="K1362">
        <f t="shared" ca="1" si="51"/>
        <v>2.8604742160176579</v>
      </c>
    </row>
    <row r="1363" spans="4:11">
      <c r="D1363">
        <f t="shared" ca="1" si="50"/>
        <v>11.288460143251267</v>
      </c>
      <c r="K1363">
        <f t="shared" ca="1" si="51"/>
        <v>0.88773546005354564</v>
      </c>
    </row>
    <row r="1364" spans="4:11">
      <c r="D1364">
        <f t="shared" ca="1" si="50"/>
        <v>16.766061831322538</v>
      </c>
      <c r="K1364">
        <f t="shared" ca="1" si="51"/>
        <v>0.5283644659881177</v>
      </c>
    </row>
    <row r="1365" spans="4:11">
      <c r="D1365">
        <f t="shared" ca="1" si="50"/>
        <v>5.5981622100352695</v>
      </c>
      <c r="K1365">
        <f t="shared" ca="1" si="51"/>
        <v>6.8302957856374108E-2</v>
      </c>
    </row>
    <row r="1366" spans="4:11">
      <c r="D1366">
        <f t="shared" ca="1" si="50"/>
        <v>7.3974299740797367</v>
      </c>
      <c r="K1366">
        <f t="shared" ca="1" si="51"/>
        <v>6.5784025956794085</v>
      </c>
    </row>
    <row r="1367" spans="4:11">
      <c r="D1367">
        <f t="shared" ca="1" si="50"/>
        <v>3.0687587568973766</v>
      </c>
      <c r="K1367">
        <f t="shared" ca="1" si="51"/>
        <v>3.3557896452825622</v>
      </c>
    </row>
    <row r="1368" spans="4:11">
      <c r="D1368">
        <f t="shared" ca="1" si="50"/>
        <v>6.0349047992538924</v>
      </c>
      <c r="K1368">
        <f t="shared" ca="1" si="51"/>
        <v>0.44065720381502782</v>
      </c>
    </row>
    <row r="1369" spans="4:11">
      <c r="D1369">
        <f t="shared" ca="1" si="50"/>
        <v>5.6796731235622747E-2</v>
      </c>
      <c r="K1369">
        <f t="shared" ca="1" si="51"/>
        <v>15.811841971030223</v>
      </c>
    </row>
    <row r="1370" spans="4:11">
      <c r="D1370">
        <f t="shared" ca="1" si="50"/>
        <v>8.3579349606369285E-2</v>
      </c>
      <c r="K1370">
        <f t="shared" ca="1" si="51"/>
        <v>0.80898927900930229</v>
      </c>
    </row>
    <row r="1371" spans="4:11">
      <c r="D1371">
        <f t="shared" ca="1" si="50"/>
        <v>12.573594288431977</v>
      </c>
      <c r="K1371">
        <f t="shared" ca="1" si="51"/>
        <v>3.8960987711683277</v>
      </c>
    </row>
    <row r="1372" spans="4:11">
      <c r="D1372">
        <f t="shared" ca="1" si="50"/>
        <v>7.933412496523065</v>
      </c>
      <c r="K1372">
        <f t="shared" ca="1" si="51"/>
        <v>1.8362085146275957E-2</v>
      </c>
    </row>
    <row r="1373" spans="4:11">
      <c r="D1373">
        <f t="shared" ca="1" si="50"/>
        <v>0.38758973922765771</v>
      </c>
      <c r="K1373">
        <f t="shared" ca="1" si="51"/>
        <v>0.70435578709028301</v>
      </c>
    </row>
    <row r="1374" spans="4:11">
      <c r="D1374">
        <f t="shared" ca="1" si="50"/>
        <v>0.10394457989145317</v>
      </c>
      <c r="K1374">
        <f t="shared" ca="1" si="51"/>
        <v>1.2775746273616897</v>
      </c>
    </row>
    <row r="1375" spans="4:11">
      <c r="D1375">
        <f t="shared" ca="1" si="50"/>
        <v>4.6671333447537062</v>
      </c>
      <c r="K1375">
        <f t="shared" ca="1" si="51"/>
        <v>0.28491711636983497</v>
      </c>
    </row>
    <row r="1376" spans="4:11">
      <c r="D1376">
        <f t="shared" ca="1" si="50"/>
        <v>0.95382410449658206</v>
      </c>
      <c r="K1376">
        <f t="shared" ca="1" si="51"/>
        <v>2.4082039121771306</v>
      </c>
    </row>
    <row r="1377" spans="4:11">
      <c r="D1377">
        <f t="shared" ca="1" si="50"/>
        <v>0.1521257820513171</v>
      </c>
      <c r="K1377">
        <f t="shared" ca="1" si="51"/>
        <v>3.6351151230981706</v>
      </c>
    </row>
    <row r="1378" spans="4:11">
      <c r="D1378">
        <f t="shared" ca="1" si="50"/>
        <v>10.383275089652646</v>
      </c>
      <c r="K1378">
        <f t="shared" ca="1" si="51"/>
        <v>6.5903361182948679</v>
      </c>
    </row>
    <row r="1379" spans="4:11">
      <c r="D1379">
        <f t="shared" ca="1" si="50"/>
        <v>9.6630503668659422</v>
      </c>
      <c r="K1379">
        <f t="shared" ca="1" si="51"/>
        <v>3.9616916084919005</v>
      </c>
    </row>
    <row r="1380" spans="4:11">
      <c r="D1380">
        <f t="shared" ca="1" si="50"/>
        <v>0.99902532237303565</v>
      </c>
      <c r="K1380">
        <f t="shared" ca="1" si="51"/>
        <v>1.0129648398326618</v>
      </c>
    </row>
    <row r="1381" spans="4:11">
      <c r="D1381">
        <f t="shared" ca="1" si="50"/>
        <v>2.0476861668983553</v>
      </c>
      <c r="K1381">
        <f t="shared" ca="1" si="51"/>
        <v>0.33380258760610326</v>
      </c>
    </row>
    <row r="1382" spans="4:11">
      <c r="D1382">
        <f t="shared" ca="1" si="50"/>
        <v>0.41576946096498457</v>
      </c>
      <c r="K1382">
        <f t="shared" ca="1" si="51"/>
        <v>5.7714243823588109</v>
      </c>
    </row>
    <row r="1383" spans="4:11">
      <c r="D1383">
        <f t="shared" ca="1" si="50"/>
        <v>3.3035915774107911</v>
      </c>
      <c r="K1383">
        <f t="shared" ca="1" si="51"/>
        <v>3.959912573927487</v>
      </c>
    </row>
    <row r="1384" spans="4:11">
      <c r="D1384">
        <f t="shared" ca="1" si="50"/>
        <v>16.243618357138033</v>
      </c>
      <c r="K1384">
        <f t="shared" ca="1" si="51"/>
        <v>0.12868282928741082</v>
      </c>
    </row>
    <row r="1385" spans="4:11">
      <c r="D1385">
        <f t="shared" ca="1" si="50"/>
        <v>0.42648585317354326</v>
      </c>
      <c r="K1385">
        <f t="shared" ca="1" si="51"/>
        <v>2.1979600569862656</v>
      </c>
    </row>
    <row r="1386" spans="4:11">
      <c r="D1386">
        <f t="shared" ca="1" si="50"/>
        <v>11.036375783845699</v>
      </c>
      <c r="K1386">
        <f t="shared" ca="1" si="51"/>
        <v>3.1460466215731326</v>
      </c>
    </row>
    <row r="1387" spans="4:11">
      <c r="D1387">
        <f t="shared" ca="1" si="50"/>
        <v>2.2558970276446342</v>
      </c>
      <c r="K1387">
        <f t="shared" ca="1" si="51"/>
        <v>3.3183660635661418</v>
      </c>
    </row>
    <row r="1388" spans="4:11">
      <c r="D1388">
        <f t="shared" ca="1" si="50"/>
        <v>0.41796532987007862</v>
      </c>
      <c r="K1388">
        <f t="shared" ca="1" si="51"/>
        <v>0.43016159850651803</v>
      </c>
    </row>
    <row r="1389" spans="4:11">
      <c r="D1389">
        <f t="shared" ca="1" si="50"/>
        <v>6.2831234613884277</v>
      </c>
      <c r="K1389">
        <f t="shared" ca="1" si="51"/>
        <v>4.9159303629119666</v>
      </c>
    </row>
    <row r="1390" spans="4:11">
      <c r="D1390">
        <f t="shared" ca="1" si="50"/>
        <v>2.8414870716657159</v>
      </c>
      <c r="K1390">
        <f t="shared" ca="1" si="51"/>
        <v>2.41407650344052</v>
      </c>
    </row>
    <row r="1391" spans="4:11">
      <c r="D1391">
        <f t="shared" ca="1" si="50"/>
        <v>4.8400665412163217</v>
      </c>
      <c r="K1391">
        <f t="shared" ca="1" si="51"/>
        <v>4.6010752266254293</v>
      </c>
    </row>
    <row r="1392" spans="4:11">
      <c r="D1392">
        <f t="shared" ca="1" si="50"/>
        <v>2.9823887895463965</v>
      </c>
      <c r="K1392">
        <f t="shared" ca="1" si="51"/>
        <v>1.3866468267242213</v>
      </c>
    </row>
    <row r="1393" spans="4:11">
      <c r="D1393">
        <f t="shared" ca="1" si="50"/>
        <v>6.0038272327803863</v>
      </c>
      <c r="K1393">
        <f t="shared" ca="1" si="51"/>
        <v>8.7104532987878174E-3</v>
      </c>
    </row>
    <row r="1394" spans="4:11">
      <c r="D1394">
        <f t="shared" ca="1" si="50"/>
        <v>0.38651190424488269</v>
      </c>
      <c r="K1394">
        <f t="shared" ca="1" si="51"/>
        <v>0.42686530141075985</v>
      </c>
    </row>
    <row r="1395" spans="4:11">
      <c r="D1395">
        <f t="shared" ca="1" si="50"/>
        <v>0.21077676512852433</v>
      </c>
      <c r="K1395">
        <f t="shared" ca="1" si="51"/>
        <v>2.3808382963442147</v>
      </c>
    </row>
    <row r="1396" spans="4:11">
      <c r="D1396">
        <f t="shared" ca="1" si="50"/>
        <v>2.5733535542657444</v>
      </c>
      <c r="K1396">
        <f t="shared" ca="1" si="51"/>
        <v>6.0764607087489164</v>
      </c>
    </row>
    <row r="1397" spans="4:11">
      <c r="D1397">
        <f t="shared" ca="1" si="50"/>
        <v>2.972260586806251</v>
      </c>
      <c r="K1397">
        <f t="shared" ca="1" si="51"/>
        <v>2.8317182640935572</v>
      </c>
    </row>
    <row r="1398" spans="4:11">
      <c r="D1398">
        <f t="shared" ca="1" si="50"/>
        <v>0.92950274669452271</v>
      </c>
      <c r="K1398">
        <f t="shared" ca="1" si="51"/>
        <v>1.3680989109231532</v>
      </c>
    </row>
    <row r="1399" spans="4:11">
      <c r="D1399">
        <f t="shared" ca="1" si="50"/>
        <v>5.7279426022843634</v>
      </c>
      <c r="K1399">
        <f t="shared" ca="1" si="51"/>
        <v>3.0207855871248341</v>
      </c>
    </row>
    <row r="1400" spans="4:11">
      <c r="D1400">
        <f t="shared" ca="1" si="50"/>
        <v>13.882558396210708</v>
      </c>
      <c r="K1400">
        <f t="shared" ca="1" si="51"/>
        <v>0.7057321162568666</v>
      </c>
    </row>
    <row r="1401" spans="4:11">
      <c r="D1401">
        <f t="shared" ca="1" si="50"/>
        <v>4.2343351433256</v>
      </c>
      <c r="K1401">
        <f t="shared" ca="1" si="51"/>
        <v>0.60580818985903107</v>
      </c>
    </row>
    <row r="1402" spans="4:11">
      <c r="D1402">
        <f t="shared" ca="1" si="50"/>
        <v>9.0150181545145358</v>
      </c>
      <c r="K1402">
        <f t="shared" ca="1" si="51"/>
        <v>14.34466632894603</v>
      </c>
    </row>
    <row r="1403" spans="4:11">
      <c r="D1403">
        <f t="shared" ca="1" si="50"/>
        <v>1.4550835895088876</v>
      </c>
      <c r="K1403">
        <f t="shared" ca="1" si="51"/>
        <v>2.41201867377249</v>
      </c>
    </row>
    <row r="1404" spans="4:11">
      <c r="D1404">
        <f t="shared" ca="1" si="50"/>
        <v>4.0312629251022134</v>
      </c>
      <c r="K1404">
        <f t="shared" ca="1" si="51"/>
        <v>1.7554242621957328</v>
      </c>
    </row>
    <row r="1405" spans="4:11">
      <c r="D1405">
        <f t="shared" ca="1" si="50"/>
        <v>2.1723499099678563</v>
      </c>
      <c r="K1405">
        <f t="shared" ca="1" si="51"/>
        <v>3.6862177685320838E-2</v>
      </c>
    </row>
    <row r="1406" spans="4:11">
      <c r="D1406">
        <f t="shared" ca="1" si="50"/>
        <v>9.9269799777244359</v>
      </c>
      <c r="K1406">
        <f t="shared" ca="1" si="51"/>
        <v>4.4563216738106792</v>
      </c>
    </row>
    <row r="1407" spans="4:11">
      <c r="D1407">
        <f t="shared" ca="1" si="50"/>
        <v>1.9792488018453067</v>
      </c>
      <c r="K1407">
        <f t="shared" ca="1" si="51"/>
        <v>0.26027079314339274</v>
      </c>
    </row>
    <row r="1408" spans="4:11">
      <c r="D1408">
        <f t="shared" ca="1" si="50"/>
        <v>15.825243758681001</v>
      </c>
      <c r="K1408">
        <f t="shared" ca="1" si="51"/>
        <v>1.9945419819371444</v>
      </c>
    </row>
    <row r="1409" spans="4:11">
      <c r="D1409">
        <f t="shared" ca="1" si="50"/>
        <v>3.7994953046209687</v>
      </c>
      <c r="K1409">
        <f t="shared" ca="1" si="51"/>
        <v>0.36486719972540449</v>
      </c>
    </row>
    <row r="1410" spans="4:11">
      <c r="D1410">
        <f t="shared" ref="D1410:D1473" ca="1" si="52">GAMMAINV(RAND(),$A$2,$B$2)</f>
        <v>2.1909710386735259</v>
      </c>
      <c r="K1410">
        <f t="shared" ref="K1410:K1473" ca="1" si="53">GAMMAINV(RAND(),$H$2,$I$2)</f>
        <v>2.0226048628770092</v>
      </c>
    </row>
    <row r="1411" spans="4:11">
      <c r="D1411">
        <f t="shared" ca="1" si="52"/>
        <v>11.016999876355005</v>
      </c>
      <c r="K1411">
        <f t="shared" ca="1" si="53"/>
        <v>0.11109907813412112</v>
      </c>
    </row>
    <row r="1412" spans="4:11">
      <c r="D1412">
        <f t="shared" ca="1" si="52"/>
        <v>11.243975956132889</v>
      </c>
      <c r="K1412">
        <f t="shared" ca="1" si="53"/>
        <v>1.7208323562839305</v>
      </c>
    </row>
    <row r="1413" spans="4:11">
      <c r="D1413">
        <f t="shared" ca="1" si="52"/>
        <v>2.6995668103396024</v>
      </c>
      <c r="K1413">
        <f t="shared" ca="1" si="53"/>
        <v>0.47889287448078921</v>
      </c>
    </row>
    <row r="1414" spans="4:11">
      <c r="D1414">
        <f t="shared" ca="1" si="52"/>
        <v>20.128767041424354</v>
      </c>
      <c r="K1414">
        <f t="shared" ca="1" si="53"/>
        <v>3.8248179287084838</v>
      </c>
    </row>
    <row r="1415" spans="4:11">
      <c r="D1415">
        <f t="shared" ca="1" si="52"/>
        <v>3.9618954110817279</v>
      </c>
      <c r="K1415">
        <f t="shared" ca="1" si="53"/>
        <v>2.4297422489952876</v>
      </c>
    </row>
    <row r="1416" spans="4:11">
      <c r="D1416">
        <f t="shared" ca="1" si="52"/>
        <v>10.17871272683664</v>
      </c>
      <c r="K1416">
        <f t="shared" ca="1" si="53"/>
        <v>0.80728966105021338</v>
      </c>
    </row>
    <row r="1417" spans="4:11">
      <c r="D1417">
        <f t="shared" ca="1" si="52"/>
        <v>2.1380540669830728</v>
      </c>
      <c r="K1417">
        <f t="shared" ca="1" si="53"/>
        <v>1.2874886840659374</v>
      </c>
    </row>
    <row r="1418" spans="4:11">
      <c r="D1418">
        <f t="shared" ca="1" si="52"/>
        <v>2.7116712715104052</v>
      </c>
      <c r="K1418">
        <f t="shared" ca="1" si="53"/>
        <v>4.7883293230731798</v>
      </c>
    </row>
    <row r="1419" spans="4:11">
      <c r="D1419">
        <f t="shared" ca="1" si="52"/>
        <v>1.1964979747094029</v>
      </c>
      <c r="K1419">
        <f t="shared" ca="1" si="53"/>
        <v>2.7442423072135824</v>
      </c>
    </row>
    <row r="1420" spans="4:11">
      <c r="D1420">
        <f t="shared" ca="1" si="52"/>
        <v>17.992327034570359</v>
      </c>
      <c r="K1420">
        <f t="shared" ca="1" si="53"/>
        <v>0.37692484482029842</v>
      </c>
    </row>
    <row r="1421" spans="4:11">
      <c r="D1421">
        <f t="shared" ca="1" si="52"/>
        <v>5.1706876350371989</v>
      </c>
      <c r="K1421">
        <f t="shared" ca="1" si="53"/>
        <v>0.33494015352419015</v>
      </c>
    </row>
    <row r="1422" spans="4:11">
      <c r="D1422">
        <f t="shared" ca="1" si="52"/>
        <v>1.1504200387812102</v>
      </c>
      <c r="K1422">
        <f t="shared" ca="1" si="53"/>
        <v>1.9303018883731675</v>
      </c>
    </row>
    <row r="1423" spans="4:11">
      <c r="D1423">
        <f t="shared" ca="1" si="52"/>
        <v>27.076706038522815</v>
      </c>
      <c r="K1423">
        <f t="shared" ca="1" si="53"/>
        <v>0.68663325950164644</v>
      </c>
    </row>
    <row r="1424" spans="4:11">
      <c r="D1424">
        <f t="shared" ca="1" si="52"/>
        <v>4.7385230930295918</v>
      </c>
      <c r="K1424">
        <f t="shared" ca="1" si="53"/>
        <v>1.4009139119092717</v>
      </c>
    </row>
    <row r="1425" spans="4:11">
      <c r="D1425">
        <f t="shared" ca="1" si="52"/>
        <v>4.9667543819172693</v>
      </c>
      <c r="K1425">
        <f t="shared" ca="1" si="53"/>
        <v>0.72465182254204952</v>
      </c>
    </row>
    <row r="1426" spans="4:11">
      <c r="D1426">
        <f t="shared" ca="1" si="52"/>
        <v>8.8140050089233384</v>
      </c>
      <c r="K1426">
        <f t="shared" ca="1" si="53"/>
        <v>2.4472278742031173E-2</v>
      </c>
    </row>
    <row r="1427" spans="4:11">
      <c r="D1427">
        <f t="shared" ca="1" si="52"/>
        <v>0.28163247924986468</v>
      </c>
      <c r="K1427">
        <f t="shared" ca="1" si="53"/>
        <v>9.4306301166105122</v>
      </c>
    </row>
    <row r="1428" spans="4:11">
      <c r="D1428">
        <f t="shared" ca="1" si="52"/>
        <v>1.4123060735069122</v>
      </c>
      <c r="K1428">
        <f t="shared" ca="1" si="53"/>
        <v>1.1646786449284714</v>
      </c>
    </row>
    <row r="1429" spans="4:11">
      <c r="D1429">
        <f t="shared" ca="1" si="52"/>
        <v>3.0561933003912571</v>
      </c>
      <c r="K1429">
        <f t="shared" ca="1" si="53"/>
        <v>0.61828587738180762</v>
      </c>
    </row>
    <row r="1430" spans="4:11">
      <c r="D1430">
        <f t="shared" ca="1" si="52"/>
        <v>5.2011097552083765</v>
      </c>
      <c r="K1430">
        <f t="shared" ca="1" si="53"/>
        <v>1.2839987862882132</v>
      </c>
    </row>
    <row r="1431" spans="4:11">
      <c r="D1431">
        <f t="shared" ca="1" si="52"/>
        <v>1.5207621893845227</v>
      </c>
      <c r="K1431">
        <f t="shared" ca="1" si="53"/>
        <v>6.2032187944678241E-2</v>
      </c>
    </row>
    <row r="1432" spans="4:11">
      <c r="D1432">
        <f t="shared" ca="1" si="52"/>
        <v>0.8178093327190199</v>
      </c>
      <c r="K1432">
        <f t="shared" ca="1" si="53"/>
        <v>5.5823987074170329</v>
      </c>
    </row>
    <row r="1433" spans="4:11">
      <c r="D1433">
        <f t="shared" ca="1" si="52"/>
        <v>7.0017194819824677</v>
      </c>
      <c r="K1433">
        <f t="shared" ca="1" si="53"/>
        <v>3.0240295701943927</v>
      </c>
    </row>
    <row r="1434" spans="4:11">
      <c r="D1434">
        <f t="shared" ca="1" si="52"/>
        <v>4.6518297476943928</v>
      </c>
      <c r="K1434">
        <f t="shared" ca="1" si="53"/>
        <v>6.2074220831764002</v>
      </c>
    </row>
    <row r="1435" spans="4:11">
      <c r="D1435">
        <f t="shared" ca="1" si="52"/>
        <v>4.2736394501824009</v>
      </c>
      <c r="K1435">
        <f t="shared" ca="1" si="53"/>
        <v>4.5240900359919145</v>
      </c>
    </row>
    <row r="1436" spans="4:11">
      <c r="D1436">
        <f t="shared" ca="1" si="52"/>
        <v>6.5006279182333984</v>
      </c>
      <c r="K1436">
        <f t="shared" ca="1" si="53"/>
        <v>1.9811018507598415</v>
      </c>
    </row>
    <row r="1437" spans="4:11">
      <c r="D1437">
        <f t="shared" ca="1" si="52"/>
        <v>1.8328017193237178</v>
      </c>
      <c r="K1437">
        <f t="shared" ca="1" si="53"/>
        <v>4.9803580752922691</v>
      </c>
    </row>
    <row r="1438" spans="4:11">
      <c r="D1438">
        <f t="shared" ca="1" si="52"/>
        <v>12.323887187651582</v>
      </c>
      <c r="K1438">
        <f t="shared" ca="1" si="53"/>
        <v>5.1837007979312517</v>
      </c>
    </row>
    <row r="1439" spans="4:11">
      <c r="D1439">
        <f t="shared" ca="1" si="52"/>
        <v>7.1698079500937595E-2</v>
      </c>
      <c r="K1439">
        <f t="shared" ca="1" si="53"/>
        <v>2.5209519228133423</v>
      </c>
    </row>
    <row r="1440" spans="4:11">
      <c r="D1440">
        <f t="shared" ca="1" si="52"/>
        <v>4.5872403109034021</v>
      </c>
      <c r="K1440">
        <f t="shared" ca="1" si="53"/>
        <v>0.72072063596960212</v>
      </c>
    </row>
    <row r="1441" spans="4:11">
      <c r="D1441">
        <f t="shared" ca="1" si="52"/>
        <v>10.058549293179929</v>
      </c>
      <c r="K1441">
        <f t="shared" ca="1" si="53"/>
        <v>2.4982380272231805E-2</v>
      </c>
    </row>
    <row r="1442" spans="4:11">
      <c r="D1442">
        <f t="shared" ca="1" si="52"/>
        <v>5.4194927746296795</v>
      </c>
      <c r="K1442">
        <f t="shared" ca="1" si="53"/>
        <v>0.51042493642793119</v>
      </c>
    </row>
    <row r="1443" spans="4:11">
      <c r="D1443">
        <f t="shared" ca="1" si="52"/>
        <v>3.8266406640027756E-2</v>
      </c>
      <c r="K1443">
        <f t="shared" ca="1" si="53"/>
        <v>0.467907581928524</v>
      </c>
    </row>
    <row r="1444" spans="4:11">
      <c r="D1444">
        <f t="shared" ca="1" si="52"/>
        <v>2.2332261835022939E-4</v>
      </c>
      <c r="K1444">
        <f t="shared" ca="1" si="53"/>
        <v>1.5089071172674968</v>
      </c>
    </row>
    <row r="1445" spans="4:11">
      <c r="D1445">
        <f t="shared" ca="1" si="52"/>
        <v>3.1314398470088314</v>
      </c>
      <c r="K1445">
        <f t="shared" ca="1" si="53"/>
        <v>2.4416023977480679</v>
      </c>
    </row>
    <row r="1446" spans="4:11">
      <c r="D1446">
        <f t="shared" ca="1" si="52"/>
        <v>8.9399118534294537</v>
      </c>
      <c r="K1446">
        <f t="shared" ca="1" si="53"/>
        <v>3.0641093778477586</v>
      </c>
    </row>
    <row r="1447" spans="4:11">
      <c r="D1447">
        <f t="shared" ca="1" si="52"/>
        <v>7.5171442579951844</v>
      </c>
      <c r="K1447">
        <f t="shared" ca="1" si="53"/>
        <v>1.5568566608479206</v>
      </c>
    </row>
    <row r="1448" spans="4:11">
      <c r="D1448">
        <f t="shared" ca="1" si="52"/>
        <v>7.860084728700798</v>
      </c>
      <c r="K1448">
        <f t="shared" ca="1" si="53"/>
        <v>0.30615317330526604</v>
      </c>
    </row>
    <row r="1449" spans="4:11">
      <c r="D1449">
        <f t="shared" ca="1" si="52"/>
        <v>7.0749997928865156</v>
      </c>
      <c r="K1449">
        <f t="shared" ca="1" si="53"/>
        <v>1.0113175994068619</v>
      </c>
    </row>
    <row r="1450" spans="4:11">
      <c r="D1450">
        <f t="shared" ca="1" si="52"/>
        <v>2.2712397636334174</v>
      </c>
      <c r="K1450">
        <f t="shared" ca="1" si="53"/>
        <v>0.41623917506609298</v>
      </c>
    </row>
    <row r="1451" spans="4:11">
      <c r="D1451">
        <f t="shared" ca="1" si="52"/>
        <v>5.4298232708513172</v>
      </c>
      <c r="K1451">
        <f t="shared" ca="1" si="53"/>
        <v>4.2494513341327611</v>
      </c>
    </row>
    <row r="1452" spans="4:11">
      <c r="D1452">
        <f t="shared" ca="1" si="52"/>
        <v>4.0183681754865823</v>
      </c>
      <c r="K1452">
        <f t="shared" ca="1" si="53"/>
        <v>0.2257307202348644</v>
      </c>
    </row>
    <row r="1453" spans="4:11">
      <c r="D1453">
        <f t="shared" ca="1" si="52"/>
        <v>2.3228897585299917</v>
      </c>
      <c r="K1453">
        <f t="shared" ca="1" si="53"/>
        <v>9.2811035742832111</v>
      </c>
    </row>
    <row r="1454" spans="4:11">
      <c r="D1454">
        <f t="shared" ca="1" si="52"/>
        <v>0.42852567569997846</v>
      </c>
      <c r="K1454">
        <f t="shared" ca="1" si="53"/>
        <v>6.2479364037778549</v>
      </c>
    </row>
    <row r="1455" spans="4:11">
      <c r="D1455">
        <f t="shared" ca="1" si="52"/>
        <v>0.23223429652463745</v>
      </c>
      <c r="K1455">
        <f t="shared" ca="1" si="53"/>
        <v>1.1857181333085918</v>
      </c>
    </row>
    <row r="1456" spans="4:11">
      <c r="D1456">
        <f t="shared" ca="1" si="52"/>
        <v>0.30794688136367332</v>
      </c>
      <c r="K1456">
        <f t="shared" ca="1" si="53"/>
        <v>1.1982466718460518</v>
      </c>
    </row>
    <row r="1457" spans="4:11">
      <c r="D1457">
        <f t="shared" ca="1" si="52"/>
        <v>0.64648151990320213</v>
      </c>
      <c r="K1457">
        <f t="shared" ca="1" si="53"/>
        <v>0.52071600431177623</v>
      </c>
    </row>
    <row r="1458" spans="4:11">
      <c r="D1458">
        <f t="shared" ca="1" si="52"/>
        <v>3.6795031756783327</v>
      </c>
      <c r="K1458">
        <f t="shared" ca="1" si="53"/>
        <v>4.1089555773184436</v>
      </c>
    </row>
    <row r="1459" spans="4:11">
      <c r="D1459">
        <f t="shared" ca="1" si="52"/>
        <v>2.17566732656877</v>
      </c>
      <c r="K1459">
        <f t="shared" ca="1" si="53"/>
        <v>4.0726448840825871</v>
      </c>
    </row>
    <row r="1460" spans="4:11">
      <c r="D1460">
        <f t="shared" ca="1" si="52"/>
        <v>1.8174443965589822</v>
      </c>
      <c r="K1460">
        <f t="shared" ca="1" si="53"/>
        <v>0.36149272085062556</v>
      </c>
    </row>
    <row r="1461" spans="4:11">
      <c r="D1461">
        <f t="shared" ca="1" si="52"/>
        <v>4.6873709230008807</v>
      </c>
      <c r="K1461">
        <f t="shared" ca="1" si="53"/>
        <v>0.14161633713813077</v>
      </c>
    </row>
    <row r="1462" spans="4:11">
      <c r="D1462">
        <f t="shared" ca="1" si="52"/>
        <v>3.6777483631752377</v>
      </c>
      <c r="K1462">
        <f t="shared" ca="1" si="53"/>
        <v>0.39449365461696473</v>
      </c>
    </row>
    <row r="1463" spans="4:11">
      <c r="D1463">
        <f t="shared" ca="1" si="52"/>
        <v>6.4715780034868935</v>
      </c>
      <c r="K1463">
        <f t="shared" ca="1" si="53"/>
        <v>3.5486878772267572</v>
      </c>
    </row>
    <row r="1464" spans="4:11">
      <c r="D1464">
        <f t="shared" ca="1" si="52"/>
        <v>0.80891213497075087</v>
      </c>
      <c r="K1464">
        <f t="shared" ca="1" si="53"/>
        <v>2.3453981084799986</v>
      </c>
    </row>
    <row r="1465" spans="4:11">
      <c r="D1465">
        <f t="shared" ca="1" si="52"/>
        <v>1.7963792904577969</v>
      </c>
      <c r="K1465">
        <f t="shared" ca="1" si="53"/>
        <v>1.9836512072469383</v>
      </c>
    </row>
    <row r="1466" spans="4:11">
      <c r="D1466">
        <f t="shared" ca="1" si="52"/>
        <v>1.5997861626882104</v>
      </c>
      <c r="K1466">
        <f t="shared" ca="1" si="53"/>
        <v>1.6291363263988496</v>
      </c>
    </row>
    <row r="1467" spans="4:11">
      <c r="D1467">
        <f t="shared" ca="1" si="52"/>
        <v>0.99102489768952107</v>
      </c>
      <c r="K1467">
        <f t="shared" ca="1" si="53"/>
        <v>1.437352521350574</v>
      </c>
    </row>
    <row r="1468" spans="4:11">
      <c r="D1468">
        <f t="shared" ca="1" si="52"/>
        <v>8.2527309309605705</v>
      </c>
      <c r="K1468">
        <f t="shared" ca="1" si="53"/>
        <v>2.1919494031097742</v>
      </c>
    </row>
    <row r="1469" spans="4:11">
      <c r="D1469">
        <f t="shared" ca="1" si="52"/>
        <v>3.4307934592905625</v>
      </c>
      <c r="K1469">
        <f t="shared" ca="1" si="53"/>
        <v>1.6927823940204774</v>
      </c>
    </row>
    <row r="1470" spans="4:11">
      <c r="D1470">
        <f t="shared" ca="1" si="52"/>
        <v>8.8705844963703804</v>
      </c>
      <c r="K1470">
        <f t="shared" ca="1" si="53"/>
        <v>4.0106999340937595</v>
      </c>
    </row>
    <row r="1471" spans="4:11">
      <c r="D1471">
        <f t="shared" ca="1" si="52"/>
        <v>18.767267917997565</v>
      </c>
      <c r="K1471">
        <f t="shared" ca="1" si="53"/>
        <v>1.0903198456974947</v>
      </c>
    </row>
    <row r="1472" spans="4:11">
      <c r="D1472">
        <f t="shared" ca="1" si="52"/>
        <v>7.709636864304839</v>
      </c>
      <c r="K1472">
        <f t="shared" ca="1" si="53"/>
        <v>0.29302113098335714</v>
      </c>
    </row>
    <row r="1473" spans="4:11">
      <c r="D1473">
        <f t="shared" ca="1" si="52"/>
        <v>3.8982985648656907</v>
      </c>
      <c r="K1473">
        <f t="shared" ca="1" si="53"/>
        <v>5.6958532360561378</v>
      </c>
    </row>
    <row r="1474" spans="4:11">
      <c r="D1474">
        <f t="shared" ref="D1474:D1537" ca="1" si="54">GAMMAINV(RAND(),$A$2,$B$2)</f>
        <v>1.2621799587267288</v>
      </c>
      <c r="K1474">
        <f t="shared" ref="K1474:K1537" ca="1" si="55">GAMMAINV(RAND(),$H$2,$I$2)</f>
        <v>4.3104909358766772</v>
      </c>
    </row>
    <row r="1475" spans="4:11">
      <c r="D1475">
        <f t="shared" ca="1" si="54"/>
        <v>8.4797572928955454</v>
      </c>
      <c r="K1475">
        <f t="shared" ca="1" si="55"/>
        <v>1.292890660583033</v>
      </c>
    </row>
    <row r="1476" spans="4:11">
      <c r="D1476">
        <f t="shared" ca="1" si="54"/>
        <v>1.3345033035357119</v>
      </c>
      <c r="K1476">
        <f t="shared" ca="1" si="55"/>
        <v>1.4769518072920329</v>
      </c>
    </row>
    <row r="1477" spans="4:11">
      <c r="D1477">
        <f t="shared" ca="1" si="54"/>
        <v>6.9285900880287681</v>
      </c>
      <c r="K1477">
        <f t="shared" ca="1" si="55"/>
        <v>2.0362399537347766</v>
      </c>
    </row>
    <row r="1478" spans="4:11">
      <c r="D1478">
        <f t="shared" ca="1" si="54"/>
        <v>0.51971375941629971</v>
      </c>
      <c r="K1478">
        <f t="shared" ca="1" si="55"/>
        <v>2.5295872844337728</v>
      </c>
    </row>
    <row r="1479" spans="4:11">
      <c r="D1479">
        <f t="shared" ca="1" si="54"/>
        <v>0.23261229885826201</v>
      </c>
      <c r="K1479">
        <f t="shared" ca="1" si="55"/>
        <v>1.2906571057093918</v>
      </c>
    </row>
    <row r="1480" spans="4:11">
      <c r="D1480">
        <f t="shared" ca="1" si="54"/>
        <v>7.7596237271949509</v>
      </c>
      <c r="K1480">
        <f t="shared" ca="1" si="55"/>
        <v>4.6707480015389677</v>
      </c>
    </row>
    <row r="1481" spans="4:11">
      <c r="D1481">
        <f t="shared" ca="1" si="54"/>
        <v>1.8098144635943627</v>
      </c>
      <c r="K1481">
        <f t="shared" ca="1" si="55"/>
        <v>1.8119256988608855E-2</v>
      </c>
    </row>
    <row r="1482" spans="4:11">
      <c r="D1482">
        <f t="shared" ca="1" si="54"/>
        <v>0.85799290043584397</v>
      </c>
      <c r="K1482">
        <f t="shared" ca="1" si="55"/>
        <v>1.1504107117125257</v>
      </c>
    </row>
    <row r="1483" spans="4:11">
      <c r="D1483">
        <f t="shared" ca="1" si="54"/>
        <v>5.7932005272234512</v>
      </c>
      <c r="K1483">
        <f t="shared" ca="1" si="55"/>
        <v>0.15189012647365502</v>
      </c>
    </row>
    <row r="1484" spans="4:11">
      <c r="D1484">
        <f t="shared" ca="1" si="54"/>
        <v>9.0580110669915435</v>
      </c>
      <c r="K1484">
        <f t="shared" ca="1" si="55"/>
        <v>3.0749709005276733</v>
      </c>
    </row>
    <row r="1485" spans="4:11">
      <c r="D1485">
        <f t="shared" ca="1" si="54"/>
        <v>33.155781750857642</v>
      </c>
      <c r="K1485">
        <f t="shared" ca="1" si="55"/>
        <v>2.484595641644658</v>
      </c>
    </row>
    <row r="1486" spans="4:11">
      <c r="D1486">
        <f t="shared" ca="1" si="54"/>
        <v>2.2228333298954652</v>
      </c>
      <c r="K1486">
        <f t="shared" ca="1" si="55"/>
        <v>7.2275647486078926E-2</v>
      </c>
    </row>
    <row r="1487" spans="4:11">
      <c r="D1487">
        <f t="shared" ca="1" si="54"/>
        <v>11.347924375797007</v>
      </c>
      <c r="K1487">
        <f t="shared" ca="1" si="55"/>
        <v>0.17593319078553843</v>
      </c>
    </row>
    <row r="1488" spans="4:11">
      <c r="D1488">
        <f t="shared" ca="1" si="54"/>
        <v>1.1049635270160603</v>
      </c>
      <c r="K1488">
        <f t="shared" ca="1" si="55"/>
        <v>6.3749549244858521</v>
      </c>
    </row>
    <row r="1489" spans="4:11">
      <c r="D1489">
        <f t="shared" ca="1" si="54"/>
        <v>8.1851187427546854</v>
      </c>
      <c r="K1489">
        <f t="shared" ca="1" si="55"/>
        <v>0.53515828575766533</v>
      </c>
    </row>
    <row r="1490" spans="4:11">
      <c r="D1490">
        <f t="shared" ca="1" si="54"/>
        <v>5.1958792569025878</v>
      </c>
      <c r="K1490">
        <f t="shared" ca="1" si="55"/>
        <v>0.29065025809659739</v>
      </c>
    </row>
    <row r="1491" spans="4:11">
      <c r="D1491">
        <f t="shared" ca="1" si="54"/>
        <v>3.8374986976028032</v>
      </c>
      <c r="K1491">
        <f t="shared" ca="1" si="55"/>
        <v>3.3298217714954452</v>
      </c>
    </row>
    <row r="1492" spans="4:11">
      <c r="D1492">
        <f t="shared" ca="1" si="54"/>
        <v>6.005258868998439</v>
      </c>
      <c r="K1492">
        <f t="shared" ca="1" si="55"/>
        <v>1.4541576756832741</v>
      </c>
    </row>
    <row r="1493" spans="4:11">
      <c r="D1493">
        <f t="shared" ca="1" si="54"/>
        <v>2.7421026476058206</v>
      </c>
      <c r="K1493">
        <f t="shared" ca="1" si="55"/>
        <v>3.5086277321667501</v>
      </c>
    </row>
    <row r="1494" spans="4:11">
      <c r="D1494">
        <f t="shared" ca="1" si="54"/>
        <v>4.3941626265413873</v>
      </c>
      <c r="K1494">
        <f t="shared" ca="1" si="55"/>
        <v>2.2035318627046276</v>
      </c>
    </row>
    <row r="1495" spans="4:11">
      <c r="D1495">
        <f t="shared" ca="1" si="54"/>
        <v>1.5792335581525978</v>
      </c>
      <c r="K1495">
        <f t="shared" ca="1" si="55"/>
        <v>2.2070663497602601</v>
      </c>
    </row>
    <row r="1496" spans="4:11">
      <c r="D1496">
        <f t="shared" ca="1" si="54"/>
        <v>0.41741466482100531</v>
      </c>
      <c r="K1496">
        <f t="shared" ca="1" si="55"/>
        <v>1.4024543545119279</v>
      </c>
    </row>
    <row r="1497" spans="4:11">
      <c r="D1497">
        <f t="shared" ca="1" si="54"/>
        <v>12.079340627760867</v>
      </c>
      <c r="K1497">
        <f t="shared" ca="1" si="55"/>
        <v>1.8888712154034866</v>
      </c>
    </row>
    <row r="1498" spans="4:11">
      <c r="D1498">
        <f t="shared" ca="1" si="54"/>
        <v>4.8760867073253085</v>
      </c>
      <c r="K1498">
        <f t="shared" ca="1" si="55"/>
        <v>0.66386045687319539</v>
      </c>
    </row>
    <row r="1499" spans="4:11">
      <c r="D1499">
        <f t="shared" ca="1" si="54"/>
        <v>1.3896860843579435</v>
      </c>
      <c r="K1499">
        <f t="shared" ca="1" si="55"/>
        <v>4.1516741824425605</v>
      </c>
    </row>
    <row r="1500" spans="4:11">
      <c r="D1500">
        <f t="shared" ca="1" si="54"/>
        <v>3.5284288823262564</v>
      </c>
      <c r="K1500">
        <f t="shared" ca="1" si="55"/>
        <v>1.4088769483898429</v>
      </c>
    </row>
    <row r="1501" spans="4:11">
      <c r="D1501">
        <f t="shared" ca="1" si="54"/>
        <v>0.20708227660776035</v>
      </c>
      <c r="K1501">
        <f t="shared" ca="1" si="55"/>
        <v>3.7082428775571641</v>
      </c>
    </row>
    <row r="1502" spans="4:11">
      <c r="D1502">
        <f t="shared" ca="1" si="54"/>
        <v>21.173742802096662</v>
      </c>
      <c r="K1502">
        <f t="shared" ca="1" si="55"/>
        <v>0.94174754425829232</v>
      </c>
    </row>
    <row r="1503" spans="4:11">
      <c r="D1503">
        <f t="shared" ca="1" si="54"/>
        <v>1.2917198778480232</v>
      </c>
      <c r="K1503">
        <f t="shared" ca="1" si="55"/>
        <v>3.2094616981600863</v>
      </c>
    </row>
    <row r="1504" spans="4:11">
      <c r="D1504">
        <f t="shared" ca="1" si="54"/>
        <v>16.274248545819034</v>
      </c>
      <c r="K1504">
        <f t="shared" ca="1" si="55"/>
        <v>4.00303691633661</v>
      </c>
    </row>
    <row r="1505" spans="4:11">
      <c r="D1505">
        <f t="shared" ca="1" si="54"/>
        <v>1.4315065244107017</v>
      </c>
      <c r="K1505">
        <f t="shared" ca="1" si="55"/>
        <v>6.0259720966975655E-2</v>
      </c>
    </row>
    <row r="1506" spans="4:11">
      <c r="D1506">
        <f t="shared" ca="1" si="54"/>
        <v>35.536966043165719</v>
      </c>
      <c r="K1506">
        <f t="shared" ca="1" si="55"/>
        <v>1.7701853546418991</v>
      </c>
    </row>
    <row r="1507" spans="4:11">
      <c r="D1507">
        <f t="shared" ca="1" si="54"/>
        <v>1.4075000121371861</v>
      </c>
      <c r="K1507">
        <f t="shared" ca="1" si="55"/>
        <v>0.98923365785141959</v>
      </c>
    </row>
    <row r="1508" spans="4:11">
      <c r="D1508">
        <f t="shared" ca="1" si="54"/>
        <v>1.8225354445855322</v>
      </c>
      <c r="K1508">
        <f t="shared" ca="1" si="55"/>
        <v>4.4961290237748965</v>
      </c>
    </row>
    <row r="1509" spans="4:11">
      <c r="D1509">
        <f t="shared" ca="1" si="54"/>
        <v>8.3247456119312702</v>
      </c>
      <c r="K1509">
        <f t="shared" ca="1" si="55"/>
        <v>0.29875384468757948</v>
      </c>
    </row>
    <row r="1510" spans="4:11">
      <c r="D1510">
        <f t="shared" ca="1" si="54"/>
        <v>10.444933670587698</v>
      </c>
      <c r="K1510">
        <f t="shared" ca="1" si="55"/>
        <v>2.3217522183429029</v>
      </c>
    </row>
    <row r="1511" spans="4:11">
      <c r="D1511">
        <f t="shared" ca="1" si="54"/>
        <v>1.922233816671806</v>
      </c>
      <c r="K1511">
        <f t="shared" ca="1" si="55"/>
        <v>6.2880095003879628</v>
      </c>
    </row>
    <row r="1512" spans="4:11">
      <c r="D1512">
        <f t="shared" ca="1" si="54"/>
        <v>2.5285208025419159</v>
      </c>
      <c r="K1512">
        <f t="shared" ca="1" si="55"/>
        <v>0.39933913347731431</v>
      </c>
    </row>
    <row r="1513" spans="4:11">
      <c r="D1513">
        <f t="shared" ca="1" si="54"/>
        <v>9.5986489501480854</v>
      </c>
      <c r="K1513">
        <f t="shared" ca="1" si="55"/>
        <v>9.8680147056449591E-2</v>
      </c>
    </row>
    <row r="1514" spans="4:11">
      <c r="D1514">
        <f t="shared" ca="1" si="54"/>
        <v>1.3027766356191126</v>
      </c>
      <c r="K1514">
        <f t="shared" ca="1" si="55"/>
        <v>0.14909779533661016</v>
      </c>
    </row>
    <row r="1515" spans="4:11">
      <c r="D1515">
        <f t="shared" ca="1" si="54"/>
        <v>8.3601347111208177</v>
      </c>
      <c r="K1515">
        <f t="shared" ca="1" si="55"/>
        <v>11.726144001020884</v>
      </c>
    </row>
    <row r="1516" spans="4:11">
      <c r="D1516">
        <f t="shared" ca="1" si="54"/>
        <v>0.20795356438264723</v>
      </c>
      <c r="K1516">
        <f t="shared" ca="1" si="55"/>
        <v>0.56367228594137897</v>
      </c>
    </row>
    <row r="1517" spans="4:11">
      <c r="D1517">
        <f t="shared" ca="1" si="54"/>
        <v>4.3926744809672353</v>
      </c>
      <c r="K1517">
        <f t="shared" ca="1" si="55"/>
        <v>2.5345666080508263E-2</v>
      </c>
    </row>
    <row r="1518" spans="4:11">
      <c r="D1518">
        <f t="shared" ca="1" si="54"/>
        <v>3.1191705824716118</v>
      </c>
      <c r="K1518">
        <f t="shared" ca="1" si="55"/>
        <v>3.0494722612600835</v>
      </c>
    </row>
    <row r="1519" spans="4:11">
      <c r="D1519">
        <f t="shared" ca="1" si="54"/>
        <v>10.438665601358949</v>
      </c>
      <c r="K1519">
        <f t="shared" ca="1" si="55"/>
        <v>7.0441998304315273E-2</v>
      </c>
    </row>
    <row r="1520" spans="4:11">
      <c r="D1520">
        <f t="shared" ca="1" si="54"/>
        <v>10.774747452865249</v>
      </c>
      <c r="K1520">
        <f t="shared" ca="1" si="55"/>
        <v>1.8547780422595515</v>
      </c>
    </row>
    <row r="1521" spans="4:11">
      <c r="D1521">
        <f t="shared" ca="1" si="54"/>
        <v>3.6237581541580512</v>
      </c>
      <c r="K1521">
        <f t="shared" ca="1" si="55"/>
        <v>1.4492730976279078</v>
      </c>
    </row>
    <row r="1522" spans="4:11">
      <c r="D1522">
        <f t="shared" ca="1" si="54"/>
        <v>0.95987782465229321</v>
      </c>
      <c r="K1522">
        <f t="shared" ca="1" si="55"/>
        <v>0.38122022852192583</v>
      </c>
    </row>
    <row r="1523" spans="4:11">
      <c r="D1523">
        <f t="shared" ca="1" si="54"/>
        <v>4.4670743824625436E-2</v>
      </c>
      <c r="K1523">
        <f t="shared" ca="1" si="55"/>
        <v>0.70280971134029535</v>
      </c>
    </row>
    <row r="1524" spans="4:11">
      <c r="D1524">
        <f t="shared" ca="1" si="54"/>
        <v>1.0701679371583221</v>
      </c>
      <c r="K1524">
        <f t="shared" ca="1" si="55"/>
        <v>2.0263724191808388</v>
      </c>
    </row>
    <row r="1525" spans="4:11">
      <c r="D1525">
        <f t="shared" ca="1" si="54"/>
        <v>1.3758201968923545</v>
      </c>
      <c r="K1525">
        <f t="shared" ca="1" si="55"/>
        <v>0.26317111481145317</v>
      </c>
    </row>
    <row r="1526" spans="4:11">
      <c r="D1526">
        <f t="shared" ca="1" si="54"/>
        <v>8.9632680388202637</v>
      </c>
      <c r="K1526">
        <f t="shared" ca="1" si="55"/>
        <v>2.2523678940427185</v>
      </c>
    </row>
    <row r="1527" spans="4:11">
      <c r="D1527">
        <f t="shared" ca="1" si="54"/>
        <v>2.3537213899309535</v>
      </c>
      <c r="K1527">
        <f t="shared" ca="1" si="55"/>
        <v>0.64785576278362922</v>
      </c>
    </row>
    <row r="1528" spans="4:11">
      <c r="D1528">
        <f t="shared" ca="1" si="54"/>
        <v>3.4870596183032463</v>
      </c>
      <c r="K1528">
        <f t="shared" ca="1" si="55"/>
        <v>1.6354012199504679</v>
      </c>
    </row>
    <row r="1529" spans="4:11">
      <c r="D1529">
        <f t="shared" ca="1" si="54"/>
        <v>3.4507766191355899E-2</v>
      </c>
      <c r="K1529">
        <f t="shared" ca="1" si="55"/>
        <v>5.5959182291598264</v>
      </c>
    </row>
    <row r="1530" spans="4:11">
      <c r="D1530">
        <f t="shared" ca="1" si="54"/>
        <v>2.5778561098641095</v>
      </c>
      <c r="K1530">
        <f t="shared" ca="1" si="55"/>
        <v>6.0415361491930657</v>
      </c>
    </row>
    <row r="1531" spans="4:11">
      <c r="D1531">
        <f t="shared" ca="1" si="54"/>
        <v>2.4876227624934915</v>
      </c>
      <c r="K1531">
        <f t="shared" ca="1" si="55"/>
        <v>2.312182793231071</v>
      </c>
    </row>
    <row r="1532" spans="4:11">
      <c r="D1532">
        <f t="shared" ca="1" si="54"/>
        <v>1.3970385430092835</v>
      </c>
      <c r="K1532">
        <f t="shared" ca="1" si="55"/>
        <v>4.3723741278300441</v>
      </c>
    </row>
    <row r="1533" spans="4:11">
      <c r="D1533">
        <f t="shared" ca="1" si="54"/>
        <v>2.6827205193429471</v>
      </c>
      <c r="K1533">
        <f t="shared" ca="1" si="55"/>
        <v>0.10376957305708795</v>
      </c>
    </row>
    <row r="1534" spans="4:11">
      <c r="D1534">
        <f t="shared" ca="1" si="54"/>
        <v>3.7108357494576332</v>
      </c>
      <c r="K1534">
        <f t="shared" ca="1" si="55"/>
        <v>0.80774596793954934</v>
      </c>
    </row>
    <row r="1535" spans="4:11">
      <c r="D1535">
        <f t="shared" ca="1" si="54"/>
        <v>14.24057216684205</v>
      </c>
      <c r="K1535">
        <f t="shared" ca="1" si="55"/>
        <v>2.0115983388666185</v>
      </c>
    </row>
    <row r="1536" spans="4:11">
      <c r="D1536">
        <f t="shared" ca="1" si="54"/>
        <v>1.6447151781694966</v>
      </c>
      <c r="K1536">
        <f t="shared" ca="1" si="55"/>
        <v>0.35371168377889239</v>
      </c>
    </row>
    <row r="1537" spans="4:11">
      <c r="D1537">
        <f t="shared" ca="1" si="54"/>
        <v>5.2077229855046419</v>
      </c>
      <c r="K1537">
        <f t="shared" ca="1" si="55"/>
        <v>1.9663422433533331</v>
      </c>
    </row>
    <row r="1538" spans="4:11">
      <c r="D1538">
        <f t="shared" ref="D1538:D1601" ca="1" si="56">GAMMAINV(RAND(),$A$2,$B$2)</f>
        <v>1.1469483958505893</v>
      </c>
      <c r="K1538">
        <f t="shared" ref="K1538:K1601" ca="1" si="57">GAMMAINV(RAND(),$H$2,$I$2)</f>
        <v>1.4194297757948195</v>
      </c>
    </row>
    <row r="1539" spans="4:11">
      <c r="D1539">
        <f t="shared" ca="1" si="56"/>
        <v>0.83753389645290022</v>
      </c>
      <c r="K1539">
        <f t="shared" ca="1" si="57"/>
        <v>1.906990224958339</v>
      </c>
    </row>
    <row r="1540" spans="4:11">
      <c r="D1540">
        <f t="shared" ca="1" si="56"/>
        <v>8.2996674589378117</v>
      </c>
      <c r="K1540">
        <f t="shared" ca="1" si="57"/>
        <v>2.0884960475431118</v>
      </c>
    </row>
    <row r="1541" spans="4:11">
      <c r="D1541">
        <f t="shared" ca="1" si="56"/>
        <v>0.16180758721644301</v>
      </c>
      <c r="K1541">
        <f t="shared" ca="1" si="57"/>
        <v>0.20631483681763313</v>
      </c>
    </row>
    <row r="1542" spans="4:11">
      <c r="D1542">
        <f t="shared" ca="1" si="56"/>
        <v>6.464990656299495</v>
      </c>
      <c r="K1542">
        <f t="shared" ca="1" si="57"/>
        <v>4.2753470383275811</v>
      </c>
    </row>
    <row r="1543" spans="4:11">
      <c r="D1543">
        <f t="shared" ca="1" si="56"/>
        <v>1.668855585948875</v>
      </c>
      <c r="K1543">
        <f t="shared" ca="1" si="57"/>
        <v>3.60707878582416</v>
      </c>
    </row>
    <row r="1544" spans="4:11">
      <c r="D1544">
        <f t="shared" ca="1" si="56"/>
        <v>4.5669903843625814</v>
      </c>
      <c r="K1544">
        <f t="shared" ca="1" si="57"/>
        <v>6.346632051894871E-2</v>
      </c>
    </row>
    <row r="1545" spans="4:11">
      <c r="D1545">
        <f t="shared" ca="1" si="56"/>
        <v>10.067296205011413</v>
      </c>
      <c r="K1545">
        <f t="shared" ca="1" si="57"/>
        <v>8.1538537601482358E-2</v>
      </c>
    </row>
    <row r="1546" spans="4:11">
      <c r="D1546">
        <f t="shared" ca="1" si="56"/>
        <v>2.4084104503934967</v>
      </c>
      <c r="K1546">
        <f t="shared" ca="1" si="57"/>
        <v>4.3550206168987735</v>
      </c>
    </row>
    <row r="1547" spans="4:11">
      <c r="D1547">
        <f t="shared" ca="1" si="56"/>
        <v>19.588084287803483</v>
      </c>
      <c r="K1547">
        <f t="shared" ca="1" si="57"/>
        <v>2.1240089793313954</v>
      </c>
    </row>
    <row r="1548" spans="4:11">
      <c r="D1548">
        <f t="shared" ca="1" si="56"/>
        <v>4.8819522747409042E-2</v>
      </c>
      <c r="K1548">
        <f t="shared" ca="1" si="57"/>
        <v>9.5813451212020517</v>
      </c>
    </row>
    <row r="1549" spans="4:11">
      <c r="D1549">
        <f t="shared" ca="1" si="56"/>
        <v>7.576714484228896</v>
      </c>
      <c r="K1549">
        <f t="shared" ca="1" si="57"/>
        <v>0.69703523089730091</v>
      </c>
    </row>
    <row r="1550" spans="4:11">
      <c r="D1550">
        <f t="shared" ca="1" si="56"/>
        <v>8.1304776273316968</v>
      </c>
      <c r="K1550">
        <f t="shared" ca="1" si="57"/>
        <v>2.6072268735561019</v>
      </c>
    </row>
    <row r="1551" spans="4:11">
      <c r="D1551">
        <f t="shared" ca="1" si="56"/>
        <v>1.0806988355915195</v>
      </c>
      <c r="K1551">
        <f t="shared" ca="1" si="57"/>
        <v>0.13303798415429724</v>
      </c>
    </row>
    <row r="1552" spans="4:11">
      <c r="D1552">
        <f t="shared" ca="1" si="56"/>
        <v>1.3994430234776658</v>
      </c>
      <c r="K1552">
        <f t="shared" ca="1" si="57"/>
        <v>5.2925263176984816E-2</v>
      </c>
    </row>
    <row r="1553" spans="4:11">
      <c r="D1553">
        <f t="shared" ca="1" si="56"/>
        <v>12.635597785263958</v>
      </c>
      <c r="K1553">
        <f t="shared" ca="1" si="57"/>
        <v>0.1202840622144023</v>
      </c>
    </row>
    <row r="1554" spans="4:11">
      <c r="D1554">
        <f t="shared" ca="1" si="56"/>
        <v>0.83790290445871496</v>
      </c>
      <c r="K1554">
        <f t="shared" ca="1" si="57"/>
        <v>2.719478266297048</v>
      </c>
    </row>
    <row r="1555" spans="4:11">
      <c r="D1555">
        <f t="shared" ca="1" si="56"/>
        <v>0.58487978942309549</v>
      </c>
      <c r="K1555">
        <f t="shared" ca="1" si="57"/>
        <v>0.44524806517537108</v>
      </c>
    </row>
    <row r="1556" spans="4:11">
      <c r="D1556">
        <f t="shared" ca="1" si="56"/>
        <v>30.996803836493193</v>
      </c>
      <c r="K1556">
        <f t="shared" ca="1" si="57"/>
        <v>0.55075988190467196</v>
      </c>
    </row>
    <row r="1557" spans="4:11">
      <c r="D1557">
        <f t="shared" ca="1" si="56"/>
        <v>2.5194286768726677</v>
      </c>
      <c r="K1557">
        <f t="shared" ca="1" si="57"/>
        <v>0.90112200503675477</v>
      </c>
    </row>
    <row r="1558" spans="4:11">
      <c r="D1558">
        <f t="shared" ca="1" si="56"/>
        <v>0.68780151520489219</v>
      </c>
      <c r="K1558">
        <f t="shared" ca="1" si="57"/>
        <v>0.68916092075323476</v>
      </c>
    </row>
    <row r="1559" spans="4:11">
      <c r="D1559">
        <f t="shared" ca="1" si="56"/>
        <v>6.5494460346075414</v>
      </c>
      <c r="K1559">
        <f t="shared" ca="1" si="57"/>
        <v>0.42811957497188091</v>
      </c>
    </row>
    <row r="1560" spans="4:11">
      <c r="D1560">
        <f t="shared" ca="1" si="56"/>
        <v>28.071485921911204</v>
      </c>
      <c r="K1560">
        <f t="shared" ca="1" si="57"/>
        <v>1.5351967512984315</v>
      </c>
    </row>
    <row r="1561" spans="4:11">
      <c r="D1561">
        <f t="shared" ca="1" si="56"/>
        <v>7.4614562622751102</v>
      </c>
      <c r="K1561">
        <f t="shared" ca="1" si="57"/>
        <v>1.5427811013746568</v>
      </c>
    </row>
    <row r="1562" spans="4:11">
      <c r="D1562">
        <f t="shared" ca="1" si="56"/>
        <v>7.0143666828670277</v>
      </c>
      <c r="K1562">
        <f t="shared" ca="1" si="57"/>
        <v>6.8621396171291771</v>
      </c>
    </row>
    <row r="1563" spans="4:11">
      <c r="D1563">
        <f t="shared" ca="1" si="56"/>
        <v>0.36085429165796512</v>
      </c>
      <c r="K1563">
        <f t="shared" ca="1" si="57"/>
        <v>1.6564337577654755</v>
      </c>
    </row>
    <row r="1564" spans="4:11">
      <c r="D1564">
        <f t="shared" ca="1" si="56"/>
        <v>6.7786947259350825</v>
      </c>
      <c r="K1564">
        <f t="shared" ca="1" si="57"/>
        <v>4.4352169367034087</v>
      </c>
    </row>
    <row r="1565" spans="4:11">
      <c r="D1565">
        <f t="shared" ca="1" si="56"/>
        <v>5.3328660003575852</v>
      </c>
      <c r="K1565">
        <f t="shared" ca="1" si="57"/>
        <v>0.30533497067063819</v>
      </c>
    </row>
    <row r="1566" spans="4:11">
      <c r="D1566">
        <f t="shared" ca="1" si="56"/>
        <v>3.2435326089634549</v>
      </c>
      <c r="K1566">
        <f t="shared" ca="1" si="57"/>
        <v>5.6664369844695148</v>
      </c>
    </row>
    <row r="1567" spans="4:11">
      <c r="D1567">
        <f t="shared" ca="1" si="56"/>
        <v>5.8435512355402341</v>
      </c>
      <c r="K1567">
        <f t="shared" ca="1" si="57"/>
        <v>1.5977141489232087</v>
      </c>
    </row>
    <row r="1568" spans="4:11">
      <c r="D1568">
        <f t="shared" ca="1" si="56"/>
        <v>0.67600526991498966</v>
      </c>
      <c r="K1568">
        <f t="shared" ca="1" si="57"/>
        <v>1.4361727008665643</v>
      </c>
    </row>
    <row r="1569" spans="4:11">
      <c r="D1569">
        <f t="shared" ca="1" si="56"/>
        <v>3.0474699412007196</v>
      </c>
      <c r="K1569">
        <f t="shared" ca="1" si="57"/>
        <v>6.210038801562785</v>
      </c>
    </row>
    <row r="1570" spans="4:11">
      <c r="D1570">
        <f t="shared" ca="1" si="56"/>
        <v>1.9141711194079254</v>
      </c>
      <c r="K1570">
        <f t="shared" ca="1" si="57"/>
        <v>3.0487623768297079</v>
      </c>
    </row>
    <row r="1571" spans="4:11">
      <c r="D1571">
        <f t="shared" ca="1" si="56"/>
        <v>0.93642238104381614</v>
      </c>
      <c r="K1571">
        <f t="shared" ca="1" si="57"/>
        <v>0.88762598909949575</v>
      </c>
    </row>
    <row r="1572" spans="4:11">
      <c r="D1572">
        <f t="shared" ca="1" si="56"/>
        <v>2.3742286766661413</v>
      </c>
      <c r="K1572">
        <f t="shared" ca="1" si="57"/>
        <v>1.5046981635423942</v>
      </c>
    </row>
    <row r="1573" spans="4:11">
      <c r="D1573">
        <f t="shared" ca="1" si="56"/>
        <v>2.5174052982247526</v>
      </c>
      <c r="K1573">
        <f t="shared" ca="1" si="57"/>
        <v>1.6705836176270124</v>
      </c>
    </row>
    <row r="1574" spans="4:11">
      <c r="D1574">
        <f t="shared" ca="1" si="56"/>
        <v>5.0601388705576298</v>
      </c>
      <c r="K1574">
        <f t="shared" ca="1" si="57"/>
        <v>9.9668333596787201E-2</v>
      </c>
    </row>
    <row r="1575" spans="4:11">
      <c r="D1575">
        <f t="shared" ca="1" si="56"/>
        <v>3.3346419188016965</v>
      </c>
      <c r="K1575">
        <f t="shared" ca="1" si="57"/>
        <v>1.7355724717311904</v>
      </c>
    </row>
    <row r="1576" spans="4:11">
      <c r="D1576">
        <f t="shared" ca="1" si="56"/>
        <v>2.1111840014325685</v>
      </c>
      <c r="K1576">
        <f t="shared" ca="1" si="57"/>
        <v>1.5715125139574475</v>
      </c>
    </row>
    <row r="1577" spans="4:11">
      <c r="D1577">
        <f t="shared" ca="1" si="56"/>
        <v>2.8200967887430064</v>
      </c>
      <c r="K1577">
        <f t="shared" ca="1" si="57"/>
        <v>2.8101176043823815</v>
      </c>
    </row>
    <row r="1578" spans="4:11">
      <c r="D1578">
        <f t="shared" ca="1" si="56"/>
        <v>26.162002233705536</v>
      </c>
      <c r="K1578">
        <f t="shared" ca="1" si="57"/>
        <v>0.64925803033183405</v>
      </c>
    </row>
    <row r="1579" spans="4:11">
      <c r="D1579">
        <f t="shared" ca="1" si="56"/>
        <v>2.4933965889139937</v>
      </c>
      <c r="K1579">
        <f t="shared" ca="1" si="57"/>
        <v>6.6412335059239519E-2</v>
      </c>
    </row>
    <row r="1580" spans="4:11">
      <c r="D1580">
        <f t="shared" ca="1" si="56"/>
        <v>15.031404796615135</v>
      </c>
      <c r="K1580">
        <f t="shared" ca="1" si="57"/>
        <v>0.21760024035095971</v>
      </c>
    </row>
    <row r="1581" spans="4:11">
      <c r="D1581">
        <f t="shared" ca="1" si="56"/>
        <v>0.40632299296962182</v>
      </c>
      <c r="K1581">
        <f t="shared" ca="1" si="57"/>
        <v>0.89860360084551316</v>
      </c>
    </row>
    <row r="1582" spans="4:11">
      <c r="D1582">
        <f t="shared" ca="1" si="56"/>
        <v>7.2012009636188612</v>
      </c>
      <c r="K1582">
        <f t="shared" ca="1" si="57"/>
        <v>0.68398037262351719</v>
      </c>
    </row>
    <row r="1583" spans="4:11">
      <c r="D1583">
        <f t="shared" ca="1" si="56"/>
        <v>7.1474725940901269</v>
      </c>
      <c r="K1583">
        <f t="shared" ca="1" si="57"/>
        <v>2.4196301081282421</v>
      </c>
    </row>
    <row r="1584" spans="4:11">
      <c r="D1584">
        <f t="shared" ca="1" si="56"/>
        <v>3.6527464511314429</v>
      </c>
      <c r="K1584">
        <f t="shared" ca="1" si="57"/>
        <v>0.49120613442571226</v>
      </c>
    </row>
    <row r="1585" spans="4:11">
      <c r="D1585">
        <f t="shared" ca="1" si="56"/>
        <v>0.54078819908487374</v>
      </c>
      <c r="K1585">
        <f t="shared" ca="1" si="57"/>
        <v>0.22784192409294296</v>
      </c>
    </row>
    <row r="1586" spans="4:11">
      <c r="D1586">
        <f t="shared" ca="1" si="56"/>
        <v>0.28947728575742682</v>
      </c>
      <c r="K1586">
        <f t="shared" ca="1" si="57"/>
        <v>2.6605662082371406</v>
      </c>
    </row>
    <row r="1587" spans="4:11">
      <c r="D1587">
        <f t="shared" ca="1" si="56"/>
        <v>2.0538196791713332</v>
      </c>
      <c r="K1587">
        <f t="shared" ca="1" si="57"/>
        <v>1.7263460838244629</v>
      </c>
    </row>
    <row r="1588" spans="4:11">
      <c r="D1588">
        <f t="shared" ca="1" si="56"/>
        <v>12.996510978299469</v>
      </c>
      <c r="K1588">
        <f t="shared" ca="1" si="57"/>
        <v>5.2915081813893945</v>
      </c>
    </row>
    <row r="1589" spans="4:11">
      <c r="D1589">
        <f t="shared" ca="1" si="56"/>
        <v>2.2395015237395564</v>
      </c>
      <c r="K1589">
        <f t="shared" ca="1" si="57"/>
        <v>0.26539339063082568</v>
      </c>
    </row>
    <row r="1590" spans="4:11">
      <c r="D1590">
        <f t="shared" ca="1" si="56"/>
        <v>4.947576796692184</v>
      </c>
      <c r="K1590">
        <f t="shared" ca="1" si="57"/>
        <v>1.2831769446057955</v>
      </c>
    </row>
    <row r="1591" spans="4:11">
      <c r="D1591">
        <f t="shared" ca="1" si="56"/>
        <v>0.20738902155604816</v>
      </c>
      <c r="K1591">
        <f t="shared" ca="1" si="57"/>
        <v>2.238814608776436</v>
      </c>
    </row>
    <row r="1592" spans="4:11">
      <c r="D1592">
        <f t="shared" ca="1" si="56"/>
        <v>2.7537679574956684</v>
      </c>
      <c r="K1592">
        <f t="shared" ca="1" si="57"/>
        <v>0.23412443007537537</v>
      </c>
    </row>
    <row r="1593" spans="4:11">
      <c r="D1593">
        <f t="shared" ca="1" si="56"/>
        <v>11.869787963206374</v>
      </c>
      <c r="K1593">
        <f t="shared" ca="1" si="57"/>
        <v>1.0125675094523245</v>
      </c>
    </row>
    <row r="1594" spans="4:11">
      <c r="D1594">
        <f t="shared" ca="1" si="56"/>
        <v>7.1444231137058853</v>
      </c>
      <c r="K1594">
        <f t="shared" ca="1" si="57"/>
        <v>1.7365937793335009</v>
      </c>
    </row>
    <row r="1595" spans="4:11">
      <c r="D1595">
        <f t="shared" ca="1" si="56"/>
        <v>13.916712187108725</v>
      </c>
      <c r="K1595">
        <f t="shared" ca="1" si="57"/>
        <v>3.7234714778483227</v>
      </c>
    </row>
    <row r="1596" spans="4:11">
      <c r="D1596">
        <f t="shared" ca="1" si="56"/>
        <v>3.8385674457347099</v>
      </c>
      <c r="K1596">
        <f t="shared" ca="1" si="57"/>
        <v>1.747634169452974</v>
      </c>
    </row>
    <row r="1597" spans="4:11">
      <c r="D1597">
        <f t="shared" ca="1" si="56"/>
        <v>4.0328114139955851</v>
      </c>
      <c r="K1597">
        <f t="shared" ca="1" si="57"/>
        <v>2.8886843738949413</v>
      </c>
    </row>
    <row r="1598" spans="4:11">
      <c r="D1598">
        <f t="shared" ca="1" si="56"/>
        <v>1.9119168923720458</v>
      </c>
      <c r="K1598">
        <f t="shared" ca="1" si="57"/>
        <v>1.3109545175590722</v>
      </c>
    </row>
    <row r="1599" spans="4:11">
      <c r="D1599">
        <f t="shared" ca="1" si="56"/>
        <v>6.3758035125946009</v>
      </c>
      <c r="K1599">
        <f t="shared" ca="1" si="57"/>
        <v>0.12910975624459026</v>
      </c>
    </row>
    <row r="1600" spans="4:11">
      <c r="D1600">
        <f t="shared" ca="1" si="56"/>
        <v>3.661896417462393E-2</v>
      </c>
      <c r="K1600">
        <f t="shared" ca="1" si="57"/>
        <v>2.329088815688098</v>
      </c>
    </row>
    <row r="1601" spans="4:11">
      <c r="D1601">
        <f t="shared" ca="1" si="56"/>
        <v>26.018147565055941</v>
      </c>
      <c r="K1601">
        <f t="shared" ca="1" si="57"/>
        <v>0.47900554389718186</v>
      </c>
    </row>
    <row r="1602" spans="4:11">
      <c r="D1602">
        <f t="shared" ref="D1602:D1665" ca="1" si="58">GAMMAINV(RAND(),$A$2,$B$2)</f>
        <v>13.838899888108021</v>
      </c>
      <c r="K1602">
        <f t="shared" ref="K1602:K1665" ca="1" si="59">GAMMAINV(RAND(),$H$2,$I$2)</f>
        <v>1.7652564862028171</v>
      </c>
    </row>
    <row r="1603" spans="4:11">
      <c r="D1603">
        <f t="shared" ca="1" si="58"/>
        <v>5.8900967943313051E-2</v>
      </c>
      <c r="K1603">
        <f t="shared" ca="1" si="59"/>
        <v>4.0110303719115556</v>
      </c>
    </row>
    <row r="1604" spans="4:11">
      <c r="D1604">
        <f t="shared" ca="1" si="58"/>
        <v>5.8364088618638821</v>
      </c>
      <c r="K1604">
        <f t="shared" ca="1" si="59"/>
        <v>2.9024366376354544E-3</v>
      </c>
    </row>
    <row r="1605" spans="4:11">
      <c r="D1605">
        <f t="shared" ca="1" si="58"/>
        <v>2.2191006797402739</v>
      </c>
      <c r="K1605">
        <f t="shared" ca="1" si="59"/>
        <v>2.6174350292753603</v>
      </c>
    </row>
    <row r="1606" spans="4:11">
      <c r="D1606">
        <f t="shared" ca="1" si="58"/>
        <v>7.8586053157988118</v>
      </c>
      <c r="K1606">
        <f t="shared" ca="1" si="59"/>
        <v>1.1314165690352396</v>
      </c>
    </row>
    <row r="1607" spans="4:11">
      <c r="D1607">
        <f t="shared" ca="1" si="58"/>
        <v>0.71241442059945537</v>
      </c>
      <c r="K1607">
        <f t="shared" ca="1" si="59"/>
        <v>0.47308331579851259</v>
      </c>
    </row>
    <row r="1608" spans="4:11">
      <c r="D1608">
        <f t="shared" ca="1" si="58"/>
        <v>0.43514525237497781</v>
      </c>
      <c r="K1608">
        <f t="shared" ca="1" si="59"/>
        <v>1.7809487756466891</v>
      </c>
    </row>
    <row r="1609" spans="4:11">
      <c r="D1609">
        <f t="shared" ca="1" si="58"/>
        <v>4.1060485319574749</v>
      </c>
      <c r="K1609">
        <f t="shared" ca="1" si="59"/>
        <v>1.4446699287434028</v>
      </c>
    </row>
    <row r="1610" spans="4:11">
      <c r="D1610">
        <f t="shared" ca="1" si="58"/>
        <v>0.56214889674723634</v>
      </c>
      <c r="K1610">
        <f t="shared" ca="1" si="59"/>
        <v>5.7291454374165323</v>
      </c>
    </row>
    <row r="1611" spans="4:11">
      <c r="D1611">
        <f t="shared" ca="1" si="58"/>
        <v>7.0610773257966972</v>
      </c>
      <c r="K1611">
        <f t="shared" ca="1" si="59"/>
        <v>1.1302529980473723</v>
      </c>
    </row>
    <row r="1612" spans="4:11">
      <c r="D1612">
        <f t="shared" ca="1" si="58"/>
        <v>0.97357027549291963</v>
      </c>
      <c r="K1612">
        <f t="shared" ca="1" si="59"/>
        <v>6.403868968992919E-3</v>
      </c>
    </row>
    <row r="1613" spans="4:11">
      <c r="D1613">
        <f t="shared" ca="1" si="58"/>
        <v>2.1842439284084181</v>
      </c>
      <c r="K1613">
        <f t="shared" ca="1" si="59"/>
        <v>1.0540577345575723</v>
      </c>
    </row>
    <row r="1614" spans="4:11">
      <c r="D1614">
        <f t="shared" ca="1" si="58"/>
        <v>4.8251071998516792</v>
      </c>
      <c r="K1614">
        <f t="shared" ca="1" si="59"/>
        <v>0.79428931634360489</v>
      </c>
    </row>
    <row r="1615" spans="4:11">
      <c r="D1615">
        <f t="shared" ca="1" si="58"/>
        <v>6.1653706084238138</v>
      </c>
      <c r="K1615">
        <f t="shared" ca="1" si="59"/>
        <v>1.879686217166606</v>
      </c>
    </row>
    <row r="1616" spans="4:11">
      <c r="D1616">
        <f t="shared" ca="1" si="58"/>
        <v>7.675070264500615</v>
      </c>
      <c r="K1616">
        <f t="shared" ca="1" si="59"/>
        <v>3.0118607162053976</v>
      </c>
    </row>
    <row r="1617" spans="4:11">
      <c r="D1617">
        <f t="shared" ca="1" si="58"/>
        <v>2.660005038690981</v>
      </c>
      <c r="K1617">
        <f t="shared" ca="1" si="59"/>
        <v>1.5276848365129783</v>
      </c>
    </row>
    <row r="1618" spans="4:11">
      <c r="D1618">
        <f t="shared" ca="1" si="58"/>
        <v>1.8405974215887073</v>
      </c>
      <c r="K1618">
        <f t="shared" ca="1" si="59"/>
        <v>0.49554885487772704</v>
      </c>
    </row>
    <row r="1619" spans="4:11">
      <c r="D1619">
        <f t="shared" ca="1" si="58"/>
        <v>0.40816427256286592</v>
      </c>
      <c r="K1619">
        <f t="shared" ca="1" si="59"/>
        <v>3.0742421069435908</v>
      </c>
    </row>
    <row r="1620" spans="4:11">
      <c r="D1620">
        <f t="shared" ca="1" si="58"/>
        <v>0.17771076639644384</v>
      </c>
      <c r="K1620">
        <f t="shared" ca="1" si="59"/>
        <v>1.988046348366908</v>
      </c>
    </row>
    <row r="1621" spans="4:11">
      <c r="D1621">
        <f t="shared" ca="1" si="58"/>
        <v>8.2476219537629483</v>
      </c>
      <c r="K1621">
        <f t="shared" ca="1" si="59"/>
        <v>3.1255853874047839</v>
      </c>
    </row>
    <row r="1622" spans="4:11">
      <c r="D1622">
        <f t="shared" ca="1" si="58"/>
        <v>0.19902959502116679</v>
      </c>
      <c r="K1622">
        <f t="shared" ca="1" si="59"/>
        <v>6.0901756211637963</v>
      </c>
    </row>
    <row r="1623" spans="4:11">
      <c r="D1623">
        <f t="shared" ca="1" si="58"/>
        <v>6.6327605818399764</v>
      </c>
      <c r="K1623">
        <f t="shared" ca="1" si="59"/>
        <v>8.3339191550437306</v>
      </c>
    </row>
    <row r="1624" spans="4:11">
      <c r="D1624">
        <f t="shared" ca="1" si="58"/>
        <v>3.5578910434599686</v>
      </c>
      <c r="K1624">
        <f t="shared" ca="1" si="59"/>
        <v>2.6235419549705306</v>
      </c>
    </row>
    <row r="1625" spans="4:11">
      <c r="D1625">
        <f t="shared" ca="1" si="58"/>
        <v>1.1583007910832208</v>
      </c>
      <c r="K1625">
        <f t="shared" ca="1" si="59"/>
        <v>1.782561599397321</v>
      </c>
    </row>
    <row r="1626" spans="4:11">
      <c r="D1626">
        <f t="shared" ca="1" si="58"/>
        <v>11.427862625187039</v>
      </c>
      <c r="K1626">
        <f t="shared" ca="1" si="59"/>
        <v>4.3568214380147519E-2</v>
      </c>
    </row>
    <row r="1627" spans="4:11">
      <c r="D1627">
        <f t="shared" ca="1" si="58"/>
        <v>5.1281283927990806</v>
      </c>
      <c r="K1627">
        <f t="shared" ca="1" si="59"/>
        <v>0.59644999359206974</v>
      </c>
    </row>
    <row r="1628" spans="4:11">
      <c r="D1628">
        <f t="shared" ca="1" si="58"/>
        <v>5.4811878785130119</v>
      </c>
      <c r="K1628">
        <f t="shared" ca="1" si="59"/>
        <v>1.6221960580956227</v>
      </c>
    </row>
    <row r="1629" spans="4:11">
      <c r="D1629">
        <f t="shared" ca="1" si="58"/>
        <v>12.894691075902845</v>
      </c>
      <c r="K1629">
        <f t="shared" ca="1" si="59"/>
        <v>1.0489328586325968</v>
      </c>
    </row>
    <row r="1630" spans="4:11">
      <c r="D1630">
        <f t="shared" ca="1" si="58"/>
        <v>8.1403130115701927</v>
      </c>
      <c r="K1630">
        <f t="shared" ca="1" si="59"/>
        <v>3.6319651782267179</v>
      </c>
    </row>
    <row r="1631" spans="4:11">
      <c r="D1631">
        <f t="shared" ca="1" si="58"/>
        <v>6.459920471478739</v>
      </c>
      <c r="K1631">
        <f t="shared" ca="1" si="59"/>
        <v>1.8718611235985927</v>
      </c>
    </row>
    <row r="1632" spans="4:11">
      <c r="D1632">
        <f t="shared" ca="1" si="58"/>
        <v>0.55794045851377549</v>
      </c>
      <c r="K1632">
        <f t="shared" ca="1" si="59"/>
        <v>8.9327316777424564</v>
      </c>
    </row>
    <row r="1633" spans="4:11">
      <c r="D1633">
        <f t="shared" ca="1" si="58"/>
        <v>14.88197045860128</v>
      </c>
      <c r="K1633">
        <f t="shared" ca="1" si="59"/>
        <v>4.370477548885745</v>
      </c>
    </row>
    <row r="1634" spans="4:11">
      <c r="D1634">
        <f t="shared" ca="1" si="58"/>
        <v>0.75352115744703241</v>
      </c>
      <c r="K1634">
        <f t="shared" ca="1" si="59"/>
        <v>5.1708674222201658</v>
      </c>
    </row>
    <row r="1635" spans="4:11">
      <c r="D1635">
        <f t="shared" ca="1" si="58"/>
        <v>2.2853355736819987</v>
      </c>
      <c r="K1635">
        <f t="shared" ca="1" si="59"/>
        <v>5.8572652623215458</v>
      </c>
    </row>
    <row r="1636" spans="4:11">
      <c r="D1636">
        <f t="shared" ca="1" si="58"/>
        <v>0.68962735283718368</v>
      </c>
      <c r="K1636">
        <f t="shared" ca="1" si="59"/>
        <v>2.5415440203594883</v>
      </c>
    </row>
    <row r="1637" spans="4:11">
      <c r="D1637">
        <f t="shared" ca="1" si="58"/>
        <v>4.6269877966250306</v>
      </c>
      <c r="K1637">
        <f t="shared" ca="1" si="59"/>
        <v>7.3276206975753961</v>
      </c>
    </row>
    <row r="1638" spans="4:11">
      <c r="D1638">
        <f t="shared" ca="1" si="58"/>
        <v>10.223912861722095</v>
      </c>
      <c r="K1638">
        <f t="shared" ca="1" si="59"/>
        <v>1.5392508172434525</v>
      </c>
    </row>
    <row r="1639" spans="4:11">
      <c r="D1639">
        <f t="shared" ca="1" si="58"/>
        <v>4.2593752805451697</v>
      </c>
      <c r="K1639">
        <f t="shared" ca="1" si="59"/>
        <v>0.71127843147370329</v>
      </c>
    </row>
    <row r="1640" spans="4:11">
      <c r="D1640">
        <f t="shared" ca="1" si="58"/>
        <v>2.109794212440792</v>
      </c>
      <c r="K1640">
        <f t="shared" ca="1" si="59"/>
        <v>7.4383325811576082</v>
      </c>
    </row>
    <row r="1641" spans="4:11">
      <c r="D1641">
        <f t="shared" ca="1" si="58"/>
        <v>0.27118168429526779</v>
      </c>
      <c r="K1641">
        <f t="shared" ca="1" si="59"/>
        <v>1.8739656763382726</v>
      </c>
    </row>
    <row r="1642" spans="4:11">
      <c r="D1642">
        <f t="shared" ca="1" si="58"/>
        <v>6.7534749307999515</v>
      </c>
      <c r="K1642">
        <f t="shared" ca="1" si="59"/>
        <v>3.2502165128611038E-2</v>
      </c>
    </row>
    <row r="1643" spans="4:11">
      <c r="D1643">
        <f t="shared" ca="1" si="58"/>
        <v>8.3026603398978196</v>
      </c>
      <c r="K1643">
        <f t="shared" ca="1" si="59"/>
        <v>0.39847311135743324</v>
      </c>
    </row>
    <row r="1644" spans="4:11">
      <c r="D1644">
        <f t="shared" ca="1" si="58"/>
        <v>2.2949438180165451</v>
      </c>
      <c r="K1644">
        <f t="shared" ca="1" si="59"/>
        <v>3.896897533137726</v>
      </c>
    </row>
    <row r="1645" spans="4:11">
      <c r="D1645">
        <f t="shared" ca="1" si="58"/>
        <v>9.5217690947773121</v>
      </c>
      <c r="K1645">
        <f t="shared" ca="1" si="59"/>
        <v>2.9507377350477828</v>
      </c>
    </row>
    <row r="1646" spans="4:11">
      <c r="D1646">
        <f t="shared" ca="1" si="58"/>
        <v>0.32566459747641441</v>
      </c>
      <c r="K1646">
        <f t="shared" ca="1" si="59"/>
        <v>1.6619015252296214</v>
      </c>
    </row>
    <row r="1647" spans="4:11">
      <c r="D1647">
        <f t="shared" ca="1" si="58"/>
        <v>0.29050445293629168</v>
      </c>
      <c r="K1647">
        <f t="shared" ca="1" si="59"/>
        <v>0.66463525353489716</v>
      </c>
    </row>
    <row r="1648" spans="4:11">
      <c r="D1648">
        <f t="shared" ca="1" si="58"/>
        <v>12.099433364703568</v>
      </c>
      <c r="K1648">
        <f t="shared" ca="1" si="59"/>
        <v>0.49338965213115948</v>
      </c>
    </row>
    <row r="1649" spans="4:11">
      <c r="D1649">
        <f t="shared" ca="1" si="58"/>
        <v>1.2605632159186135</v>
      </c>
      <c r="K1649">
        <f t="shared" ca="1" si="59"/>
        <v>8.5090772657586982</v>
      </c>
    </row>
    <row r="1650" spans="4:11">
      <c r="D1650">
        <f t="shared" ca="1" si="58"/>
        <v>0.88158168141414239</v>
      </c>
      <c r="K1650">
        <f t="shared" ca="1" si="59"/>
        <v>1.1191534583729768</v>
      </c>
    </row>
    <row r="1651" spans="4:11">
      <c r="D1651">
        <f t="shared" ca="1" si="58"/>
        <v>1.7572528777920726</v>
      </c>
      <c r="K1651">
        <f t="shared" ca="1" si="59"/>
        <v>1.2941989943754826</v>
      </c>
    </row>
    <row r="1652" spans="4:11">
      <c r="D1652">
        <f t="shared" ca="1" si="58"/>
        <v>0.56217819866036112</v>
      </c>
      <c r="K1652">
        <f t="shared" ca="1" si="59"/>
        <v>0.48996371230523361</v>
      </c>
    </row>
    <row r="1653" spans="4:11">
      <c r="D1653">
        <f t="shared" ca="1" si="58"/>
        <v>25.746890510818055</v>
      </c>
      <c r="K1653">
        <f t="shared" ca="1" si="59"/>
        <v>3.8679331884822253E-4</v>
      </c>
    </row>
    <row r="1654" spans="4:11">
      <c r="D1654">
        <f t="shared" ca="1" si="58"/>
        <v>6.9308534147257657</v>
      </c>
      <c r="K1654">
        <f t="shared" ca="1" si="59"/>
        <v>0.79088917110740375</v>
      </c>
    </row>
    <row r="1655" spans="4:11">
      <c r="D1655">
        <f t="shared" ca="1" si="58"/>
        <v>10.714872016993734</v>
      </c>
      <c r="K1655">
        <f t="shared" ca="1" si="59"/>
        <v>2.4562875371829351</v>
      </c>
    </row>
    <row r="1656" spans="4:11">
      <c r="D1656">
        <f t="shared" ca="1" si="58"/>
        <v>8.3333425833518465E-2</v>
      </c>
      <c r="K1656">
        <f t="shared" ca="1" si="59"/>
        <v>0.58030176357313468</v>
      </c>
    </row>
    <row r="1657" spans="4:11">
      <c r="D1657">
        <f t="shared" ca="1" si="58"/>
        <v>0.3952473562365002</v>
      </c>
      <c r="K1657">
        <f t="shared" ca="1" si="59"/>
        <v>0.24054055149378734</v>
      </c>
    </row>
    <row r="1658" spans="4:11">
      <c r="D1658">
        <f t="shared" ca="1" si="58"/>
        <v>4.7400977691230732</v>
      </c>
      <c r="K1658">
        <f t="shared" ca="1" si="59"/>
        <v>9.1074057981554049</v>
      </c>
    </row>
    <row r="1659" spans="4:11">
      <c r="D1659">
        <f t="shared" ca="1" si="58"/>
        <v>8.876898641510131</v>
      </c>
      <c r="K1659">
        <f t="shared" ca="1" si="59"/>
        <v>0.24364770948586628</v>
      </c>
    </row>
    <row r="1660" spans="4:11">
      <c r="D1660">
        <f t="shared" ca="1" si="58"/>
        <v>7.4521122563615823</v>
      </c>
      <c r="K1660">
        <f t="shared" ca="1" si="59"/>
        <v>1.6628688649891759</v>
      </c>
    </row>
    <row r="1661" spans="4:11">
      <c r="D1661">
        <f t="shared" ca="1" si="58"/>
        <v>3.0371377154832109</v>
      </c>
      <c r="K1661">
        <f t="shared" ca="1" si="59"/>
        <v>6.7413204298201988E-3</v>
      </c>
    </row>
    <row r="1662" spans="4:11">
      <c r="D1662">
        <f t="shared" ca="1" si="58"/>
        <v>23.912476303386583</v>
      </c>
      <c r="K1662">
        <f t="shared" ca="1" si="59"/>
        <v>1.2968097322580077</v>
      </c>
    </row>
    <row r="1663" spans="4:11">
      <c r="D1663">
        <f t="shared" ca="1" si="58"/>
        <v>4.0299491725550958</v>
      </c>
      <c r="K1663">
        <f t="shared" ca="1" si="59"/>
        <v>1.4995950276573073</v>
      </c>
    </row>
    <row r="1664" spans="4:11">
      <c r="D1664">
        <f t="shared" ca="1" si="58"/>
        <v>4.1546563116287469</v>
      </c>
      <c r="K1664">
        <f t="shared" ca="1" si="59"/>
        <v>1.2012005163519635E-2</v>
      </c>
    </row>
    <row r="1665" spans="4:11">
      <c r="D1665">
        <f t="shared" ca="1" si="58"/>
        <v>1.4932833648089017</v>
      </c>
      <c r="K1665">
        <f t="shared" ca="1" si="59"/>
        <v>6.4181950657837348</v>
      </c>
    </row>
    <row r="1666" spans="4:11">
      <c r="D1666">
        <f t="shared" ref="D1666:D1729" ca="1" si="60">GAMMAINV(RAND(),$A$2,$B$2)</f>
        <v>7.3996779051897068</v>
      </c>
      <c r="K1666">
        <f t="shared" ref="K1666:K1729" ca="1" si="61">GAMMAINV(RAND(),$H$2,$I$2)</f>
        <v>2.7866548144970995</v>
      </c>
    </row>
    <row r="1667" spans="4:11">
      <c r="D1667">
        <f t="shared" ca="1" si="60"/>
        <v>14.228334386922548</v>
      </c>
      <c r="K1667">
        <f t="shared" ca="1" si="61"/>
        <v>1.9816621203407307</v>
      </c>
    </row>
    <row r="1668" spans="4:11">
      <c r="D1668">
        <f t="shared" ca="1" si="60"/>
        <v>1.7766206381992671</v>
      </c>
      <c r="K1668">
        <f t="shared" ca="1" si="61"/>
        <v>0.27739144832864016</v>
      </c>
    </row>
    <row r="1669" spans="4:11">
      <c r="D1669">
        <f t="shared" ca="1" si="60"/>
        <v>17.818914055012051</v>
      </c>
      <c r="K1669">
        <f t="shared" ca="1" si="61"/>
        <v>0.71860943168706948</v>
      </c>
    </row>
    <row r="1670" spans="4:11">
      <c r="D1670">
        <f t="shared" ca="1" si="60"/>
        <v>1.0470332502304669</v>
      </c>
      <c r="K1670">
        <f t="shared" ca="1" si="61"/>
        <v>2.1493605053975875</v>
      </c>
    </row>
    <row r="1671" spans="4:11">
      <c r="D1671">
        <f t="shared" ca="1" si="60"/>
        <v>1.8145522696298171</v>
      </c>
      <c r="K1671">
        <f t="shared" ca="1" si="61"/>
        <v>3.5513399875938942</v>
      </c>
    </row>
    <row r="1672" spans="4:11">
      <c r="D1672">
        <f t="shared" ca="1" si="60"/>
        <v>10.999379282308389</v>
      </c>
      <c r="K1672">
        <f t="shared" ca="1" si="61"/>
        <v>1.8615733358159177</v>
      </c>
    </row>
    <row r="1673" spans="4:11">
      <c r="D1673">
        <f t="shared" ca="1" si="60"/>
        <v>7.0348457060554583</v>
      </c>
      <c r="K1673">
        <f t="shared" ca="1" si="61"/>
        <v>1.2476577601906809</v>
      </c>
    </row>
    <row r="1674" spans="4:11">
      <c r="D1674">
        <f t="shared" ca="1" si="60"/>
        <v>3.2609298066292531</v>
      </c>
      <c r="K1674">
        <f t="shared" ca="1" si="61"/>
        <v>0.89537067265822334</v>
      </c>
    </row>
    <row r="1675" spans="4:11">
      <c r="D1675">
        <f t="shared" ca="1" si="60"/>
        <v>9.976543937438386</v>
      </c>
      <c r="K1675">
        <f t="shared" ca="1" si="61"/>
        <v>7.2043399362972345</v>
      </c>
    </row>
    <row r="1676" spans="4:11">
      <c r="D1676">
        <f t="shared" ca="1" si="60"/>
        <v>4.596032501780134E-2</v>
      </c>
      <c r="K1676">
        <f t="shared" ca="1" si="61"/>
        <v>3.1345911607442396</v>
      </c>
    </row>
    <row r="1677" spans="4:11">
      <c r="D1677">
        <f t="shared" ca="1" si="60"/>
        <v>7.9747243110668879</v>
      </c>
      <c r="K1677">
        <f t="shared" ca="1" si="61"/>
        <v>0.41772604291033277</v>
      </c>
    </row>
    <row r="1678" spans="4:11">
      <c r="D1678">
        <f t="shared" ca="1" si="60"/>
        <v>2.1852609093737039</v>
      </c>
      <c r="K1678">
        <f t="shared" ca="1" si="61"/>
        <v>0.52960381358816977</v>
      </c>
    </row>
    <row r="1679" spans="4:11">
      <c r="D1679">
        <f t="shared" ca="1" si="60"/>
        <v>3.1634001376500587</v>
      </c>
      <c r="K1679">
        <f t="shared" ca="1" si="61"/>
        <v>2.6914766493001361</v>
      </c>
    </row>
    <row r="1680" spans="4:11">
      <c r="D1680">
        <f t="shared" ca="1" si="60"/>
        <v>3.6141177022881674</v>
      </c>
      <c r="K1680">
        <f t="shared" ca="1" si="61"/>
        <v>2.8233495954114352</v>
      </c>
    </row>
    <row r="1681" spans="4:11">
      <c r="D1681">
        <f t="shared" ca="1" si="60"/>
        <v>7.2400667689042919</v>
      </c>
      <c r="K1681">
        <f t="shared" ca="1" si="61"/>
        <v>0.46604418966870675</v>
      </c>
    </row>
    <row r="1682" spans="4:11">
      <c r="D1682">
        <f t="shared" ca="1" si="60"/>
        <v>13.232468969333141</v>
      </c>
      <c r="K1682">
        <f t="shared" ca="1" si="61"/>
        <v>1.2656399933334693E-2</v>
      </c>
    </row>
    <row r="1683" spans="4:11">
      <c r="D1683">
        <f t="shared" ca="1" si="60"/>
        <v>1.0255765987626093</v>
      </c>
      <c r="K1683">
        <f t="shared" ca="1" si="61"/>
        <v>6.880731979826944</v>
      </c>
    </row>
    <row r="1684" spans="4:11">
      <c r="D1684">
        <f t="shared" ca="1" si="60"/>
        <v>4.5988610717003411</v>
      </c>
      <c r="K1684">
        <f t="shared" ca="1" si="61"/>
        <v>3.0720340583153973</v>
      </c>
    </row>
    <row r="1685" spans="4:11">
      <c r="D1685">
        <f t="shared" ca="1" si="60"/>
        <v>21.512862086218391</v>
      </c>
      <c r="K1685">
        <f t="shared" ca="1" si="61"/>
        <v>5.2137279417813662</v>
      </c>
    </row>
    <row r="1686" spans="4:11">
      <c r="D1686">
        <f t="shared" ca="1" si="60"/>
        <v>6.7812464249330606</v>
      </c>
      <c r="K1686">
        <f t="shared" ca="1" si="61"/>
        <v>4.8928604753487495</v>
      </c>
    </row>
    <row r="1687" spans="4:11">
      <c r="D1687">
        <f t="shared" ca="1" si="60"/>
        <v>2.461205846112521</v>
      </c>
      <c r="K1687">
        <f t="shared" ca="1" si="61"/>
        <v>0.19688395263271963</v>
      </c>
    </row>
    <row r="1688" spans="4:11">
      <c r="D1688">
        <f t="shared" ca="1" si="60"/>
        <v>5.7335683644194049</v>
      </c>
      <c r="K1688">
        <f t="shared" ca="1" si="61"/>
        <v>1.4212227781312992</v>
      </c>
    </row>
    <row r="1689" spans="4:11">
      <c r="D1689">
        <f t="shared" ca="1" si="60"/>
        <v>4.5595219734963486</v>
      </c>
      <c r="K1689">
        <f t="shared" ca="1" si="61"/>
        <v>0.99368188034568061</v>
      </c>
    </row>
    <row r="1690" spans="4:11">
      <c r="D1690">
        <f t="shared" ca="1" si="60"/>
        <v>0.99446913692207239</v>
      </c>
      <c r="K1690">
        <f t="shared" ca="1" si="61"/>
        <v>8.1461553178317487</v>
      </c>
    </row>
    <row r="1691" spans="4:11">
      <c r="D1691">
        <f t="shared" ca="1" si="60"/>
        <v>1.0383563793550645</v>
      </c>
      <c r="K1691">
        <f t="shared" ca="1" si="61"/>
        <v>0.49372331569544681</v>
      </c>
    </row>
    <row r="1692" spans="4:11">
      <c r="D1692">
        <f t="shared" ca="1" si="60"/>
        <v>22.134811991525083</v>
      </c>
      <c r="K1692">
        <f t="shared" ca="1" si="61"/>
        <v>0.72796903453244477</v>
      </c>
    </row>
    <row r="1693" spans="4:11">
      <c r="D1693">
        <f t="shared" ca="1" si="60"/>
        <v>0.82355012494448054</v>
      </c>
      <c r="K1693">
        <f t="shared" ca="1" si="61"/>
        <v>0.23414112717041069</v>
      </c>
    </row>
    <row r="1694" spans="4:11">
      <c r="D1694">
        <f t="shared" ca="1" si="60"/>
        <v>0.12641770646378014</v>
      </c>
      <c r="K1694">
        <f t="shared" ca="1" si="61"/>
        <v>1.3668079492758092</v>
      </c>
    </row>
    <row r="1695" spans="4:11">
      <c r="D1695">
        <f t="shared" ca="1" si="60"/>
        <v>11.786191851629468</v>
      </c>
      <c r="K1695">
        <f t="shared" ca="1" si="61"/>
        <v>16.35346910917437</v>
      </c>
    </row>
    <row r="1696" spans="4:11">
      <c r="D1696">
        <f t="shared" ca="1" si="60"/>
        <v>0.76122555307974316</v>
      </c>
      <c r="K1696">
        <f t="shared" ca="1" si="61"/>
        <v>0.41806782141283116</v>
      </c>
    </row>
    <row r="1697" spans="4:11">
      <c r="D1697">
        <f t="shared" ca="1" si="60"/>
        <v>2.7480908897102454</v>
      </c>
      <c r="K1697">
        <f t="shared" ca="1" si="61"/>
        <v>0.18551942508795199</v>
      </c>
    </row>
    <row r="1698" spans="4:11">
      <c r="D1698">
        <f t="shared" ca="1" si="60"/>
        <v>10.197025038569368</v>
      </c>
      <c r="K1698">
        <f t="shared" ca="1" si="61"/>
        <v>2.9387631546455691E-2</v>
      </c>
    </row>
    <row r="1699" spans="4:11">
      <c r="D1699">
        <f t="shared" ca="1" si="60"/>
        <v>2.3819657438415724</v>
      </c>
      <c r="K1699">
        <f t="shared" ca="1" si="61"/>
        <v>0.68715832672928379</v>
      </c>
    </row>
    <row r="1700" spans="4:11">
      <c r="D1700">
        <f t="shared" ca="1" si="60"/>
        <v>2.3113710984457247</v>
      </c>
      <c r="K1700">
        <f t="shared" ca="1" si="61"/>
        <v>3.4451439686105845</v>
      </c>
    </row>
    <row r="1701" spans="4:11">
      <c r="D1701">
        <f t="shared" ca="1" si="60"/>
        <v>9.3694113447349352</v>
      </c>
      <c r="K1701">
        <f t="shared" ca="1" si="61"/>
        <v>1.0208502664166681</v>
      </c>
    </row>
    <row r="1702" spans="4:11">
      <c r="D1702">
        <f t="shared" ca="1" si="60"/>
        <v>8.3316943302852025</v>
      </c>
      <c r="K1702">
        <f t="shared" ca="1" si="61"/>
        <v>0.9467204871572521</v>
      </c>
    </row>
    <row r="1703" spans="4:11">
      <c r="D1703">
        <f t="shared" ca="1" si="60"/>
        <v>14.267506751229543</v>
      </c>
      <c r="K1703">
        <f t="shared" ca="1" si="61"/>
        <v>0.92428025374267664</v>
      </c>
    </row>
    <row r="1704" spans="4:11">
      <c r="D1704">
        <f t="shared" ca="1" si="60"/>
        <v>12.157973833615351</v>
      </c>
      <c r="K1704">
        <f t="shared" ca="1" si="61"/>
        <v>0.71831706943215146</v>
      </c>
    </row>
    <row r="1705" spans="4:11">
      <c r="D1705">
        <f t="shared" ca="1" si="60"/>
        <v>6.3558218115683848E-3</v>
      </c>
      <c r="K1705">
        <f t="shared" ca="1" si="61"/>
        <v>1.475891465948556</v>
      </c>
    </row>
    <row r="1706" spans="4:11">
      <c r="D1706">
        <f t="shared" ca="1" si="60"/>
        <v>21.078076431191441</v>
      </c>
      <c r="K1706">
        <f t="shared" ca="1" si="61"/>
        <v>1.5414999550543382</v>
      </c>
    </row>
    <row r="1707" spans="4:11">
      <c r="D1707">
        <f t="shared" ca="1" si="60"/>
        <v>0.57610949470545836</v>
      </c>
      <c r="K1707">
        <f t="shared" ca="1" si="61"/>
        <v>4.0135753650365338</v>
      </c>
    </row>
    <row r="1708" spans="4:11">
      <c r="D1708">
        <f t="shared" ca="1" si="60"/>
        <v>0.31530731655864774</v>
      </c>
      <c r="K1708">
        <f t="shared" ca="1" si="61"/>
        <v>1.0064631549345884</v>
      </c>
    </row>
    <row r="1709" spans="4:11">
      <c r="D1709">
        <f t="shared" ca="1" si="60"/>
        <v>7.7725507182646769</v>
      </c>
      <c r="K1709">
        <f t="shared" ca="1" si="61"/>
        <v>1.5462307869859266</v>
      </c>
    </row>
    <row r="1710" spans="4:11">
      <c r="D1710">
        <f t="shared" ca="1" si="60"/>
        <v>2.3748946574028107</v>
      </c>
      <c r="K1710">
        <f t="shared" ca="1" si="61"/>
        <v>3.5542996464081318</v>
      </c>
    </row>
    <row r="1711" spans="4:11">
      <c r="D1711">
        <f t="shared" ca="1" si="60"/>
        <v>11.553518931296562</v>
      </c>
      <c r="K1711">
        <f t="shared" ca="1" si="61"/>
        <v>0.30801937955709269</v>
      </c>
    </row>
    <row r="1712" spans="4:11">
      <c r="D1712">
        <f t="shared" ca="1" si="60"/>
        <v>0.18258196337182087</v>
      </c>
      <c r="K1712">
        <f t="shared" ca="1" si="61"/>
        <v>1.0453091549550875</v>
      </c>
    </row>
    <row r="1713" spans="4:11">
      <c r="D1713">
        <f t="shared" ca="1" si="60"/>
        <v>0.11418811422144437</v>
      </c>
      <c r="K1713">
        <f t="shared" ca="1" si="61"/>
        <v>4.5614383752644194</v>
      </c>
    </row>
    <row r="1714" spans="4:11">
      <c r="D1714">
        <f t="shared" ca="1" si="60"/>
        <v>1.2228223552253898</v>
      </c>
      <c r="K1714">
        <f t="shared" ca="1" si="61"/>
        <v>0.69091219570359508</v>
      </c>
    </row>
    <row r="1715" spans="4:11">
      <c r="D1715">
        <f t="shared" ca="1" si="60"/>
        <v>9.2220064281203484</v>
      </c>
      <c r="K1715">
        <f t="shared" ca="1" si="61"/>
        <v>2.308098630273741</v>
      </c>
    </row>
    <row r="1716" spans="4:11">
      <c r="D1716">
        <f t="shared" ca="1" si="60"/>
        <v>0.51503367792689114</v>
      </c>
      <c r="K1716">
        <f t="shared" ca="1" si="61"/>
        <v>3.9770962367025504</v>
      </c>
    </row>
    <row r="1717" spans="4:11">
      <c r="D1717">
        <f t="shared" ca="1" si="60"/>
        <v>0.34028379529998654</v>
      </c>
      <c r="K1717">
        <f t="shared" ca="1" si="61"/>
        <v>0.10336264125993186</v>
      </c>
    </row>
    <row r="1718" spans="4:11">
      <c r="D1718">
        <f t="shared" ca="1" si="60"/>
        <v>8.5316752333389942</v>
      </c>
      <c r="K1718">
        <f t="shared" ca="1" si="61"/>
        <v>1.2911018399493983</v>
      </c>
    </row>
    <row r="1719" spans="4:11">
      <c r="D1719">
        <f t="shared" ca="1" si="60"/>
        <v>4.4483822226723611</v>
      </c>
      <c r="K1719">
        <f t="shared" ca="1" si="61"/>
        <v>0.61121959603847698</v>
      </c>
    </row>
    <row r="1720" spans="4:11">
      <c r="D1720">
        <f t="shared" ca="1" si="60"/>
        <v>9.2575727567645458</v>
      </c>
      <c r="K1720">
        <f t="shared" ca="1" si="61"/>
        <v>3.9769318478832831</v>
      </c>
    </row>
    <row r="1721" spans="4:11">
      <c r="D1721">
        <f t="shared" ca="1" si="60"/>
        <v>6.1327780907668377</v>
      </c>
      <c r="K1721">
        <f t="shared" ca="1" si="61"/>
        <v>7.5122216971832945</v>
      </c>
    </row>
    <row r="1722" spans="4:11">
      <c r="D1722">
        <f t="shared" ca="1" si="60"/>
        <v>3.5569949183540199</v>
      </c>
      <c r="K1722">
        <f t="shared" ca="1" si="61"/>
        <v>4.3368256962116174</v>
      </c>
    </row>
    <row r="1723" spans="4:11">
      <c r="D1723">
        <f t="shared" ca="1" si="60"/>
        <v>23.314491354382369</v>
      </c>
      <c r="K1723">
        <f t="shared" ca="1" si="61"/>
        <v>1.3738496715061896</v>
      </c>
    </row>
    <row r="1724" spans="4:11">
      <c r="D1724">
        <f t="shared" ca="1" si="60"/>
        <v>2.3381130092795681</v>
      </c>
      <c r="K1724">
        <f t="shared" ca="1" si="61"/>
        <v>1.5111943750560139</v>
      </c>
    </row>
    <row r="1725" spans="4:11">
      <c r="D1725">
        <f t="shared" ca="1" si="60"/>
        <v>2.6082605661281235</v>
      </c>
      <c r="K1725">
        <f t="shared" ca="1" si="61"/>
        <v>1.0628110129242025</v>
      </c>
    </row>
    <row r="1726" spans="4:11">
      <c r="D1726">
        <f t="shared" ca="1" si="60"/>
        <v>4.2233625197876918</v>
      </c>
      <c r="K1726">
        <f t="shared" ca="1" si="61"/>
        <v>1.8367726222019587</v>
      </c>
    </row>
    <row r="1727" spans="4:11">
      <c r="D1727">
        <f t="shared" ca="1" si="60"/>
        <v>3.1536731708079353</v>
      </c>
      <c r="K1727">
        <f t="shared" ca="1" si="61"/>
        <v>0.9388677368613052</v>
      </c>
    </row>
    <row r="1728" spans="4:11">
      <c r="D1728">
        <f t="shared" ca="1" si="60"/>
        <v>3.0304742847885722</v>
      </c>
      <c r="K1728">
        <f t="shared" ca="1" si="61"/>
        <v>5.0290348155077957</v>
      </c>
    </row>
    <row r="1729" spans="4:11">
      <c r="D1729">
        <f t="shared" ca="1" si="60"/>
        <v>22.568803797314295</v>
      </c>
      <c r="K1729">
        <f t="shared" ca="1" si="61"/>
        <v>1.666765269103943</v>
      </c>
    </row>
    <row r="1730" spans="4:11">
      <c r="D1730">
        <f t="shared" ref="D1730:D1793" ca="1" si="62">GAMMAINV(RAND(),$A$2,$B$2)</f>
        <v>3.8755432532495053</v>
      </c>
      <c r="K1730">
        <f t="shared" ref="K1730:K1793" ca="1" si="63">GAMMAINV(RAND(),$H$2,$I$2)</f>
        <v>1.5573899732092495E-3</v>
      </c>
    </row>
    <row r="1731" spans="4:11">
      <c r="D1731">
        <f t="shared" ca="1" si="62"/>
        <v>21.682395636888359</v>
      </c>
      <c r="K1731">
        <f t="shared" ca="1" si="63"/>
        <v>1.9223154483808402</v>
      </c>
    </row>
    <row r="1732" spans="4:11">
      <c r="D1732">
        <f t="shared" ca="1" si="62"/>
        <v>4.5184151016555258</v>
      </c>
      <c r="K1732">
        <f t="shared" ca="1" si="63"/>
        <v>0.69594668686604777</v>
      </c>
    </row>
    <row r="1733" spans="4:11">
      <c r="D1733">
        <f t="shared" ca="1" si="62"/>
        <v>12.578731480564507</v>
      </c>
      <c r="K1733">
        <f t="shared" ca="1" si="63"/>
        <v>0.34835668552448795</v>
      </c>
    </row>
    <row r="1734" spans="4:11">
      <c r="D1734">
        <f t="shared" ca="1" si="62"/>
        <v>0.98906860905158456</v>
      </c>
      <c r="K1734">
        <f t="shared" ca="1" si="63"/>
        <v>0.22234691361430509</v>
      </c>
    </row>
    <row r="1735" spans="4:11">
      <c r="D1735">
        <f t="shared" ca="1" si="62"/>
        <v>14.127981177118741</v>
      </c>
      <c r="K1735">
        <f t="shared" ca="1" si="63"/>
        <v>4.8199142097509959</v>
      </c>
    </row>
    <row r="1736" spans="4:11">
      <c r="D1736">
        <f t="shared" ca="1" si="62"/>
        <v>3.7541825337764703</v>
      </c>
      <c r="K1736">
        <f t="shared" ca="1" si="63"/>
        <v>1.1189268333091387</v>
      </c>
    </row>
    <row r="1737" spans="4:11">
      <c r="D1737">
        <f t="shared" ca="1" si="62"/>
        <v>0.97868572113777041</v>
      </c>
      <c r="K1737">
        <f t="shared" ca="1" si="63"/>
        <v>0.85515976714220909</v>
      </c>
    </row>
    <row r="1738" spans="4:11">
      <c r="D1738">
        <f t="shared" ca="1" si="62"/>
        <v>4.7572923147125064</v>
      </c>
      <c r="K1738">
        <f t="shared" ca="1" si="63"/>
        <v>1.331720113683728</v>
      </c>
    </row>
    <row r="1739" spans="4:11">
      <c r="D1739">
        <f t="shared" ca="1" si="62"/>
        <v>12.421977234581675</v>
      </c>
      <c r="K1739">
        <f t="shared" ca="1" si="63"/>
        <v>0.6087428135414148</v>
      </c>
    </row>
    <row r="1740" spans="4:11">
      <c r="D1740">
        <f t="shared" ca="1" si="62"/>
        <v>17.879815171923745</v>
      </c>
      <c r="K1740">
        <f t="shared" ca="1" si="63"/>
        <v>10.418705923892251</v>
      </c>
    </row>
    <row r="1741" spans="4:11">
      <c r="D1741">
        <f t="shared" ca="1" si="62"/>
        <v>0.60853822720067208</v>
      </c>
      <c r="K1741">
        <f t="shared" ca="1" si="63"/>
        <v>1.8874023488360834</v>
      </c>
    </row>
    <row r="1742" spans="4:11">
      <c r="D1742">
        <f t="shared" ca="1" si="62"/>
        <v>0.36153443326082613</v>
      </c>
      <c r="K1742">
        <f t="shared" ca="1" si="63"/>
        <v>2.9955356725578683</v>
      </c>
    </row>
    <row r="1743" spans="4:11">
      <c r="D1743">
        <f t="shared" ca="1" si="62"/>
        <v>8.1039965639475646</v>
      </c>
      <c r="K1743">
        <f t="shared" ca="1" si="63"/>
        <v>0.95462599267635673</v>
      </c>
    </row>
    <row r="1744" spans="4:11">
      <c r="D1744">
        <f t="shared" ca="1" si="62"/>
        <v>0.94169754902528835</v>
      </c>
      <c r="K1744">
        <f t="shared" ca="1" si="63"/>
        <v>0.90561709736774576</v>
      </c>
    </row>
    <row r="1745" spans="4:11">
      <c r="D1745">
        <f t="shared" ca="1" si="62"/>
        <v>25.899092914466912</v>
      </c>
      <c r="K1745">
        <f t="shared" ca="1" si="63"/>
        <v>1.2461972236342471</v>
      </c>
    </row>
    <row r="1746" spans="4:11">
      <c r="D1746">
        <f t="shared" ca="1" si="62"/>
        <v>0.40735798959991232</v>
      </c>
      <c r="K1746">
        <f t="shared" ca="1" si="63"/>
        <v>0.81337762120973212</v>
      </c>
    </row>
    <row r="1747" spans="4:11">
      <c r="D1747">
        <f t="shared" ca="1" si="62"/>
        <v>3.1461273641793399</v>
      </c>
      <c r="K1747">
        <f t="shared" ca="1" si="63"/>
        <v>4.1383710713404582</v>
      </c>
    </row>
    <row r="1748" spans="4:11">
      <c r="D1748">
        <f t="shared" ca="1" si="62"/>
        <v>4.601685324081906</v>
      </c>
      <c r="K1748">
        <f t="shared" ca="1" si="63"/>
        <v>1.8622406782006786</v>
      </c>
    </row>
    <row r="1749" spans="4:11">
      <c r="D1749">
        <f t="shared" ca="1" si="62"/>
        <v>5.0980940014079899</v>
      </c>
      <c r="K1749">
        <f t="shared" ca="1" si="63"/>
        <v>1.7748430563189088</v>
      </c>
    </row>
    <row r="1750" spans="4:11">
      <c r="D1750">
        <f t="shared" ca="1" si="62"/>
        <v>13.756739871189364</v>
      </c>
      <c r="K1750">
        <f t="shared" ca="1" si="63"/>
        <v>1.1519926286942197</v>
      </c>
    </row>
    <row r="1751" spans="4:11">
      <c r="D1751">
        <f t="shared" ca="1" si="62"/>
        <v>2.1497481708673991</v>
      </c>
      <c r="K1751">
        <f t="shared" ca="1" si="63"/>
        <v>3.1771744664562274</v>
      </c>
    </row>
    <row r="1752" spans="4:11">
      <c r="D1752">
        <f t="shared" ca="1" si="62"/>
        <v>6.8324594083558523</v>
      </c>
      <c r="K1752">
        <f t="shared" ca="1" si="63"/>
        <v>3.3109667745471583E-2</v>
      </c>
    </row>
    <row r="1753" spans="4:11">
      <c r="D1753">
        <f t="shared" ca="1" si="62"/>
        <v>1.3409953189056374</v>
      </c>
      <c r="K1753">
        <f t="shared" ca="1" si="63"/>
        <v>0.94266676231290614</v>
      </c>
    </row>
    <row r="1754" spans="4:11">
      <c r="D1754">
        <f t="shared" ca="1" si="62"/>
        <v>6.2928693364397699</v>
      </c>
      <c r="K1754">
        <f t="shared" ca="1" si="63"/>
        <v>0.41942792144236163</v>
      </c>
    </row>
    <row r="1755" spans="4:11">
      <c r="D1755">
        <f t="shared" ca="1" si="62"/>
        <v>2.938511321194424</v>
      </c>
      <c r="K1755">
        <f t="shared" ca="1" si="63"/>
        <v>2.5538680924391368</v>
      </c>
    </row>
    <row r="1756" spans="4:11">
      <c r="D1756">
        <f t="shared" ca="1" si="62"/>
        <v>5.4867819795959001</v>
      </c>
      <c r="K1756">
        <f t="shared" ca="1" si="63"/>
        <v>1.467458077690222</v>
      </c>
    </row>
    <row r="1757" spans="4:11">
      <c r="D1757">
        <f t="shared" ca="1" si="62"/>
        <v>1.9911773024526256</v>
      </c>
      <c r="K1757">
        <f t="shared" ca="1" si="63"/>
        <v>3.8715344074651856</v>
      </c>
    </row>
    <row r="1758" spans="4:11">
      <c r="D1758">
        <f t="shared" ca="1" si="62"/>
        <v>1.5200881729311306</v>
      </c>
      <c r="K1758">
        <f t="shared" ca="1" si="63"/>
        <v>0.24444109569416145</v>
      </c>
    </row>
    <row r="1759" spans="4:11">
      <c r="D1759">
        <f t="shared" ca="1" si="62"/>
        <v>3.294360880597651</v>
      </c>
      <c r="K1759">
        <f t="shared" ca="1" si="63"/>
        <v>8.7325337515104573E-2</v>
      </c>
    </row>
    <row r="1760" spans="4:11">
      <c r="D1760">
        <f t="shared" ca="1" si="62"/>
        <v>0.77822480278987705</v>
      </c>
      <c r="K1760">
        <f t="shared" ca="1" si="63"/>
        <v>0.886163764462508</v>
      </c>
    </row>
    <row r="1761" spans="4:11">
      <c r="D1761">
        <f t="shared" ca="1" si="62"/>
        <v>4.4639033077473975</v>
      </c>
      <c r="K1761">
        <f t="shared" ca="1" si="63"/>
        <v>1.8366564583158631</v>
      </c>
    </row>
    <row r="1762" spans="4:11">
      <c r="D1762">
        <f t="shared" ca="1" si="62"/>
        <v>15.715363685629494</v>
      </c>
      <c r="K1762">
        <f t="shared" ca="1" si="63"/>
        <v>0.8858447907380349</v>
      </c>
    </row>
    <row r="1763" spans="4:11">
      <c r="D1763">
        <f t="shared" ca="1" si="62"/>
        <v>1.6166748246690026</v>
      </c>
      <c r="K1763">
        <f t="shared" ca="1" si="63"/>
        <v>1.0822085258602811E-2</v>
      </c>
    </row>
    <row r="1764" spans="4:11">
      <c r="D1764">
        <f t="shared" ca="1" si="62"/>
        <v>6.1681879958287694E-2</v>
      </c>
      <c r="K1764">
        <f t="shared" ca="1" si="63"/>
        <v>1.1408395439467895</v>
      </c>
    </row>
    <row r="1765" spans="4:11">
      <c r="D1765">
        <f t="shared" ca="1" si="62"/>
        <v>1.5264998966556425</v>
      </c>
      <c r="K1765">
        <f t="shared" ca="1" si="63"/>
        <v>3.3188004983519166</v>
      </c>
    </row>
    <row r="1766" spans="4:11">
      <c r="D1766">
        <f t="shared" ca="1" si="62"/>
        <v>4.3412237903076534</v>
      </c>
      <c r="K1766">
        <f t="shared" ca="1" si="63"/>
        <v>3.1441850792125861</v>
      </c>
    </row>
    <row r="1767" spans="4:11">
      <c r="D1767">
        <f t="shared" ca="1" si="62"/>
        <v>16.212248316204587</v>
      </c>
      <c r="K1767">
        <f t="shared" ca="1" si="63"/>
        <v>1.2491321878330245E-2</v>
      </c>
    </row>
    <row r="1768" spans="4:11">
      <c r="D1768">
        <f t="shared" ca="1" si="62"/>
        <v>11.950366673033724</v>
      </c>
      <c r="K1768">
        <f t="shared" ca="1" si="63"/>
        <v>0.71616017151464684</v>
      </c>
    </row>
    <row r="1769" spans="4:11">
      <c r="D1769">
        <f t="shared" ca="1" si="62"/>
        <v>5.1661047285993416</v>
      </c>
      <c r="K1769">
        <f t="shared" ca="1" si="63"/>
        <v>4.2303677242311526</v>
      </c>
    </row>
    <row r="1770" spans="4:11">
      <c r="D1770">
        <f t="shared" ca="1" si="62"/>
        <v>3.774098864473431</v>
      </c>
      <c r="K1770">
        <f t="shared" ca="1" si="63"/>
        <v>10.850513065948373</v>
      </c>
    </row>
    <row r="1771" spans="4:11">
      <c r="D1771">
        <f t="shared" ca="1" si="62"/>
        <v>7.8681861148386787</v>
      </c>
      <c r="K1771">
        <f t="shared" ca="1" si="63"/>
        <v>2.9914830048124585</v>
      </c>
    </row>
    <row r="1772" spans="4:11">
      <c r="D1772">
        <f t="shared" ca="1" si="62"/>
        <v>9.3798303069562401</v>
      </c>
      <c r="K1772">
        <f t="shared" ca="1" si="63"/>
        <v>1.8825041338019788</v>
      </c>
    </row>
    <row r="1773" spans="4:11">
      <c r="D1773">
        <f t="shared" ca="1" si="62"/>
        <v>3.9356977157321715</v>
      </c>
      <c r="K1773">
        <f t="shared" ca="1" si="63"/>
        <v>1.1445303035369694</v>
      </c>
    </row>
    <row r="1774" spans="4:11">
      <c r="D1774">
        <f t="shared" ca="1" si="62"/>
        <v>2.148375185060635</v>
      </c>
      <c r="K1774">
        <f t="shared" ca="1" si="63"/>
        <v>5.5449537625068022</v>
      </c>
    </row>
    <row r="1775" spans="4:11">
      <c r="D1775">
        <f t="shared" ca="1" si="62"/>
        <v>2.5669598890364922</v>
      </c>
      <c r="K1775">
        <f t="shared" ca="1" si="63"/>
        <v>7.4591501736609533</v>
      </c>
    </row>
    <row r="1776" spans="4:11">
      <c r="D1776">
        <f t="shared" ca="1" si="62"/>
        <v>2.5825194356284109E-2</v>
      </c>
      <c r="K1776">
        <f t="shared" ca="1" si="63"/>
        <v>4.4541444111075954</v>
      </c>
    </row>
    <row r="1777" spans="4:11">
      <c r="D1777">
        <f t="shared" ca="1" si="62"/>
        <v>0.50521895884101586</v>
      </c>
      <c r="K1777">
        <f t="shared" ca="1" si="63"/>
        <v>0.65993698455521299</v>
      </c>
    </row>
    <row r="1778" spans="4:11">
      <c r="D1778">
        <f t="shared" ca="1" si="62"/>
        <v>5.9716013063235049</v>
      </c>
      <c r="K1778">
        <f t="shared" ca="1" si="63"/>
        <v>1.6067536140706988E-2</v>
      </c>
    </row>
    <row r="1779" spans="4:11">
      <c r="D1779">
        <f t="shared" ca="1" si="62"/>
        <v>0.55372509701979977</v>
      </c>
      <c r="K1779">
        <f t="shared" ca="1" si="63"/>
        <v>0.39533830782107116</v>
      </c>
    </row>
    <row r="1780" spans="4:11">
      <c r="D1780">
        <f t="shared" ca="1" si="62"/>
        <v>5.6583466536346716</v>
      </c>
      <c r="K1780">
        <f t="shared" ca="1" si="63"/>
        <v>13.39921681388385</v>
      </c>
    </row>
    <row r="1781" spans="4:11">
      <c r="D1781">
        <f t="shared" ca="1" si="62"/>
        <v>8.7908418850525649</v>
      </c>
      <c r="K1781">
        <f t="shared" ca="1" si="63"/>
        <v>2.9654084307609763</v>
      </c>
    </row>
    <row r="1782" spans="4:11">
      <c r="D1782">
        <f t="shared" ca="1" si="62"/>
        <v>0.70602042633834983</v>
      </c>
      <c r="K1782">
        <f t="shared" ca="1" si="63"/>
        <v>10.889117554899205</v>
      </c>
    </row>
    <row r="1783" spans="4:11">
      <c r="D1783">
        <f t="shared" ca="1" si="62"/>
        <v>13.186704410192387</v>
      </c>
      <c r="K1783">
        <f t="shared" ca="1" si="63"/>
        <v>1.5135727667957748</v>
      </c>
    </row>
    <row r="1784" spans="4:11">
      <c r="D1784">
        <f t="shared" ca="1" si="62"/>
        <v>1.1490325649099846</v>
      </c>
      <c r="K1784">
        <f t="shared" ca="1" si="63"/>
        <v>5.0264981289712324E-2</v>
      </c>
    </row>
    <row r="1785" spans="4:11">
      <c r="D1785">
        <f t="shared" ca="1" si="62"/>
        <v>4.3867727309304421</v>
      </c>
      <c r="K1785">
        <f t="shared" ca="1" si="63"/>
        <v>4.9672109800391926</v>
      </c>
    </row>
    <row r="1786" spans="4:11">
      <c r="D1786">
        <f t="shared" ca="1" si="62"/>
        <v>10.912083440258154</v>
      </c>
      <c r="K1786">
        <f t="shared" ca="1" si="63"/>
        <v>0.37677062960936203</v>
      </c>
    </row>
    <row r="1787" spans="4:11">
      <c r="D1787">
        <f t="shared" ca="1" si="62"/>
        <v>4.0871527945017156</v>
      </c>
      <c r="K1787">
        <f t="shared" ca="1" si="63"/>
        <v>3.5915904553968607</v>
      </c>
    </row>
    <row r="1788" spans="4:11">
      <c r="D1788">
        <f t="shared" ca="1" si="62"/>
        <v>1.0386189945460655</v>
      </c>
      <c r="K1788">
        <f t="shared" ca="1" si="63"/>
        <v>2.3113887291984581</v>
      </c>
    </row>
    <row r="1789" spans="4:11">
      <c r="D1789">
        <f t="shared" ca="1" si="62"/>
        <v>2.4325133699333561</v>
      </c>
      <c r="K1789">
        <f t="shared" ca="1" si="63"/>
        <v>1.6711109199293204</v>
      </c>
    </row>
    <row r="1790" spans="4:11">
      <c r="D1790">
        <f t="shared" ca="1" si="62"/>
        <v>0.86928601431319508</v>
      </c>
      <c r="K1790">
        <f t="shared" ca="1" si="63"/>
        <v>0.24273112784409678</v>
      </c>
    </row>
    <row r="1791" spans="4:11">
      <c r="D1791">
        <f t="shared" ca="1" si="62"/>
        <v>0.54416479597301959</v>
      </c>
      <c r="K1791">
        <f t="shared" ca="1" si="63"/>
        <v>2.5424281468786978</v>
      </c>
    </row>
    <row r="1792" spans="4:11">
      <c r="D1792">
        <f t="shared" ca="1" si="62"/>
        <v>7.714687112051824E-2</v>
      </c>
      <c r="K1792">
        <f t="shared" ca="1" si="63"/>
        <v>1.4926770198033763</v>
      </c>
    </row>
    <row r="1793" spans="4:11">
      <c r="D1793">
        <f t="shared" ca="1" si="62"/>
        <v>6.1328578517119769</v>
      </c>
      <c r="K1793">
        <f t="shared" ca="1" si="63"/>
        <v>0.1158840390644931</v>
      </c>
    </row>
    <row r="1794" spans="4:11">
      <c r="D1794">
        <f t="shared" ref="D1794:D1857" ca="1" si="64">GAMMAINV(RAND(),$A$2,$B$2)</f>
        <v>10.155681177165889</v>
      </c>
      <c r="K1794">
        <f t="shared" ref="K1794:K1857" ca="1" si="65">GAMMAINV(RAND(),$H$2,$I$2)</f>
        <v>1.3336359991267996</v>
      </c>
    </row>
    <row r="1795" spans="4:11">
      <c r="D1795">
        <f t="shared" ca="1" si="64"/>
        <v>7.7603729369565801</v>
      </c>
      <c r="K1795">
        <f t="shared" ca="1" si="65"/>
        <v>5.6028842127936418</v>
      </c>
    </row>
    <row r="1796" spans="4:11">
      <c r="D1796">
        <f t="shared" ca="1" si="64"/>
        <v>4.9669043513316495</v>
      </c>
      <c r="K1796">
        <f t="shared" ca="1" si="65"/>
        <v>1.0299462480956034</v>
      </c>
    </row>
    <row r="1797" spans="4:11">
      <c r="D1797">
        <f t="shared" ca="1" si="64"/>
        <v>0.33307067452521844</v>
      </c>
      <c r="K1797">
        <f t="shared" ca="1" si="65"/>
        <v>8.1672951825289246</v>
      </c>
    </row>
    <row r="1798" spans="4:11">
      <c r="D1798">
        <f t="shared" ca="1" si="64"/>
        <v>3.6948806751715928</v>
      </c>
      <c r="K1798">
        <f t="shared" ca="1" si="65"/>
        <v>2.1267856866568087</v>
      </c>
    </row>
    <row r="1799" spans="4:11">
      <c r="D1799">
        <f t="shared" ca="1" si="64"/>
        <v>8.7926527235991685</v>
      </c>
      <c r="K1799">
        <f t="shared" ca="1" si="65"/>
        <v>1.0955106249022255</v>
      </c>
    </row>
    <row r="1800" spans="4:11">
      <c r="D1800">
        <f t="shared" ca="1" si="64"/>
        <v>7.2694361275030293</v>
      </c>
      <c r="K1800">
        <f t="shared" ca="1" si="65"/>
        <v>1.8908972100872381</v>
      </c>
    </row>
    <row r="1801" spans="4:11">
      <c r="D1801">
        <f t="shared" ca="1" si="64"/>
        <v>0.70574299421671771</v>
      </c>
      <c r="K1801">
        <f t="shared" ca="1" si="65"/>
        <v>0.11197917998606438</v>
      </c>
    </row>
    <row r="1802" spans="4:11">
      <c r="D1802">
        <f t="shared" ca="1" si="64"/>
        <v>4.5583673882841911</v>
      </c>
      <c r="K1802">
        <f t="shared" ca="1" si="65"/>
        <v>2.4844820366457778</v>
      </c>
    </row>
    <row r="1803" spans="4:11">
      <c r="D1803">
        <f t="shared" ca="1" si="64"/>
        <v>1.3130295943183192</v>
      </c>
      <c r="K1803">
        <f t="shared" ca="1" si="65"/>
        <v>1.2828101693133744</v>
      </c>
    </row>
    <row r="1804" spans="4:11">
      <c r="D1804">
        <f t="shared" ca="1" si="64"/>
        <v>0.96987101505911477</v>
      </c>
      <c r="K1804">
        <f t="shared" ca="1" si="65"/>
        <v>1.9011991053777062</v>
      </c>
    </row>
    <row r="1805" spans="4:11">
      <c r="D1805">
        <f t="shared" ca="1" si="64"/>
        <v>3.4536836912992808</v>
      </c>
      <c r="K1805">
        <f t="shared" ca="1" si="65"/>
        <v>1.679382907416147</v>
      </c>
    </row>
    <row r="1806" spans="4:11">
      <c r="D1806">
        <f t="shared" ca="1" si="64"/>
        <v>1.3576880507692599</v>
      </c>
      <c r="K1806">
        <f t="shared" ca="1" si="65"/>
        <v>1.3272552316370914</v>
      </c>
    </row>
    <row r="1807" spans="4:11">
      <c r="D1807">
        <f t="shared" ca="1" si="64"/>
        <v>6.2401099954308759</v>
      </c>
      <c r="K1807">
        <f t="shared" ca="1" si="65"/>
        <v>0.5411744264999756</v>
      </c>
    </row>
    <row r="1808" spans="4:11">
      <c r="D1808">
        <f t="shared" ca="1" si="64"/>
        <v>7.491173885140805</v>
      </c>
      <c r="K1808">
        <f t="shared" ca="1" si="65"/>
        <v>0.47085186590690153</v>
      </c>
    </row>
    <row r="1809" spans="4:11">
      <c r="D1809">
        <f t="shared" ca="1" si="64"/>
        <v>21.386593561510651</v>
      </c>
      <c r="K1809">
        <f t="shared" ca="1" si="65"/>
        <v>3.0382026066850729</v>
      </c>
    </row>
    <row r="1810" spans="4:11">
      <c r="D1810">
        <f t="shared" ca="1" si="64"/>
        <v>7.1674122574617307</v>
      </c>
      <c r="K1810">
        <f t="shared" ca="1" si="65"/>
        <v>0.52433267992802479</v>
      </c>
    </row>
    <row r="1811" spans="4:11">
      <c r="D1811">
        <f t="shared" ca="1" si="64"/>
        <v>8.6223257122017927</v>
      </c>
      <c r="K1811">
        <f t="shared" ca="1" si="65"/>
        <v>6.1987251040187819E-2</v>
      </c>
    </row>
    <row r="1812" spans="4:11">
      <c r="D1812">
        <f t="shared" ca="1" si="64"/>
        <v>1.4375675520279798</v>
      </c>
      <c r="K1812">
        <f t="shared" ca="1" si="65"/>
        <v>2.2794627644306331</v>
      </c>
    </row>
    <row r="1813" spans="4:11">
      <c r="D1813">
        <f t="shared" ca="1" si="64"/>
        <v>12.433480531816841</v>
      </c>
      <c r="K1813">
        <f t="shared" ca="1" si="65"/>
        <v>4.25319262927773E-3</v>
      </c>
    </row>
    <row r="1814" spans="4:11">
      <c r="D1814">
        <f t="shared" ca="1" si="64"/>
        <v>3.6877495673182592</v>
      </c>
      <c r="K1814">
        <f t="shared" ca="1" si="65"/>
        <v>5.5169431737437566</v>
      </c>
    </row>
    <row r="1815" spans="4:11">
      <c r="D1815">
        <f t="shared" ca="1" si="64"/>
        <v>0.38645286502026133</v>
      </c>
      <c r="K1815">
        <f t="shared" ca="1" si="65"/>
        <v>2.174286263788364</v>
      </c>
    </row>
    <row r="1816" spans="4:11">
      <c r="D1816">
        <f t="shared" ca="1" si="64"/>
        <v>0.34029591631013845</v>
      </c>
      <c r="K1816">
        <f t="shared" ca="1" si="65"/>
        <v>1.7388770988096747</v>
      </c>
    </row>
    <row r="1817" spans="4:11">
      <c r="D1817">
        <f t="shared" ca="1" si="64"/>
        <v>3.7862102329884539</v>
      </c>
      <c r="K1817">
        <f t="shared" ca="1" si="65"/>
        <v>6.2945242738252567</v>
      </c>
    </row>
    <row r="1818" spans="4:11">
      <c r="D1818">
        <f t="shared" ca="1" si="64"/>
        <v>1.8839133707566407</v>
      </c>
      <c r="K1818">
        <f t="shared" ca="1" si="65"/>
        <v>1.7342777842910069</v>
      </c>
    </row>
    <row r="1819" spans="4:11">
      <c r="D1819">
        <f t="shared" ca="1" si="64"/>
        <v>6.5767819441605369</v>
      </c>
      <c r="K1819">
        <f t="shared" ca="1" si="65"/>
        <v>0.19065085741847659</v>
      </c>
    </row>
    <row r="1820" spans="4:11">
      <c r="D1820">
        <f t="shared" ca="1" si="64"/>
        <v>7.8782569851598794</v>
      </c>
      <c r="K1820">
        <f t="shared" ca="1" si="65"/>
        <v>2.8026169404070647</v>
      </c>
    </row>
    <row r="1821" spans="4:11">
      <c r="D1821">
        <f t="shared" ca="1" si="64"/>
        <v>2.1089561989096861</v>
      </c>
      <c r="K1821">
        <f t="shared" ca="1" si="65"/>
        <v>3.5438799138924848</v>
      </c>
    </row>
    <row r="1822" spans="4:11">
      <c r="D1822">
        <f t="shared" ca="1" si="64"/>
        <v>0.67998253090158922</v>
      </c>
      <c r="K1822">
        <f t="shared" ca="1" si="65"/>
        <v>2.6605567793219077E-2</v>
      </c>
    </row>
    <row r="1823" spans="4:11">
      <c r="D1823">
        <f t="shared" ca="1" si="64"/>
        <v>4.7133931838212657</v>
      </c>
      <c r="K1823">
        <f t="shared" ca="1" si="65"/>
        <v>3.7186384193229927</v>
      </c>
    </row>
    <row r="1824" spans="4:11">
      <c r="D1824">
        <f t="shared" ca="1" si="64"/>
        <v>13.981154734907559</v>
      </c>
      <c r="K1824">
        <f t="shared" ca="1" si="65"/>
        <v>2.2377826770630449</v>
      </c>
    </row>
    <row r="1825" spans="4:11">
      <c r="D1825">
        <f t="shared" ca="1" si="64"/>
        <v>2.78077091054499</v>
      </c>
      <c r="K1825">
        <f t="shared" ca="1" si="65"/>
        <v>1.5372115065512779</v>
      </c>
    </row>
    <row r="1826" spans="4:11">
      <c r="D1826">
        <f t="shared" ca="1" si="64"/>
        <v>12.857207926319234</v>
      </c>
      <c r="K1826">
        <f t="shared" ca="1" si="65"/>
        <v>0.97091483413753599</v>
      </c>
    </row>
    <row r="1827" spans="4:11">
      <c r="D1827">
        <f t="shared" ca="1" si="64"/>
        <v>0.6184609768223166</v>
      </c>
      <c r="K1827">
        <f t="shared" ca="1" si="65"/>
        <v>2.3475747005268071</v>
      </c>
    </row>
    <row r="1828" spans="4:11">
      <c r="D1828">
        <f t="shared" ca="1" si="64"/>
        <v>7.6561209771610489E-3</v>
      </c>
      <c r="K1828">
        <f t="shared" ca="1" si="65"/>
        <v>0.11689816756596305</v>
      </c>
    </row>
    <row r="1829" spans="4:11">
      <c r="D1829">
        <f t="shared" ca="1" si="64"/>
        <v>4.1958914493164876</v>
      </c>
      <c r="K1829">
        <f t="shared" ca="1" si="65"/>
        <v>1.5577549186849482</v>
      </c>
    </row>
    <row r="1830" spans="4:11">
      <c r="D1830">
        <f t="shared" ca="1" si="64"/>
        <v>0.62070560928525964</v>
      </c>
      <c r="K1830">
        <f t="shared" ca="1" si="65"/>
        <v>0.7174283268791124</v>
      </c>
    </row>
    <row r="1831" spans="4:11">
      <c r="D1831">
        <f t="shared" ca="1" si="64"/>
        <v>1.1548522303971112</v>
      </c>
      <c r="K1831">
        <f t="shared" ca="1" si="65"/>
        <v>0.82681593284431409</v>
      </c>
    </row>
    <row r="1832" spans="4:11">
      <c r="D1832">
        <f t="shared" ca="1" si="64"/>
        <v>1.645534754045876</v>
      </c>
      <c r="K1832">
        <f t="shared" ca="1" si="65"/>
        <v>0.7759737036817127</v>
      </c>
    </row>
    <row r="1833" spans="4:11">
      <c r="D1833">
        <f t="shared" ca="1" si="64"/>
        <v>7.3508990073743554</v>
      </c>
      <c r="K1833">
        <f t="shared" ca="1" si="65"/>
        <v>0.41808416798645653</v>
      </c>
    </row>
    <row r="1834" spans="4:11">
      <c r="D1834">
        <f t="shared" ca="1" si="64"/>
        <v>0.61788265392651787</v>
      </c>
      <c r="K1834">
        <f t="shared" ca="1" si="65"/>
        <v>0.20725683639319836</v>
      </c>
    </row>
    <row r="1835" spans="4:11">
      <c r="D1835">
        <f t="shared" ca="1" si="64"/>
        <v>0.64539074644917083</v>
      </c>
      <c r="K1835">
        <f t="shared" ca="1" si="65"/>
        <v>0.43777091174290095</v>
      </c>
    </row>
    <row r="1836" spans="4:11">
      <c r="D1836">
        <f t="shared" ca="1" si="64"/>
        <v>11.429124822668982</v>
      </c>
      <c r="K1836">
        <f t="shared" ca="1" si="65"/>
        <v>8.3496873490423978E-2</v>
      </c>
    </row>
    <row r="1837" spans="4:11">
      <c r="D1837">
        <f t="shared" ca="1" si="64"/>
        <v>0.8487216853398869</v>
      </c>
      <c r="K1837">
        <f t="shared" ca="1" si="65"/>
        <v>1.1965601674500947E-2</v>
      </c>
    </row>
    <row r="1838" spans="4:11">
      <c r="D1838">
        <f t="shared" ca="1" si="64"/>
        <v>2.8988201147618939</v>
      </c>
      <c r="K1838">
        <f t="shared" ca="1" si="65"/>
        <v>5.1207771206338553</v>
      </c>
    </row>
    <row r="1839" spans="4:11">
      <c r="D1839">
        <f t="shared" ca="1" si="64"/>
        <v>5.7024659797685349</v>
      </c>
      <c r="K1839">
        <f t="shared" ca="1" si="65"/>
        <v>1.5408994672812848</v>
      </c>
    </row>
    <row r="1840" spans="4:11">
      <c r="D1840">
        <f t="shared" ca="1" si="64"/>
        <v>0.56361636402258042</v>
      </c>
      <c r="K1840">
        <f t="shared" ca="1" si="65"/>
        <v>0.61625683833492473</v>
      </c>
    </row>
    <row r="1841" spans="4:11">
      <c r="D1841">
        <f t="shared" ca="1" si="64"/>
        <v>8.330576426141004</v>
      </c>
      <c r="K1841">
        <f t="shared" ca="1" si="65"/>
        <v>1.5767375969333917</v>
      </c>
    </row>
    <row r="1842" spans="4:11">
      <c r="D1842">
        <f t="shared" ca="1" si="64"/>
        <v>5.2482590343965558</v>
      </c>
      <c r="K1842">
        <f t="shared" ca="1" si="65"/>
        <v>1.4772273897914276</v>
      </c>
    </row>
    <row r="1843" spans="4:11">
      <c r="D1843">
        <f t="shared" ca="1" si="64"/>
        <v>4.7464123794138295</v>
      </c>
      <c r="K1843">
        <f t="shared" ca="1" si="65"/>
        <v>0.13064838628097453</v>
      </c>
    </row>
    <row r="1844" spans="4:11">
      <c r="D1844">
        <f t="shared" ca="1" si="64"/>
        <v>1.7597835115892906</v>
      </c>
      <c r="K1844">
        <f t="shared" ca="1" si="65"/>
        <v>2.4912746242845953</v>
      </c>
    </row>
    <row r="1845" spans="4:11">
      <c r="D1845">
        <f t="shared" ca="1" si="64"/>
        <v>0.23911150139963572</v>
      </c>
      <c r="K1845">
        <f t="shared" ca="1" si="65"/>
        <v>3.9024165357178351</v>
      </c>
    </row>
    <row r="1846" spans="4:11">
      <c r="D1846">
        <f t="shared" ca="1" si="64"/>
        <v>8.1390224910596132</v>
      </c>
      <c r="K1846">
        <f t="shared" ca="1" si="65"/>
        <v>14.447732746735127</v>
      </c>
    </row>
    <row r="1847" spans="4:11">
      <c r="D1847">
        <f t="shared" ca="1" si="64"/>
        <v>10.876262793484187</v>
      </c>
      <c r="K1847">
        <f t="shared" ca="1" si="65"/>
        <v>0.81590566934493536</v>
      </c>
    </row>
    <row r="1848" spans="4:11">
      <c r="D1848">
        <f t="shared" ca="1" si="64"/>
        <v>1.5078762173652351</v>
      </c>
      <c r="K1848">
        <f t="shared" ca="1" si="65"/>
        <v>4.518355344698314</v>
      </c>
    </row>
    <row r="1849" spans="4:11">
      <c r="D1849">
        <f t="shared" ca="1" si="64"/>
        <v>0.21344443378855182</v>
      </c>
      <c r="K1849">
        <f t="shared" ca="1" si="65"/>
        <v>2.0475422959243206</v>
      </c>
    </row>
    <row r="1850" spans="4:11">
      <c r="D1850">
        <f t="shared" ca="1" si="64"/>
        <v>1.2987482468294917</v>
      </c>
      <c r="K1850">
        <f t="shared" ca="1" si="65"/>
        <v>3.8559953814633889</v>
      </c>
    </row>
    <row r="1851" spans="4:11">
      <c r="D1851">
        <f t="shared" ca="1" si="64"/>
        <v>1.6489441165235692</v>
      </c>
      <c r="K1851">
        <f t="shared" ca="1" si="65"/>
        <v>0.99865220886231576</v>
      </c>
    </row>
    <row r="1852" spans="4:11">
      <c r="D1852">
        <f t="shared" ca="1" si="64"/>
        <v>3.8654325942330328</v>
      </c>
      <c r="K1852">
        <f t="shared" ca="1" si="65"/>
        <v>1.5792545319863365</v>
      </c>
    </row>
    <row r="1853" spans="4:11">
      <c r="D1853">
        <f t="shared" ca="1" si="64"/>
        <v>6.8708471691972743</v>
      </c>
      <c r="K1853">
        <f t="shared" ca="1" si="65"/>
        <v>3.7586677474032673</v>
      </c>
    </row>
    <row r="1854" spans="4:11">
      <c r="D1854">
        <f t="shared" ca="1" si="64"/>
        <v>3.3926142658547702</v>
      </c>
      <c r="K1854">
        <f t="shared" ca="1" si="65"/>
        <v>5.0646912313834562</v>
      </c>
    </row>
    <row r="1855" spans="4:11">
      <c r="D1855">
        <f t="shared" ca="1" si="64"/>
        <v>3.6607670323944834</v>
      </c>
      <c r="K1855">
        <f t="shared" ca="1" si="65"/>
        <v>4.8740812328136346E-2</v>
      </c>
    </row>
    <row r="1856" spans="4:11">
      <c r="D1856">
        <f t="shared" ca="1" si="64"/>
        <v>3.2299065030190075</v>
      </c>
      <c r="K1856">
        <f t="shared" ca="1" si="65"/>
        <v>3.1145295142257758</v>
      </c>
    </row>
    <row r="1857" spans="4:11">
      <c r="D1857">
        <f t="shared" ca="1" si="64"/>
        <v>0.75787781219728245</v>
      </c>
      <c r="K1857">
        <f t="shared" ca="1" si="65"/>
        <v>0.70528814730718103</v>
      </c>
    </row>
    <row r="1858" spans="4:11">
      <c r="D1858">
        <f t="shared" ref="D1858:D1921" ca="1" si="66">GAMMAINV(RAND(),$A$2,$B$2)</f>
        <v>15.366036230351867</v>
      </c>
      <c r="K1858">
        <f t="shared" ref="K1858:K1921" ca="1" si="67">GAMMAINV(RAND(),$H$2,$I$2)</f>
        <v>3.3370857160023402</v>
      </c>
    </row>
    <row r="1859" spans="4:11">
      <c r="D1859">
        <f t="shared" ca="1" si="66"/>
        <v>11.593253664322788</v>
      </c>
      <c r="K1859">
        <f t="shared" ca="1" si="67"/>
        <v>2.9399729351700001</v>
      </c>
    </row>
    <row r="1860" spans="4:11">
      <c r="D1860">
        <f t="shared" ca="1" si="66"/>
        <v>11.448963625756424</v>
      </c>
      <c r="K1860">
        <f t="shared" ca="1" si="67"/>
        <v>0.9477569609390315</v>
      </c>
    </row>
    <row r="1861" spans="4:11">
      <c r="D1861">
        <f t="shared" ca="1" si="66"/>
        <v>1.3689606040585542</v>
      </c>
      <c r="K1861">
        <f t="shared" ca="1" si="67"/>
        <v>0.41510935538811</v>
      </c>
    </row>
    <row r="1862" spans="4:11">
      <c r="D1862">
        <f t="shared" ca="1" si="66"/>
        <v>9.8798244256885255</v>
      </c>
      <c r="K1862">
        <f t="shared" ca="1" si="67"/>
        <v>2.5464968916835211</v>
      </c>
    </row>
    <row r="1863" spans="4:11">
      <c r="D1863">
        <f t="shared" ca="1" si="66"/>
        <v>8.4377699031427973</v>
      </c>
      <c r="K1863">
        <f t="shared" ca="1" si="67"/>
        <v>2.5667817831062187</v>
      </c>
    </row>
    <row r="1864" spans="4:11">
      <c r="D1864">
        <f t="shared" ca="1" si="66"/>
        <v>2.7312085952084111</v>
      </c>
      <c r="K1864">
        <f t="shared" ca="1" si="67"/>
        <v>0.26385809856768749</v>
      </c>
    </row>
    <row r="1865" spans="4:11">
      <c r="D1865">
        <f t="shared" ca="1" si="66"/>
        <v>19.615033472118832</v>
      </c>
      <c r="K1865">
        <f t="shared" ca="1" si="67"/>
        <v>0.95125703848494436</v>
      </c>
    </row>
    <row r="1866" spans="4:11">
      <c r="D1866">
        <f t="shared" ca="1" si="66"/>
        <v>0.19429647347534912</v>
      </c>
      <c r="K1866">
        <f t="shared" ca="1" si="67"/>
        <v>10.460587376677022</v>
      </c>
    </row>
    <row r="1867" spans="4:11">
      <c r="D1867">
        <f t="shared" ca="1" si="66"/>
        <v>28.026118256412396</v>
      </c>
      <c r="K1867">
        <f t="shared" ca="1" si="67"/>
        <v>8.9398136339318057</v>
      </c>
    </row>
    <row r="1868" spans="4:11">
      <c r="D1868">
        <f t="shared" ca="1" si="66"/>
        <v>5.3596812694524623</v>
      </c>
      <c r="K1868">
        <f t="shared" ca="1" si="67"/>
        <v>0.45931244505308388</v>
      </c>
    </row>
    <row r="1869" spans="4:11">
      <c r="D1869">
        <f t="shared" ca="1" si="66"/>
        <v>5.600212848040492</v>
      </c>
      <c r="K1869">
        <f t="shared" ca="1" si="67"/>
        <v>0.42643817951112528</v>
      </c>
    </row>
    <row r="1870" spans="4:11">
      <c r="D1870">
        <f t="shared" ca="1" si="66"/>
        <v>8.8022438690209377</v>
      </c>
      <c r="K1870">
        <f t="shared" ca="1" si="67"/>
        <v>6.7937295951861358</v>
      </c>
    </row>
    <row r="1871" spans="4:11">
      <c r="D1871">
        <f t="shared" ca="1" si="66"/>
        <v>4.8991031709210073</v>
      </c>
      <c r="K1871">
        <f t="shared" ca="1" si="67"/>
        <v>0.33311093204135023</v>
      </c>
    </row>
    <row r="1872" spans="4:11">
      <c r="D1872">
        <f t="shared" ca="1" si="66"/>
        <v>2.7445994874283421</v>
      </c>
      <c r="K1872">
        <f t="shared" ca="1" si="67"/>
        <v>0.20740302352103762</v>
      </c>
    </row>
    <row r="1873" spans="4:11">
      <c r="D1873">
        <f t="shared" ca="1" si="66"/>
        <v>14.190529194274994</v>
      </c>
      <c r="K1873">
        <f t="shared" ca="1" si="67"/>
        <v>5.9323200440111545</v>
      </c>
    </row>
    <row r="1874" spans="4:11">
      <c r="D1874">
        <f t="shared" ca="1" si="66"/>
        <v>17.928020370269259</v>
      </c>
      <c r="K1874">
        <f t="shared" ca="1" si="67"/>
        <v>3.1366407361447344</v>
      </c>
    </row>
    <row r="1875" spans="4:11">
      <c r="D1875">
        <f t="shared" ca="1" si="66"/>
        <v>6.3606540826635509</v>
      </c>
      <c r="K1875">
        <f t="shared" ca="1" si="67"/>
        <v>0.24012849623436489</v>
      </c>
    </row>
    <row r="1876" spans="4:11">
      <c r="D1876">
        <f t="shared" ca="1" si="66"/>
        <v>29.972387067936083</v>
      </c>
      <c r="K1876">
        <f t="shared" ca="1" si="67"/>
        <v>1.8969890463195673</v>
      </c>
    </row>
    <row r="1877" spans="4:11">
      <c r="D1877">
        <f t="shared" ca="1" si="66"/>
        <v>3.4770423891014826</v>
      </c>
      <c r="K1877">
        <f t="shared" ca="1" si="67"/>
        <v>3.0182231699310611</v>
      </c>
    </row>
    <row r="1878" spans="4:11">
      <c r="D1878">
        <f t="shared" ca="1" si="66"/>
        <v>8.2514501183098723</v>
      </c>
      <c r="K1878">
        <f t="shared" ca="1" si="67"/>
        <v>4.6006447993152033</v>
      </c>
    </row>
    <row r="1879" spans="4:11">
      <c r="D1879">
        <f t="shared" ca="1" si="66"/>
        <v>1.2827770006197259</v>
      </c>
      <c r="K1879">
        <f t="shared" ca="1" si="67"/>
        <v>0.89250897227309345</v>
      </c>
    </row>
    <row r="1880" spans="4:11">
      <c r="D1880">
        <f t="shared" ca="1" si="66"/>
        <v>0.16753623028267595</v>
      </c>
      <c r="K1880">
        <f t="shared" ca="1" si="67"/>
        <v>0.50445179271614582</v>
      </c>
    </row>
    <row r="1881" spans="4:11">
      <c r="D1881">
        <f t="shared" ca="1" si="66"/>
        <v>3.5801388160585237</v>
      </c>
      <c r="K1881">
        <f t="shared" ca="1" si="67"/>
        <v>0.1445142881402367</v>
      </c>
    </row>
    <row r="1882" spans="4:11">
      <c r="D1882">
        <f t="shared" ca="1" si="66"/>
        <v>6.3679766275891865</v>
      </c>
      <c r="K1882">
        <f t="shared" ca="1" si="67"/>
        <v>4.7854864632060927</v>
      </c>
    </row>
    <row r="1883" spans="4:11">
      <c r="D1883">
        <f t="shared" ca="1" si="66"/>
        <v>10.857416827339264</v>
      </c>
      <c r="K1883">
        <f t="shared" ca="1" si="67"/>
        <v>12.391517223661442</v>
      </c>
    </row>
    <row r="1884" spans="4:11">
      <c r="D1884">
        <f t="shared" ca="1" si="66"/>
        <v>2.2334001901460372</v>
      </c>
      <c r="K1884">
        <f t="shared" ca="1" si="67"/>
        <v>3.4919077086506372</v>
      </c>
    </row>
    <row r="1885" spans="4:11">
      <c r="D1885">
        <f t="shared" ca="1" si="66"/>
        <v>12.725810370276147</v>
      </c>
      <c r="K1885">
        <f t="shared" ca="1" si="67"/>
        <v>6.9545414574348854</v>
      </c>
    </row>
    <row r="1886" spans="4:11">
      <c r="D1886">
        <f t="shared" ca="1" si="66"/>
        <v>3.7180610834981707</v>
      </c>
      <c r="K1886">
        <f t="shared" ca="1" si="67"/>
        <v>0.44912624903147147</v>
      </c>
    </row>
    <row r="1887" spans="4:11">
      <c r="D1887">
        <f t="shared" ca="1" si="66"/>
        <v>3.6098696016082767</v>
      </c>
      <c r="K1887">
        <f t="shared" ca="1" si="67"/>
        <v>3.5966332303491155</v>
      </c>
    </row>
    <row r="1888" spans="4:11">
      <c r="D1888">
        <f t="shared" ca="1" si="66"/>
        <v>1.5906051249834205</v>
      </c>
      <c r="K1888">
        <f t="shared" ca="1" si="67"/>
        <v>1.7038078276934927</v>
      </c>
    </row>
    <row r="1889" spans="4:11">
      <c r="D1889">
        <f t="shared" ca="1" si="66"/>
        <v>1.1935814486903942</v>
      </c>
      <c r="K1889">
        <f t="shared" ca="1" si="67"/>
        <v>1.162436623028873</v>
      </c>
    </row>
    <row r="1890" spans="4:11">
      <c r="D1890">
        <f t="shared" ca="1" si="66"/>
        <v>0.14040579591742186</v>
      </c>
      <c r="K1890">
        <f t="shared" ca="1" si="67"/>
        <v>0.51454355449141786</v>
      </c>
    </row>
    <row r="1891" spans="4:11">
      <c r="D1891">
        <f t="shared" ca="1" si="66"/>
        <v>8.5224715655225012</v>
      </c>
      <c r="K1891">
        <f t="shared" ca="1" si="67"/>
        <v>5.4471736067569179</v>
      </c>
    </row>
    <row r="1892" spans="4:11">
      <c r="D1892">
        <f t="shared" ca="1" si="66"/>
        <v>6.4777076994215737</v>
      </c>
      <c r="K1892">
        <f t="shared" ca="1" si="67"/>
        <v>2.8283923850035322</v>
      </c>
    </row>
    <row r="1893" spans="4:11">
      <c r="D1893">
        <f t="shared" ca="1" si="66"/>
        <v>18.481246012864545</v>
      </c>
      <c r="K1893">
        <f t="shared" ca="1" si="67"/>
        <v>1.0349411288596775</v>
      </c>
    </row>
    <row r="1894" spans="4:11">
      <c r="D1894">
        <f t="shared" ca="1" si="66"/>
        <v>2.5659220958779887</v>
      </c>
      <c r="K1894">
        <f t="shared" ca="1" si="67"/>
        <v>3.8275286123546026</v>
      </c>
    </row>
    <row r="1895" spans="4:11">
      <c r="D1895">
        <f t="shared" ca="1" si="66"/>
        <v>12.944420770950192</v>
      </c>
      <c r="K1895">
        <f t="shared" ca="1" si="67"/>
        <v>1.5492092080288664</v>
      </c>
    </row>
    <row r="1896" spans="4:11">
      <c r="D1896">
        <f t="shared" ca="1" si="66"/>
        <v>7.0867116953402771</v>
      </c>
      <c r="K1896">
        <f t="shared" ca="1" si="67"/>
        <v>1.2721502602163461</v>
      </c>
    </row>
    <row r="1897" spans="4:11">
      <c r="D1897">
        <f t="shared" ca="1" si="66"/>
        <v>2.7417774513881605</v>
      </c>
      <c r="K1897">
        <f t="shared" ca="1" si="67"/>
        <v>1.5529637152335116E-2</v>
      </c>
    </row>
    <row r="1898" spans="4:11">
      <c r="D1898">
        <f t="shared" ca="1" si="66"/>
        <v>17.150281416045324</v>
      </c>
      <c r="K1898">
        <f t="shared" ca="1" si="67"/>
        <v>2.1218616866591953</v>
      </c>
    </row>
    <row r="1899" spans="4:11">
      <c r="D1899">
        <f t="shared" ca="1" si="66"/>
        <v>5.6846254452798082</v>
      </c>
      <c r="K1899">
        <f t="shared" ca="1" si="67"/>
        <v>10.348544827110459</v>
      </c>
    </row>
    <row r="1900" spans="4:11">
      <c r="D1900">
        <f t="shared" ca="1" si="66"/>
        <v>27.927016719006076</v>
      </c>
      <c r="K1900">
        <f t="shared" ca="1" si="67"/>
        <v>6.0056258425480049</v>
      </c>
    </row>
    <row r="1901" spans="4:11">
      <c r="D1901">
        <f t="shared" ca="1" si="66"/>
        <v>11.698566643214217</v>
      </c>
      <c r="K1901">
        <f t="shared" ca="1" si="67"/>
        <v>0.17776381407945918</v>
      </c>
    </row>
    <row r="1902" spans="4:11">
      <c r="D1902">
        <f t="shared" ca="1" si="66"/>
        <v>8.4953186047203744</v>
      </c>
      <c r="K1902">
        <f t="shared" ca="1" si="67"/>
        <v>0.21020944459296337</v>
      </c>
    </row>
    <row r="1903" spans="4:11">
      <c r="D1903">
        <f t="shared" ca="1" si="66"/>
        <v>7.1954873999676039</v>
      </c>
      <c r="K1903">
        <f t="shared" ca="1" si="67"/>
        <v>0.58735787481662061</v>
      </c>
    </row>
    <row r="1904" spans="4:11">
      <c r="D1904">
        <f t="shared" ca="1" si="66"/>
        <v>0.65414597116213824</v>
      </c>
      <c r="K1904">
        <f t="shared" ca="1" si="67"/>
        <v>1.4490500768082577</v>
      </c>
    </row>
    <row r="1905" spans="4:11">
      <c r="D1905">
        <f t="shared" ca="1" si="66"/>
        <v>0.45861755528553849</v>
      </c>
      <c r="K1905">
        <f t="shared" ca="1" si="67"/>
        <v>0.16329883578606158</v>
      </c>
    </row>
    <row r="1906" spans="4:11">
      <c r="D1906">
        <f t="shared" ca="1" si="66"/>
        <v>1.1344141967094443</v>
      </c>
      <c r="K1906">
        <f t="shared" ca="1" si="67"/>
        <v>2.2446851927495137</v>
      </c>
    </row>
    <row r="1907" spans="4:11">
      <c r="D1907">
        <f t="shared" ca="1" si="66"/>
        <v>14.972118076860497</v>
      </c>
      <c r="K1907">
        <f t="shared" ca="1" si="67"/>
        <v>4.8886044412844484E-2</v>
      </c>
    </row>
    <row r="1908" spans="4:11">
      <c r="D1908">
        <f t="shared" ca="1" si="66"/>
        <v>11.735524103510095</v>
      </c>
      <c r="K1908">
        <f t="shared" ca="1" si="67"/>
        <v>0.17640298870949273</v>
      </c>
    </row>
    <row r="1909" spans="4:11">
      <c r="D1909">
        <f t="shared" ca="1" si="66"/>
        <v>0.22612635805909592</v>
      </c>
      <c r="K1909">
        <f t="shared" ca="1" si="67"/>
        <v>2.9316030045168384</v>
      </c>
    </row>
    <row r="1910" spans="4:11">
      <c r="D1910">
        <f t="shared" ca="1" si="66"/>
        <v>16.78373359156204</v>
      </c>
      <c r="K1910">
        <f t="shared" ca="1" si="67"/>
        <v>1.9806933843058641</v>
      </c>
    </row>
    <row r="1911" spans="4:11">
      <c r="D1911">
        <f t="shared" ca="1" si="66"/>
        <v>1.5180614183151477</v>
      </c>
      <c r="K1911">
        <f t="shared" ca="1" si="67"/>
        <v>5.4829785285237502</v>
      </c>
    </row>
    <row r="1912" spans="4:11">
      <c r="D1912">
        <f t="shared" ca="1" si="66"/>
        <v>1.037139908932303</v>
      </c>
      <c r="K1912">
        <f t="shared" ca="1" si="67"/>
        <v>8.294522061980917</v>
      </c>
    </row>
    <row r="1913" spans="4:11">
      <c r="D1913">
        <f t="shared" ca="1" si="66"/>
        <v>3.4941001924789061</v>
      </c>
      <c r="K1913">
        <f t="shared" ca="1" si="67"/>
        <v>3.7427845687773518</v>
      </c>
    </row>
    <row r="1914" spans="4:11">
      <c r="D1914">
        <f t="shared" ca="1" si="66"/>
        <v>28.78276438530385</v>
      </c>
      <c r="K1914">
        <f t="shared" ca="1" si="67"/>
        <v>3.7645833978503935</v>
      </c>
    </row>
    <row r="1915" spans="4:11">
      <c r="D1915">
        <f t="shared" ca="1" si="66"/>
        <v>1.8667019658755968</v>
      </c>
      <c r="K1915">
        <f t="shared" ca="1" si="67"/>
        <v>6.9425316529738108</v>
      </c>
    </row>
    <row r="1916" spans="4:11">
      <c r="D1916">
        <f t="shared" ca="1" si="66"/>
        <v>4.5398406557640225</v>
      </c>
      <c r="K1916">
        <f t="shared" ca="1" si="67"/>
        <v>2.5834164639444541</v>
      </c>
    </row>
    <row r="1917" spans="4:11">
      <c r="D1917">
        <f t="shared" ca="1" si="66"/>
        <v>1.6436401368260665</v>
      </c>
      <c r="K1917">
        <f t="shared" ca="1" si="67"/>
        <v>1.0165699882697283</v>
      </c>
    </row>
    <row r="1918" spans="4:11">
      <c r="D1918">
        <f t="shared" ca="1" si="66"/>
        <v>5.3258250202873931</v>
      </c>
      <c r="K1918">
        <f t="shared" ca="1" si="67"/>
        <v>1.4227784651514308</v>
      </c>
    </row>
    <row r="1919" spans="4:11">
      <c r="D1919">
        <f t="shared" ca="1" si="66"/>
        <v>6.3771388867644099</v>
      </c>
      <c r="K1919">
        <f t="shared" ca="1" si="67"/>
        <v>1.6323918594276856</v>
      </c>
    </row>
    <row r="1920" spans="4:11">
      <c r="D1920">
        <f t="shared" ca="1" si="66"/>
        <v>7.0023170381692346</v>
      </c>
      <c r="K1920">
        <f t="shared" ca="1" si="67"/>
        <v>3.5482814800073842E-2</v>
      </c>
    </row>
    <row r="1921" spans="4:11">
      <c r="D1921">
        <f t="shared" ca="1" si="66"/>
        <v>9.7827957819207398</v>
      </c>
      <c r="K1921">
        <f t="shared" ca="1" si="67"/>
        <v>3.9847904929896467</v>
      </c>
    </row>
    <row r="1922" spans="4:11">
      <c r="D1922">
        <f t="shared" ref="D1922:D1985" ca="1" si="68">GAMMAINV(RAND(),$A$2,$B$2)</f>
        <v>3.6345202705806177</v>
      </c>
      <c r="K1922">
        <f t="shared" ref="K1922:K1985" ca="1" si="69">GAMMAINV(RAND(),$H$2,$I$2)</f>
        <v>5.9770511432383919E-2</v>
      </c>
    </row>
    <row r="1923" spans="4:11">
      <c r="D1923">
        <f t="shared" ca="1" si="68"/>
        <v>6.2418796294103291</v>
      </c>
      <c r="K1923">
        <f t="shared" ca="1" si="69"/>
        <v>3.1040037233054116</v>
      </c>
    </row>
    <row r="1924" spans="4:11">
      <c r="D1924">
        <f t="shared" ca="1" si="68"/>
        <v>0.71214814819618244</v>
      </c>
      <c r="K1924">
        <f t="shared" ca="1" si="69"/>
        <v>0.12082774274728025</v>
      </c>
    </row>
    <row r="1925" spans="4:11">
      <c r="D1925">
        <f t="shared" ca="1" si="68"/>
        <v>7.8020554226654895</v>
      </c>
      <c r="K1925">
        <f t="shared" ca="1" si="69"/>
        <v>2.2668424560624452</v>
      </c>
    </row>
    <row r="1926" spans="4:11">
      <c r="D1926">
        <f t="shared" ca="1" si="68"/>
        <v>1.3170530527608615</v>
      </c>
      <c r="K1926">
        <f t="shared" ca="1" si="69"/>
        <v>0.68736141131240625</v>
      </c>
    </row>
    <row r="1927" spans="4:11">
      <c r="D1927">
        <f t="shared" ca="1" si="68"/>
        <v>0.81984801090868098</v>
      </c>
      <c r="K1927">
        <f t="shared" ca="1" si="69"/>
        <v>0.265154650299393</v>
      </c>
    </row>
    <row r="1928" spans="4:11">
      <c r="D1928">
        <f t="shared" ca="1" si="68"/>
        <v>7.3107913801294249</v>
      </c>
      <c r="K1928">
        <f t="shared" ca="1" si="69"/>
        <v>2.4404614120912571</v>
      </c>
    </row>
    <row r="1929" spans="4:11">
      <c r="D1929">
        <f t="shared" ca="1" si="68"/>
        <v>1.3851878202431354</v>
      </c>
      <c r="K1929">
        <f t="shared" ca="1" si="69"/>
        <v>3.5603043610159224</v>
      </c>
    </row>
    <row r="1930" spans="4:11">
      <c r="D1930">
        <f t="shared" ca="1" si="68"/>
        <v>4.7088055746391557</v>
      </c>
      <c r="K1930">
        <f t="shared" ca="1" si="69"/>
        <v>8.4379840749891883</v>
      </c>
    </row>
    <row r="1931" spans="4:11">
      <c r="D1931">
        <f t="shared" ca="1" si="68"/>
        <v>9.4726900833320613</v>
      </c>
      <c r="K1931">
        <f t="shared" ca="1" si="69"/>
        <v>0.12115591580354959</v>
      </c>
    </row>
    <row r="1932" spans="4:11">
      <c r="D1932">
        <f t="shared" ca="1" si="68"/>
        <v>13.988608368170659</v>
      </c>
      <c r="K1932">
        <f t="shared" ca="1" si="69"/>
        <v>1.6141190110000587</v>
      </c>
    </row>
    <row r="1933" spans="4:11">
      <c r="D1933">
        <f t="shared" ca="1" si="68"/>
        <v>8.65785373805641</v>
      </c>
      <c r="K1933">
        <f t="shared" ca="1" si="69"/>
        <v>0.28645162261055901</v>
      </c>
    </row>
    <row r="1934" spans="4:11">
      <c r="D1934">
        <f t="shared" ca="1" si="68"/>
        <v>5.6598104174956081</v>
      </c>
      <c r="K1934">
        <f t="shared" ca="1" si="69"/>
        <v>3.9046921521080663E-2</v>
      </c>
    </row>
    <row r="1935" spans="4:11">
      <c r="D1935">
        <f t="shared" ca="1" si="68"/>
        <v>6.4000187664960126</v>
      </c>
      <c r="K1935">
        <f t="shared" ca="1" si="69"/>
        <v>0.8257525975477602</v>
      </c>
    </row>
    <row r="1936" spans="4:11">
      <c r="D1936">
        <f t="shared" ca="1" si="68"/>
        <v>20.554961269016651</v>
      </c>
      <c r="K1936">
        <f t="shared" ca="1" si="69"/>
        <v>4.1845689703077298</v>
      </c>
    </row>
    <row r="1937" spans="4:11">
      <c r="D1937">
        <f t="shared" ca="1" si="68"/>
        <v>7.8539993727233331E-2</v>
      </c>
      <c r="K1937">
        <f t="shared" ca="1" si="69"/>
        <v>6.1781227037038438</v>
      </c>
    </row>
    <row r="1938" spans="4:11">
      <c r="D1938">
        <f t="shared" ca="1" si="68"/>
        <v>1.1305033868314496</v>
      </c>
      <c r="K1938">
        <f t="shared" ca="1" si="69"/>
        <v>0.49496806060424225</v>
      </c>
    </row>
    <row r="1939" spans="4:11">
      <c r="D1939">
        <f t="shared" ca="1" si="68"/>
        <v>0.59749324871764808</v>
      </c>
      <c r="K1939">
        <f t="shared" ca="1" si="69"/>
        <v>0.40448184860484704</v>
      </c>
    </row>
    <row r="1940" spans="4:11">
      <c r="D1940">
        <f t="shared" ca="1" si="68"/>
        <v>2.7943558897314666</v>
      </c>
      <c r="K1940">
        <f t="shared" ca="1" si="69"/>
        <v>0.90638607447227537</v>
      </c>
    </row>
    <row r="1941" spans="4:11">
      <c r="D1941">
        <f t="shared" ca="1" si="68"/>
        <v>9.3568643036010783</v>
      </c>
      <c r="K1941">
        <f t="shared" ca="1" si="69"/>
        <v>1.0945213022736735</v>
      </c>
    </row>
    <row r="1942" spans="4:11">
      <c r="D1942">
        <f t="shared" ca="1" si="68"/>
        <v>5.6322939215056405</v>
      </c>
      <c r="K1942">
        <f t="shared" ca="1" si="69"/>
        <v>10.188695499719088</v>
      </c>
    </row>
    <row r="1943" spans="4:11">
      <c r="D1943">
        <f t="shared" ca="1" si="68"/>
        <v>0.19669951778163414</v>
      </c>
      <c r="K1943">
        <f t="shared" ca="1" si="69"/>
        <v>2.2035779445328636</v>
      </c>
    </row>
    <row r="1944" spans="4:11">
      <c r="D1944">
        <f t="shared" ca="1" si="68"/>
        <v>11.160693004168436</v>
      </c>
      <c r="K1944">
        <f t="shared" ca="1" si="69"/>
        <v>0.87519387916047808</v>
      </c>
    </row>
    <row r="1945" spans="4:11">
      <c r="D1945">
        <f t="shared" ca="1" si="68"/>
        <v>3.9857911207498775</v>
      </c>
      <c r="K1945">
        <f t="shared" ca="1" si="69"/>
        <v>3.9859060830054531</v>
      </c>
    </row>
    <row r="1946" spans="4:11">
      <c r="D1946">
        <f t="shared" ca="1" si="68"/>
        <v>3.7534415276087376</v>
      </c>
      <c r="K1946">
        <f t="shared" ca="1" si="69"/>
        <v>0.22717030766481855</v>
      </c>
    </row>
    <row r="1947" spans="4:11">
      <c r="D1947">
        <f t="shared" ca="1" si="68"/>
        <v>12.640143655095162</v>
      </c>
      <c r="K1947">
        <f t="shared" ca="1" si="69"/>
        <v>6.1611145332473125</v>
      </c>
    </row>
    <row r="1948" spans="4:11">
      <c r="D1948">
        <f t="shared" ca="1" si="68"/>
        <v>4.6011936457701665</v>
      </c>
      <c r="K1948">
        <f t="shared" ca="1" si="69"/>
        <v>1.1719314536865757</v>
      </c>
    </row>
    <row r="1949" spans="4:11">
      <c r="D1949">
        <f t="shared" ca="1" si="68"/>
        <v>15.901033510255143</v>
      </c>
      <c r="K1949">
        <f t="shared" ca="1" si="69"/>
        <v>3.4284340589886941E-2</v>
      </c>
    </row>
    <row r="1950" spans="4:11">
      <c r="D1950">
        <f t="shared" ca="1" si="68"/>
        <v>4.254962085242223</v>
      </c>
      <c r="K1950">
        <f t="shared" ca="1" si="69"/>
        <v>0.59307495066983207</v>
      </c>
    </row>
    <row r="1951" spans="4:11">
      <c r="D1951">
        <f t="shared" ca="1" si="68"/>
        <v>1.1546874543455719</v>
      </c>
      <c r="K1951">
        <f t="shared" ca="1" si="69"/>
        <v>4.0073276641704414</v>
      </c>
    </row>
    <row r="1952" spans="4:11">
      <c r="D1952">
        <f t="shared" ca="1" si="68"/>
        <v>2.0438002761210159</v>
      </c>
      <c r="K1952">
        <f t="shared" ca="1" si="69"/>
        <v>5.7798385883585031</v>
      </c>
    </row>
    <row r="1953" spans="4:11">
      <c r="D1953">
        <f t="shared" ca="1" si="68"/>
        <v>13.183006946726369</v>
      </c>
      <c r="K1953">
        <f t="shared" ca="1" si="69"/>
        <v>2.2730873590799288</v>
      </c>
    </row>
    <row r="1954" spans="4:11">
      <c r="D1954">
        <f t="shared" ca="1" si="68"/>
        <v>13.659460557426534</v>
      </c>
      <c r="K1954">
        <f t="shared" ca="1" si="69"/>
        <v>2.0404575136546566</v>
      </c>
    </row>
    <row r="1955" spans="4:11">
      <c r="D1955">
        <f t="shared" ca="1" si="68"/>
        <v>0.51193466294020262</v>
      </c>
      <c r="K1955">
        <f t="shared" ca="1" si="69"/>
        <v>1.2975431255781102</v>
      </c>
    </row>
    <row r="1956" spans="4:11">
      <c r="D1956">
        <f t="shared" ca="1" si="68"/>
        <v>1.2640434845473201</v>
      </c>
      <c r="K1956">
        <f t="shared" ca="1" si="69"/>
        <v>3.2775409472092507</v>
      </c>
    </row>
    <row r="1957" spans="4:11">
      <c r="D1957">
        <f t="shared" ca="1" si="68"/>
        <v>0.44574891580611598</v>
      </c>
      <c r="K1957">
        <f t="shared" ca="1" si="69"/>
        <v>1.0818875110950392</v>
      </c>
    </row>
    <row r="1958" spans="4:11">
      <c r="D1958">
        <f t="shared" ca="1" si="68"/>
        <v>1.2900857899239528</v>
      </c>
      <c r="K1958">
        <f t="shared" ca="1" si="69"/>
        <v>11.366963122441422</v>
      </c>
    </row>
    <row r="1959" spans="4:11">
      <c r="D1959">
        <f t="shared" ca="1" si="68"/>
        <v>0.55252604628977875</v>
      </c>
      <c r="K1959">
        <f t="shared" ca="1" si="69"/>
        <v>6.0794518024458739</v>
      </c>
    </row>
    <row r="1960" spans="4:11">
      <c r="D1960">
        <f t="shared" ca="1" si="68"/>
        <v>3.389962968922787</v>
      </c>
      <c r="K1960">
        <f t="shared" ca="1" si="69"/>
        <v>9.8798791170086747E-2</v>
      </c>
    </row>
    <row r="1961" spans="4:11">
      <c r="D1961">
        <f t="shared" ca="1" si="68"/>
        <v>0.31169536620330118</v>
      </c>
      <c r="K1961">
        <f t="shared" ca="1" si="69"/>
        <v>1.4660986733857269</v>
      </c>
    </row>
    <row r="1962" spans="4:11">
      <c r="D1962">
        <f t="shared" ca="1" si="68"/>
        <v>5.1473500810368336</v>
      </c>
      <c r="K1962">
        <f t="shared" ca="1" si="69"/>
        <v>2.6695492541460828</v>
      </c>
    </row>
    <row r="1963" spans="4:11">
      <c r="D1963">
        <f t="shared" ca="1" si="68"/>
        <v>0.33847266006584453</v>
      </c>
      <c r="K1963">
        <f t="shared" ca="1" si="69"/>
        <v>2.1993951991836376</v>
      </c>
    </row>
    <row r="1964" spans="4:11">
      <c r="D1964">
        <f t="shared" ca="1" si="68"/>
        <v>1.5187791279792111</v>
      </c>
      <c r="K1964">
        <f t="shared" ca="1" si="69"/>
        <v>1.0495101047434985</v>
      </c>
    </row>
    <row r="1965" spans="4:11">
      <c r="D1965">
        <f t="shared" ca="1" si="68"/>
        <v>4.9450809983724842</v>
      </c>
      <c r="K1965">
        <f t="shared" ca="1" si="69"/>
        <v>7.8123999348748807</v>
      </c>
    </row>
    <row r="1966" spans="4:11">
      <c r="D1966">
        <f t="shared" ca="1" si="68"/>
        <v>2.1025097808767228</v>
      </c>
      <c r="K1966">
        <f t="shared" ca="1" si="69"/>
        <v>0.23653889457121841</v>
      </c>
    </row>
    <row r="1967" spans="4:11">
      <c r="D1967">
        <f t="shared" ca="1" si="68"/>
        <v>1.3582874281147994</v>
      </c>
      <c r="K1967">
        <f t="shared" ca="1" si="69"/>
        <v>2.9245513738077378</v>
      </c>
    </row>
    <row r="1968" spans="4:11">
      <c r="D1968">
        <f t="shared" ca="1" si="68"/>
        <v>0.4585952834885042</v>
      </c>
      <c r="K1968">
        <f t="shared" ca="1" si="69"/>
        <v>0.76905295531815376</v>
      </c>
    </row>
    <row r="1969" spans="4:11">
      <c r="D1969">
        <f t="shared" ca="1" si="68"/>
        <v>14.457771014065504</v>
      </c>
      <c r="K1969">
        <f t="shared" ca="1" si="69"/>
        <v>2.3456876648465972</v>
      </c>
    </row>
    <row r="1970" spans="4:11">
      <c r="D1970">
        <f t="shared" ca="1" si="68"/>
        <v>3.3871039036329647</v>
      </c>
      <c r="K1970">
        <f t="shared" ca="1" si="69"/>
        <v>0.67544916655998777</v>
      </c>
    </row>
    <row r="1971" spans="4:11">
      <c r="D1971">
        <f t="shared" ca="1" si="68"/>
        <v>23.341810865138449</v>
      </c>
      <c r="K1971">
        <f t="shared" ca="1" si="69"/>
        <v>2.0777639219051673</v>
      </c>
    </row>
    <row r="1972" spans="4:11">
      <c r="D1972">
        <f t="shared" ca="1" si="68"/>
        <v>1.4178431388280259</v>
      </c>
      <c r="K1972">
        <f t="shared" ca="1" si="69"/>
        <v>2.491422601234996</v>
      </c>
    </row>
    <row r="1973" spans="4:11">
      <c r="D1973">
        <f t="shared" ca="1" si="68"/>
        <v>8.0059535006060649</v>
      </c>
      <c r="K1973">
        <f t="shared" ca="1" si="69"/>
        <v>0.94386083707082613</v>
      </c>
    </row>
    <row r="1974" spans="4:11">
      <c r="D1974">
        <f t="shared" ca="1" si="68"/>
        <v>1.517696698865433</v>
      </c>
      <c r="K1974">
        <f t="shared" ca="1" si="69"/>
        <v>0.28012076841045497</v>
      </c>
    </row>
    <row r="1975" spans="4:11">
      <c r="D1975">
        <f t="shared" ca="1" si="68"/>
        <v>0.547349112929439</v>
      </c>
      <c r="K1975">
        <f t="shared" ca="1" si="69"/>
        <v>0.72926749261749846</v>
      </c>
    </row>
    <row r="1976" spans="4:11">
      <c r="D1976">
        <f t="shared" ca="1" si="68"/>
        <v>13.811091925581788</v>
      </c>
      <c r="K1976">
        <f t="shared" ca="1" si="69"/>
        <v>5.4183022856605483</v>
      </c>
    </row>
    <row r="1977" spans="4:11">
      <c r="D1977">
        <f t="shared" ca="1" si="68"/>
        <v>2.1186126386140494</v>
      </c>
      <c r="K1977">
        <f t="shared" ca="1" si="69"/>
        <v>0.96907355067664991</v>
      </c>
    </row>
    <row r="1978" spans="4:11">
      <c r="D1978">
        <f t="shared" ca="1" si="68"/>
        <v>2.4661484398767319</v>
      </c>
      <c r="K1978">
        <f t="shared" ca="1" si="69"/>
        <v>4.0790721428280357</v>
      </c>
    </row>
    <row r="1979" spans="4:11">
      <c r="D1979">
        <f t="shared" ca="1" si="68"/>
        <v>6.0009797397077449</v>
      </c>
      <c r="K1979">
        <f t="shared" ca="1" si="69"/>
        <v>3.0288007379537438</v>
      </c>
    </row>
    <row r="1980" spans="4:11">
      <c r="D1980">
        <f t="shared" ca="1" si="68"/>
        <v>15.689175661817451</v>
      </c>
      <c r="K1980">
        <f t="shared" ca="1" si="69"/>
        <v>0.41974681165499006</v>
      </c>
    </row>
    <row r="1981" spans="4:11">
      <c r="D1981">
        <f t="shared" ca="1" si="68"/>
        <v>18.184018043259535</v>
      </c>
      <c r="K1981">
        <f t="shared" ca="1" si="69"/>
        <v>0.72482963786815202</v>
      </c>
    </row>
    <row r="1982" spans="4:11">
      <c r="D1982">
        <f t="shared" ca="1" si="68"/>
        <v>7.1280476068043477</v>
      </c>
      <c r="K1982">
        <f t="shared" ca="1" si="69"/>
        <v>0.84085308117621116</v>
      </c>
    </row>
    <row r="1983" spans="4:11">
      <c r="D1983">
        <f t="shared" ca="1" si="68"/>
        <v>4.2552164006468995</v>
      </c>
      <c r="K1983">
        <f t="shared" ca="1" si="69"/>
        <v>1.2050934591687388</v>
      </c>
    </row>
    <row r="1984" spans="4:11">
      <c r="D1984">
        <f t="shared" ca="1" si="68"/>
        <v>9.1855861311122524</v>
      </c>
      <c r="K1984">
        <f t="shared" ca="1" si="69"/>
        <v>1.5211785789832648</v>
      </c>
    </row>
    <row r="1985" spans="4:11">
      <c r="D1985">
        <f t="shared" ca="1" si="68"/>
        <v>13.441452819645356</v>
      </c>
      <c r="K1985">
        <f t="shared" ca="1" si="69"/>
        <v>4.0342686984572271</v>
      </c>
    </row>
    <row r="1986" spans="4:11">
      <c r="D1986">
        <f t="shared" ref="D1986:D2000" ca="1" si="70">GAMMAINV(RAND(),$A$2,$B$2)</f>
        <v>32.801359235991129</v>
      </c>
      <c r="K1986">
        <f t="shared" ref="K1986:K2000" ca="1" si="71">GAMMAINV(RAND(),$H$2,$I$2)</f>
        <v>2.0043540062077554</v>
      </c>
    </row>
    <row r="1987" spans="4:11">
      <c r="D1987">
        <f t="shared" ca="1" si="70"/>
        <v>17.695593073201465</v>
      </c>
      <c r="K1987">
        <f t="shared" ca="1" si="71"/>
        <v>1.388458239105228</v>
      </c>
    </row>
    <row r="1988" spans="4:11">
      <c r="D1988">
        <f t="shared" ca="1" si="70"/>
        <v>27.093789689123035</v>
      </c>
      <c r="K1988">
        <f t="shared" ca="1" si="71"/>
        <v>3.9216025558587804</v>
      </c>
    </row>
    <row r="1989" spans="4:11">
      <c r="D1989">
        <f t="shared" ca="1" si="70"/>
        <v>25.130116441175886</v>
      </c>
      <c r="K1989">
        <f t="shared" ca="1" si="71"/>
        <v>0.25187259457491218</v>
      </c>
    </row>
    <row r="1990" spans="4:11">
      <c r="D1990">
        <f t="shared" ca="1" si="70"/>
        <v>4.374692525413062</v>
      </c>
      <c r="K1990">
        <f t="shared" ca="1" si="71"/>
        <v>4.1746034329832966</v>
      </c>
    </row>
    <row r="1991" spans="4:11">
      <c r="D1991">
        <f t="shared" ca="1" si="70"/>
        <v>1.0704593137865818E-2</v>
      </c>
      <c r="K1991">
        <f t="shared" ca="1" si="71"/>
        <v>2.0250413004757961</v>
      </c>
    </row>
    <row r="1992" spans="4:11">
      <c r="D1992">
        <f t="shared" ca="1" si="70"/>
        <v>5.0592609999607365</v>
      </c>
      <c r="K1992">
        <f t="shared" ca="1" si="71"/>
        <v>2.1291911695513575</v>
      </c>
    </row>
    <row r="1993" spans="4:11">
      <c r="D1993">
        <f t="shared" ca="1" si="70"/>
        <v>4.3306129441359893</v>
      </c>
      <c r="K1993">
        <f t="shared" ca="1" si="71"/>
        <v>3.2297361617501533E-2</v>
      </c>
    </row>
    <row r="1994" spans="4:11">
      <c r="D1994">
        <f t="shared" ca="1" si="70"/>
        <v>1.2188080022233847</v>
      </c>
      <c r="K1994">
        <f t="shared" ca="1" si="71"/>
        <v>5.6857882532681145</v>
      </c>
    </row>
    <row r="1995" spans="4:11">
      <c r="D1995">
        <f t="shared" ca="1" si="70"/>
        <v>4.2800938552029955</v>
      </c>
      <c r="K1995">
        <f t="shared" ca="1" si="71"/>
        <v>1.1410640874204732</v>
      </c>
    </row>
    <row r="1996" spans="4:11">
      <c r="D1996">
        <f t="shared" ca="1" si="70"/>
        <v>13.905914909381437</v>
      </c>
      <c r="K1996">
        <f t="shared" ca="1" si="71"/>
        <v>2.8829900329564744</v>
      </c>
    </row>
    <row r="1997" spans="4:11">
      <c r="D1997">
        <f t="shared" ca="1" si="70"/>
        <v>6.3953274539509195</v>
      </c>
      <c r="K1997">
        <f t="shared" ca="1" si="71"/>
        <v>2.9476125444946444</v>
      </c>
    </row>
    <row r="1998" spans="4:11">
      <c r="D1998">
        <f t="shared" ca="1" si="70"/>
        <v>2.6930255856876624</v>
      </c>
      <c r="K1998">
        <f t="shared" ca="1" si="71"/>
        <v>0.36144558682750461</v>
      </c>
    </row>
    <row r="1999" spans="4:11">
      <c r="D1999">
        <f t="shared" ca="1" si="70"/>
        <v>9.7566837308037151</v>
      </c>
      <c r="K1999">
        <f t="shared" ca="1" si="71"/>
        <v>1.4782904610714298</v>
      </c>
    </row>
    <row r="2000" spans="4:11">
      <c r="D2000">
        <f t="shared" ca="1" si="70"/>
        <v>1.2780427990357275</v>
      </c>
      <c r="K2000">
        <f t="shared" ca="1" si="71"/>
        <v>2.0052672821421131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>
  <dimension ref="A2:C4"/>
  <sheetViews>
    <sheetView workbookViewId="0">
      <selection activeCell="A2" sqref="A2:C4"/>
    </sheetView>
  </sheetViews>
  <sheetFormatPr defaultRowHeight="12.75"/>
  <sheetData>
    <row r="2" spans="1:3">
      <c r="A2" s="9"/>
      <c r="B2" s="77" t="s">
        <v>81</v>
      </c>
      <c r="C2" s="77" t="s">
        <v>82</v>
      </c>
    </row>
    <row r="3" spans="1:3">
      <c r="A3" s="77" t="s">
        <v>80</v>
      </c>
      <c r="B3" s="76">
        <v>0.82</v>
      </c>
      <c r="C3" s="76">
        <v>2.82</v>
      </c>
    </row>
    <row r="4" spans="1:3">
      <c r="A4" s="77" t="s">
        <v>38</v>
      </c>
      <c r="B4" s="76">
        <v>0.86</v>
      </c>
      <c r="C4" s="76">
        <v>6.3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DocSecurity>0</DocSecurity>
  <ScaleCrop>false</ScaleCrop>
  <HeadingPairs>
    <vt:vector size="6" baseType="variant">
      <vt:variant>
        <vt:lpstr>Worksheets</vt:lpstr>
      </vt:variant>
      <vt:variant>
        <vt:i4>16</vt:i4>
      </vt:variant>
      <vt:variant>
        <vt:lpstr>Charts</vt:lpstr>
      </vt:variant>
      <vt:variant>
        <vt:i4>8</vt:i4>
      </vt:variant>
      <vt:variant>
        <vt:lpstr>Named Ranges</vt:lpstr>
      </vt:variant>
      <vt:variant>
        <vt:i4>1</vt:i4>
      </vt:variant>
    </vt:vector>
  </HeadingPairs>
  <TitlesOfParts>
    <vt:vector size="25" baseType="lpstr">
      <vt:lpstr>Chart1</vt:lpstr>
      <vt:lpstr>net evap</vt:lpstr>
      <vt:lpstr>Histogram</vt:lpstr>
      <vt:lpstr>Calculations</vt:lpstr>
      <vt:lpstr>recon</vt:lpstr>
      <vt:lpstr>basic_stats</vt:lpstr>
      <vt:lpstr>basic_stats _2_</vt:lpstr>
      <vt:lpstr>pdf</vt:lpstr>
      <vt:lpstr>severity</vt:lpstr>
      <vt:lpstr>duration</vt:lpstr>
      <vt:lpstr>Copula</vt:lpstr>
      <vt:lpstr>Sheet15</vt:lpstr>
      <vt:lpstr>Sheet1</vt:lpstr>
      <vt:lpstr>re</vt:lpstr>
      <vt:lpstr>Sheet2</vt:lpstr>
      <vt:lpstr>Sheet3</vt:lpstr>
      <vt:lpstr>Chart3</vt:lpstr>
      <vt:lpstr>RECON CHART</vt:lpstr>
      <vt:lpstr>RECON CHART (2)</vt:lpstr>
      <vt:lpstr>RECON CHART (3)</vt:lpstr>
      <vt:lpstr>severity CDR PIC</vt:lpstr>
      <vt:lpstr>duration CDR PIC</vt:lpstr>
      <vt:lpstr>copula checking</vt:lpstr>
      <vt:lpstr>simulation_graph</vt:lpstr>
      <vt:lpstr>Excel_BuiltIn__FilterDatabase_2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mda</cp:lastModifiedBy>
  <dcterms:created xsi:type="dcterms:W3CDTF">2010-04-23T18:57:04Z</dcterms:created>
  <dcterms:modified xsi:type="dcterms:W3CDTF">2010-05-01T11:24:54Z</dcterms:modified>
</cp:coreProperties>
</file>